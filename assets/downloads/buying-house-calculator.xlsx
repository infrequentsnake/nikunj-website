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nikunjk/Downloads/"/>
    </mc:Choice>
  </mc:AlternateContent>
  <xr:revisionPtr revIDLastSave="0" documentId="8_{04C42D3A-262B-3C47-9DC0-87A37896F217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Dashboard" sheetId="1" r:id="rId1"/>
    <sheet name="Calc1" sheetId="2" r:id="rId2"/>
    <sheet name="Calc2" sheetId="3" r:id="rId3"/>
  </sheets>
  <definedNames>
    <definedName name="_xlnm.Print_Area" localSheetId="0">Dashboard!$A$1:$M$64</definedName>
    <definedName name="solver_adj" localSheetId="0" hidden="1">Dashboard!$E$29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Dashboard!$I$10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Dashboard!$I$10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1000000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 iterate="1" iterateCount="2000" iterateDelta="1E-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" i="3" l="1"/>
  <c r="R2" i="3"/>
  <c r="Q2" i="3"/>
  <c r="N2" i="3"/>
  <c r="O2" i="3" s="1"/>
  <c r="H2" i="3"/>
  <c r="C2" i="3"/>
  <c r="B2" i="3"/>
  <c r="A2" i="3"/>
  <c r="A6" i="2"/>
  <c r="R2" i="2"/>
  <c r="Q2" i="2"/>
  <c r="N2" i="2"/>
  <c r="O2" i="2" s="1"/>
  <c r="H2" i="2"/>
  <c r="C2" i="2"/>
  <c r="B2" i="2"/>
  <c r="A2" i="2"/>
  <c r="G28" i="1"/>
  <c r="E28" i="1"/>
  <c r="C28" i="1"/>
  <c r="G27" i="1"/>
  <c r="C27" i="1"/>
  <c r="H14" i="1"/>
  <c r="J10" i="1"/>
  <c r="F6" i="1"/>
  <c r="D6" i="1"/>
  <c r="E6" i="1" s="1"/>
  <c r="I2" i="3" s="1"/>
  <c r="D27" i="1" l="1"/>
  <c r="E27" i="1"/>
  <c r="P2" i="2"/>
  <c r="F27" i="1" s="1"/>
  <c r="P2" i="3"/>
  <c r="F28" i="1" s="1"/>
  <c r="D28" i="1"/>
  <c r="X2" i="3"/>
  <c r="G2" i="3"/>
  <c r="B5" i="3"/>
  <c r="E2" i="3"/>
  <c r="H6" i="3" s="1"/>
  <c r="F2" i="3"/>
  <c r="F6" i="3" s="1"/>
  <c r="G6" i="3" s="1"/>
  <c r="D2" i="3"/>
  <c r="B5" i="2"/>
  <c r="G2" i="2"/>
  <c r="D2" i="2"/>
  <c r="E2" i="2"/>
  <c r="F2" i="2"/>
  <c r="K2" i="3"/>
  <c r="H28" i="1" s="1"/>
  <c r="M2" i="3"/>
  <c r="J28" i="1" s="1"/>
  <c r="I2" i="2"/>
  <c r="X2" i="2" s="1"/>
  <c r="A7" i="2"/>
  <c r="A7" i="3"/>
  <c r="J2" i="3" l="1"/>
  <c r="L2" i="3"/>
  <c r="I28" i="1" s="1"/>
  <c r="F7" i="3"/>
  <c r="G7" i="3" s="1"/>
  <c r="H7" i="3"/>
  <c r="L7" i="3"/>
  <c r="J7" i="3"/>
  <c r="A8" i="3"/>
  <c r="B6" i="2"/>
  <c r="C5" i="2"/>
  <c r="J5" i="2"/>
  <c r="E5" i="2"/>
  <c r="M5" i="2" s="1"/>
  <c r="L6" i="2"/>
  <c r="F5" i="2"/>
  <c r="G5" i="2" s="1"/>
  <c r="L5" i="2"/>
  <c r="J6" i="2"/>
  <c r="L7" i="2"/>
  <c r="F7" i="2"/>
  <c r="G7" i="2" s="1"/>
  <c r="A8" i="2"/>
  <c r="J7" i="2"/>
  <c r="H7" i="2"/>
  <c r="L2" i="2"/>
  <c r="I27" i="1" s="1"/>
  <c r="J2" i="2"/>
  <c r="M2" i="2"/>
  <c r="J27" i="1" s="1"/>
  <c r="K2" i="2"/>
  <c r="H27" i="1" s="1"/>
  <c r="L5" i="3"/>
  <c r="J5" i="3"/>
  <c r="F5" i="3"/>
  <c r="G5" i="3" s="1"/>
  <c r="E5" i="3"/>
  <c r="L6" i="3"/>
  <c r="K28" i="1"/>
  <c r="L28" i="1"/>
  <c r="D5" i="3"/>
  <c r="H5" i="3"/>
  <c r="S2" i="3"/>
  <c r="J6" i="3"/>
  <c r="C5" i="3"/>
  <c r="B6" i="3"/>
  <c r="D6" i="3" s="1"/>
  <c r="D5" i="2"/>
  <c r="H6" i="2"/>
  <c r="H5" i="2"/>
  <c r="F6" i="2"/>
  <c r="G6" i="2" s="1"/>
  <c r="S2" i="2"/>
  <c r="I5" i="3" l="1"/>
  <c r="K5" i="3" s="1"/>
  <c r="M5" i="3"/>
  <c r="N5" i="3" s="1"/>
  <c r="L27" i="1"/>
  <c r="K27" i="1"/>
  <c r="C6" i="2"/>
  <c r="B7" i="2"/>
  <c r="E6" i="2"/>
  <c r="D6" i="2"/>
  <c r="A9" i="2"/>
  <c r="H8" i="2"/>
  <c r="F8" i="2"/>
  <c r="G8" i="2" s="1"/>
  <c r="L8" i="2"/>
  <c r="J8" i="2"/>
  <c r="L8" i="3"/>
  <c r="J8" i="3"/>
  <c r="H8" i="3"/>
  <c r="F8" i="3"/>
  <c r="G8" i="3" s="1"/>
  <c r="A9" i="3"/>
  <c r="N5" i="2"/>
  <c r="B7" i="3"/>
  <c r="C6" i="3"/>
  <c r="E6" i="3"/>
  <c r="I5" i="2"/>
  <c r="K5" i="2" s="1"/>
  <c r="B8" i="3" l="1"/>
  <c r="C7" i="3"/>
  <c r="D7" i="3"/>
  <c r="E7" i="3"/>
  <c r="F9" i="2"/>
  <c r="G9" i="2" s="1"/>
  <c r="L9" i="2"/>
  <c r="J9" i="2"/>
  <c r="H9" i="2"/>
  <c r="A10" i="2"/>
  <c r="I6" i="2"/>
  <c r="K6" i="2" s="1"/>
  <c r="M6" i="2"/>
  <c r="H9" i="3"/>
  <c r="F9" i="3"/>
  <c r="G9" i="3" s="1"/>
  <c r="A10" i="3"/>
  <c r="L9" i="3"/>
  <c r="J9" i="3"/>
  <c r="I6" i="3"/>
  <c r="K6" i="3" s="1"/>
  <c r="M6" i="3"/>
  <c r="B8" i="2"/>
  <c r="C7" i="2"/>
  <c r="E7" i="2"/>
  <c r="D7" i="2"/>
  <c r="N6" i="3" l="1"/>
  <c r="B9" i="3"/>
  <c r="C8" i="3"/>
  <c r="E8" i="3"/>
  <c r="D8" i="3"/>
  <c r="L10" i="3"/>
  <c r="A11" i="3"/>
  <c r="F10" i="3"/>
  <c r="G10" i="3" s="1"/>
  <c r="H10" i="3"/>
  <c r="J10" i="3"/>
  <c r="N6" i="2"/>
  <c r="I7" i="2"/>
  <c r="M7" i="2"/>
  <c r="N7" i="2" s="1"/>
  <c r="C8" i="2"/>
  <c r="B9" i="2"/>
  <c r="E8" i="2"/>
  <c r="D8" i="2"/>
  <c r="K7" i="2"/>
  <c r="I7" i="3"/>
  <c r="K7" i="3" s="1"/>
  <c r="M7" i="3"/>
  <c r="N7" i="3" s="1"/>
  <c r="J10" i="2"/>
  <c r="A11" i="2"/>
  <c r="F10" i="2"/>
  <c r="G10" i="2" s="1"/>
  <c r="L10" i="2"/>
  <c r="H10" i="2"/>
  <c r="I8" i="3" l="1"/>
  <c r="K8" i="3" s="1"/>
  <c r="M8" i="3"/>
  <c r="N8" i="3" s="1"/>
  <c r="I8" i="2"/>
  <c r="M8" i="2"/>
  <c r="K8" i="2"/>
  <c r="A12" i="2"/>
  <c r="F11" i="2"/>
  <c r="G11" i="2" s="1"/>
  <c r="H11" i="2"/>
  <c r="L11" i="2"/>
  <c r="J11" i="2"/>
  <c r="B10" i="3"/>
  <c r="C9" i="3"/>
  <c r="E9" i="3"/>
  <c r="D9" i="3"/>
  <c r="C9" i="2"/>
  <c r="B10" i="2"/>
  <c r="D9" i="2"/>
  <c r="E9" i="2"/>
  <c r="J11" i="3"/>
  <c r="H11" i="3"/>
  <c r="F11" i="3"/>
  <c r="G11" i="3" s="1"/>
  <c r="L11" i="3"/>
  <c r="A12" i="3"/>
  <c r="I9" i="3" l="1"/>
  <c r="K9" i="3" s="1"/>
  <c r="M9" i="3"/>
  <c r="L12" i="2"/>
  <c r="F12" i="2"/>
  <c r="G12" i="2" s="1"/>
  <c r="A13" i="2"/>
  <c r="H12" i="2"/>
  <c r="J12" i="2"/>
  <c r="N8" i="2"/>
  <c r="I9" i="2"/>
  <c r="K9" i="2" s="1"/>
  <c r="M9" i="2"/>
  <c r="N9" i="2" s="1"/>
  <c r="B11" i="2"/>
  <c r="C10" i="2"/>
  <c r="E10" i="2"/>
  <c r="D10" i="2"/>
  <c r="C10" i="3"/>
  <c r="B11" i="3"/>
  <c r="E10" i="3"/>
  <c r="D10" i="3"/>
  <c r="F12" i="3"/>
  <c r="G12" i="3" s="1"/>
  <c r="A13" i="3"/>
  <c r="J12" i="3"/>
  <c r="H12" i="3"/>
  <c r="L12" i="3"/>
  <c r="L13" i="3" l="1"/>
  <c r="J13" i="3"/>
  <c r="H13" i="3"/>
  <c r="A14" i="3"/>
  <c r="F13" i="3"/>
  <c r="G13" i="3" s="1"/>
  <c r="C11" i="2"/>
  <c r="B12" i="2"/>
  <c r="E11" i="2"/>
  <c r="D11" i="2"/>
  <c r="B12" i="3"/>
  <c r="C11" i="3"/>
  <c r="D11" i="3"/>
  <c r="E11" i="3"/>
  <c r="I10" i="2"/>
  <c r="K10" i="2" s="1"/>
  <c r="M10" i="2"/>
  <c r="N10" i="2" s="1"/>
  <c r="A14" i="2"/>
  <c r="H13" i="2"/>
  <c r="F13" i="2"/>
  <c r="G13" i="2" s="1"/>
  <c r="L13" i="2"/>
  <c r="J13" i="2"/>
  <c r="I10" i="3"/>
  <c r="K10" i="3" s="1"/>
  <c r="M10" i="3"/>
  <c r="N10" i="3" s="1"/>
  <c r="N9" i="3"/>
  <c r="I11" i="3" l="1"/>
  <c r="K11" i="3" s="1"/>
  <c r="M11" i="3"/>
  <c r="I11" i="2"/>
  <c r="K11" i="2" s="1"/>
  <c r="M11" i="2"/>
  <c r="H14" i="3"/>
  <c r="F14" i="3"/>
  <c r="G14" i="3" s="1"/>
  <c r="L14" i="3"/>
  <c r="J14" i="3"/>
  <c r="A15" i="3"/>
  <c r="B13" i="2"/>
  <c r="C12" i="2"/>
  <c r="D12" i="2"/>
  <c r="E12" i="2"/>
  <c r="B13" i="3"/>
  <c r="C12" i="3"/>
  <c r="D12" i="3"/>
  <c r="E12" i="3"/>
  <c r="F14" i="2"/>
  <c r="G14" i="2" s="1"/>
  <c r="H14" i="2"/>
  <c r="A15" i="2"/>
  <c r="L14" i="2"/>
  <c r="J14" i="2"/>
  <c r="C13" i="2" l="1"/>
  <c r="B14" i="2"/>
  <c r="E13" i="2"/>
  <c r="D13" i="2"/>
  <c r="C13" i="3"/>
  <c r="B14" i="3"/>
  <c r="E13" i="3"/>
  <c r="D13" i="3"/>
  <c r="I12" i="2"/>
  <c r="K12" i="2" s="1"/>
  <c r="M12" i="2"/>
  <c r="N12" i="2" s="1"/>
  <c r="L15" i="3"/>
  <c r="A16" i="3"/>
  <c r="F15" i="3"/>
  <c r="G15" i="3" s="1"/>
  <c r="J15" i="3"/>
  <c r="H15" i="3"/>
  <c r="I12" i="3"/>
  <c r="K12" i="3" s="1"/>
  <c r="M12" i="3"/>
  <c r="N12" i="3" s="1"/>
  <c r="J15" i="2"/>
  <c r="F15" i="2"/>
  <c r="G15" i="2" s="1"/>
  <c r="H15" i="2"/>
  <c r="L15" i="2"/>
  <c r="A16" i="2"/>
  <c r="N11" i="2"/>
  <c r="N11" i="3"/>
  <c r="A17" i="2" l="1"/>
  <c r="F16" i="2"/>
  <c r="G16" i="2" s="1"/>
  <c r="H16" i="2"/>
  <c r="L16" i="2"/>
  <c r="J16" i="2"/>
  <c r="I13" i="3"/>
  <c r="K13" i="3" s="1"/>
  <c r="M13" i="3"/>
  <c r="N13" i="3" s="1"/>
  <c r="I13" i="2"/>
  <c r="K13" i="2" s="1"/>
  <c r="M13" i="2"/>
  <c r="N13" i="2" s="1"/>
  <c r="C14" i="2"/>
  <c r="B15" i="2"/>
  <c r="D14" i="2"/>
  <c r="E14" i="2"/>
  <c r="B15" i="3"/>
  <c r="C14" i="3"/>
  <c r="D14" i="3"/>
  <c r="E14" i="3"/>
  <c r="J16" i="3"/>
  <c r="H16" i="3"/>
  <c r="F16" i="3"/>
  <c r="G16" i="3" s="1"/>
  <c r="L16" i="3"/>
  <c r="A17" i="3"/>
  <c r="C15" i="3" l="1"/>
  <c r="B16" i="3"/>
  <c r="D15" i="3"/>
  <c r="E15" i="3"/>
  <c r="L17" i="2"/>
  <c r="F17" i="2"/>
  <c r="G17" i="2" s="1"/>
  <c r="H17" i="2"/>
  <c r="A18" i="2"/>
  <c r="J17" i="2"/>
  <c r="F17" i="3"/>
  <c r="G17" i="3" s="1"/>
  <c r="A18" i="3"/>
  <c r="H17" i="3"/>
  <c r="J17" i="3"/>
  <c r="L17" i="3"/>
  <c r="I14" i="2"/>
  <c r="K14" i="2" s="1"/>
  <c r="M14" i="2"/>
  <c r="N14" i="2" s="1"/>
  <c r="C15" i="2"/>
  <c r="B16" i="2"/>
  <c r="E15" i="2"/>
  <c r="D15" i="2"/>
  <c r="I14" i="3"/>
  <c r="K14" i="3" s="1"/>
  <c r="M14" i="3"/>
  <c r="N14" i="3" s="1"/>
  <c r="I15" i="2" l="1"/>
  <c r="K15" i="2" s="1"/>
  <c r="M15" i="2"/>
  <c r="N15" i="2" s="1"/>
  <c r="C16" i="3"/>
  <c r="B17" i="3"/>
  <c r="E16" i="3"/>
  <c r="D16" i="3"/>
  <c r="C16" i="2"/>
  <c r="B17" i="2"/>
  <c r="E16" i="2"/>
  <c r="D16" i="2"/>
  <c r="L18" i="3"/>
  <c r="J18" i="3"/>
  <c r="H18" i="3"/>
  <c r="F18" i="3"/>
  <c r="G18" i="3" s="1"/>
  <c r="A19" i="3"/>
  <c r="I15" i="3"/>
  <c r="K15" i="3" s="1"/>
  <c r="M15" i="3"/>
  <c r="N15" i="3" s="1"/>
  <c r="A19" i="2"/>
  <c r="H18" i="2"/>
  <c r="F18" i="2"/>
  <c r="G18" i="2" s="1"/>
  <c r="J18" i="2"/>
  <c r="L18" i="2"/>
  <c r="H19" i="3" l="1"/>
  <c r="F19" i="3"/>
  <c r="G19" i="3" s="1"/>
  <c r="L19" i="3"/>
  <c r="J19" i="3"/>
  <c r="A20" i="3"/>
  <c r="C17" i="2"/>
  <c r="B18" i="2"/>
  <c r="D17" i="2"/>
  <c r="E17" i="2"/>
  <c r="B18" i="3"/>
  <c r="C17" i="3"/>
  <c r="E17" i="3"/>
  <c r="D17" i="3"/>
  <c r="H19" i="2"/>
  <c r="F19" i="2"/>
  <c r="G19" i="2" s="1"/>
  <c r="A20" i="2"/>
  <c r="L19" i="2"/>
  <c r="J19" i="2"/>
  <c r="I16" i="3"/>
  <c r="K16" i="3" s="1"/>
  <c r="M16" i="3"/>
  <c r="N16" i="3" s="1"/>
  <c r="I16" i="2"/>
  <c r="K16" i="2" s="1"/>
  <c r="M16" i="2"/>
  <c r="N16" i="2" s="1"/>
  <c r="J20" i="2" l="1"/>
  <c r="H20" i="2"/>
  <c r="F20" i="2"/>
  <c r="G20" i="2" s="1"/>
  <c r="A21" i="2"/>
  <c r="L20" i="2"/>
  <c r="L20" i="3"/>
  <c r="A21" i="3"/>
  <c r="J20" i="3"/>
  <c r="F20" i="3"/>
  <c r="G20" i="3" s="1"/>
  <c r="H20" i="3"/>
  <c r="C18" i="3"/>
  <c r="B19" i="3"/>
  <c r="E18" i="3"/>
  <c r="D18" i="3"/>
  <c r="C18" i="2"/>
  <c r="B19" i="2"/>
  <c r="D18" i="2"/>
  <c r="E18" i="2"/>
  <c r="I17" i="3"/>
  <c r="K17" i="3" s="1"/>
  <c r="M17" i="3"/>
  <c r="N17" i="3" s="1"/>
  <c r="I17" i="2"/>
  <c r="K17" i="2" s="1"/>
  <c r="M17" i="2"/>
  <c r="N17" i="2" s="1"/>
  <c r="J21" i="3" l="1"/>
  <c r="H21" i="3"/>
  <c r="A22" i="3"/>
  <c r="L21" i="3"/>
  <c r="F21" i="3"/>
  <c r="G21" i="3" s="1"/>
  <c r="C19" i="2"/>
  <c r="B20" i="2"/>
  <c r="E19" i="2"/>
  <c r="D19" i="2"/>
  <c r="B20" i="3"/>
  <c r="C19" i="3"/>
  <c r="E19" i="3"/>
  <c r="D19" i="3"/>
  <c r="A22" i="2"/>
  <c r="F21" i="2"/>
  <c r="G21" i="2" s="1"/>
  <c r="H21" i="2"/>
  <c r="J21" i="2"/>
  <c r="L21" i="2"/>
  <c r="I18" i="2"/>
  <c r="K18" i="2" s="1"/>
  <c r="M18" i="2"/>
  <c r="N18" i="2" s="1"/>
  <c r="I18" i="3"/>
  <c r="K18" i="3" s="1"/>
  <c r="M18" i="3"/>
  <c r="N18" i="3" s="1"/>
  <c r="L22" i="2" l="1"/>
  <c r="H22" i="2"/>
  <c r="F22" i="2"/>
  <c r="G22" i="2" s="1"/>
  <c r="J22" i="2"/>
  <c r="A23" i="2"/>
  <c r="I19" i="3"/>
  <c r="K19" i="3" s="1"/>
  <c r="M19" i="3"/>
  <c r="N19" i="3" s="1"/>
  <c r="I19" i="2"/>
  <c r="K19" i="2" s="1"/>
  <c r="M19" i="2"/>
  <c r="N19" i="2" s="1"/>
  <c r="C20" i="3"/>
  <c r="B21" i="3"/>
  <c r="D20" i="3"/>
  <c r="E20" i="3"/>
  <c r="B21" i="2"/>
  <c r="C20" i="2"/>
  <c r="D20" i="2"/>
  <c r="E20" i="2"/>
  <c r="F22" i="3"/>
  <c r="G22" i="3" s="1"/>
  <c r="A23" i="3"/>
  <c r="H22" i="3"/>
  <c r="J22" i="3"/>
  <c r="L22" i="3"/>
  <c r="C21" i="2" l="1"/>
  <c r="B22" i="2"/>
  <c r="D21" i="2"/>
  <c r="E21" i="2"/>
  <c r="I20" i="3"/>
  <c r="K20" i="3" s="1"/>
  <c r="M20" i="3"/>
  <c r="N20" i="3" s="1"/>
  <c r="B22" i="3"/>
  <c r="C21" i="3"/>
  <c r="E21" i="3"/>
  <c r="D21" i="3"/>
  <c r="A24" i="2"/>
  <c r="H23" i="2"/>
  <c r="J23" i="2"/>
  <c r="F23" i="2"/>
  <c r="G23" i="2" s="1"/>
  <c r="L23" i="2"/>
  <c r="L23" i="3"/>
  <c r="J23" i="3"/>
  <c r="F23" i="3"/>
  <c r="G23" i="3" s="1"/>
  <c r="H23" i="3"/>
  <c r="A24" i="3"/>
  <c r="I20" i="2"/>
  <c r="K20" i="2" s="1"/>
  <c r="M20" i="2"/>
  <c r="N20" i="2" s="1"/>
  <c r="I21" i="2" l="1"/>
  <c r="K21" i="2" s="1"/>
  <c r="M21" i="2"/>
  <c r="N21" i="2" s="1"/>
  <c r="H24" i="2"/>
  <c r="J24" i="2"/>
  <c r="F24" i="2"/>
  <c r="G24" i="2" s="1"/>
  <c r="L24" i="2"/>
  <c r="A25" i="2"/>
  <c r="I21" i="3"/>
  <c r="K21" i="3" s="1"/>
  <c r="M21" i="3"/>
  <c r="N21" i="3" s="1"/>
  <c r="H24" i="3"/>
  <c r="F24" i="3"/>
  <c r="G24" i="3" s="1"/>
  <c r="J24" i="3"/>
  <c r="L24" i="3"/>
  <c r="A25" i="3"/>
  <c r="B23" i="3"/>
  <c r="C22" i="3"/>
  <c r="E22" i="3"/>
  <c r="D22" i="3"/>
  <c r="B23" i="2"/>
  <c r="C22" i="2"/>
  <c r="E22" i="2"/>
  <c r="D22" i="2"/>
  <c r="I22" i="2" l="1"/>
  <c r="K22" i="2" s="1"/>
  <c r="M22" i="2"/>
  <c r="N22" i="2" s="1"/>
  <c r="I22" i="3"/>
  <c r="K22" i="3" s="1"/>
  <c r="M22" i="3"/>
  <c r="N22" i="3" s="1"/>
  <c r="C23" i="3"/>
  <c r="B24" i="3"/>
  <c r="E23" i="3"/>
  <c r="D23" i="3"/>
  <c r="L25" i="3"/>
  <c r="A26" i="3"/>
  <c r="J25" i="3"/>
  <c r="H25" i="3"/>
  <c r="F25" i="3"/>
  <c r="G25" i="3" s="1"/>
  <c r="J25" i="2"/>
  <c r="H25" i="2"/>
  <c r="F25" i="2"/>
  <c r="G25" i="2" s="1"/>
  <c r="L25" i="2"/>
  <c r="A26" i="2"/>
  <c r="C23" i="2"/>
  <c r="B24" i="2"/>
  <c r="E23" i="2"/>
  <c r="D23" i="2"/>
  <c r="I23" i="2" l="1"/>
  <c r="K23" i="2" s="1"/>
  <c r="M23" i="2"/>
  <c r="N23" i="2" s="1"/>
  <c r="A27" i="2"/>
  <c r="F26" i="2"/>
  <c r="G26" i="2" s="1"/>
  <c r="J26" i="2"/>
  <c r="L26" i="2"/>
  <c r="H26" i="2"/>
  <c r="C24" i="2"/>
  <c r="B25" i="2"/>
  <c r="E24" i="2"/>
  <c r="D24" i="2"/>
  <c r="B25" i="3"/>
  <c r="C24" i="3"/>
  <c r="D24" i="3"/>
  <c r="E24" i="3"/>
  <c r="I23" i="3"/>
  <c r="K23" i="3" s="1"/>
  <c r="M23" i="3"/>
  <c r="N23" i="3" s="1"/>
  <c r="J26" i="3"/>
  <c r="H26" i="3"/>
  <c r="L26" i="3"/>
  <c r="F26" i="3"/>
  <c r="G26" i="3" s="1"/>
  <c r="A27" i="3"/>
  <c r="J27" i="2" l="1"/>
  <c r="L27" i="2"/>
  <c r="A28" i="2"/>
  <c r="H27" i="2"/>
  <c r="F27" i="2"/>
  <c r="G27" i="2" s="1"/>
  <c r="C25" i="2"/>
  <c r="B26" i="2"/>
  <c r="E25" i="2"/>
  <c r="D25" i="2"/>
  <c r="I24" i="3"/>
  <c r="K24" i="3" s="1"/>
  <c r="M24" i="3"/>
  <c r="N24" i="3" s="1"/>
  <c r="I24" i="2"/>
  <c r="K24" i="2" s="1"/>
  <c r="M24" i="2"/>
  <c r="N24" i="2" s="1"/>
  <c r="F27" i="3"/>
  <c r="G27" i="3" s="1"/>
  <c r="A28" i="3"/>
  <c r="L27" i="3"/>
  <c r="H27" i="3"/>
  <c r="J27" i="3"/>
  <c r="C25" i="3"/>
  <c r="B26" i="3"/>
  <c r="D25" i="3"/>
  <c r="E25" i="3"/>
  <c r="F28" i="2" l="1"/>
  <c r="G28" i="2" s="1"/>
  <c r="A29" i="2"/>
  <c r="H28" i="2"/>
  <c r="L28" i="2"/>
  <c r="J28" i="2"/>
  <c r="I25" i="2"/>
  <c r="K25" i="2" s="1"/>
  <c r="M25" i="2"/>
  <c r="N25" i="2" s="1"/>
  <c r="C26" i="2"/>
  <c r="B27" i="2"/>
  <c r="E26" i="2"/>
  <c r="D26" i="2"/>
  <c r="I25" i="3"/>
  <c r="K25" i="3" s="1"/>
  <c r="M25" i="3"/>
  <c r="N25" i="3" s="1"/>
  <c r="L28" i="3"/>
  <c r="J28" i="3"/>
  <c r="F28" i="3"/>
  <c r="G28" i="3" s="1"/>
  <c r="H28" i="3"/>
  <c r="A29" i="3"/>
  <c r="B27" i="3"/>
  <c r="C26" i="3"/>
  <c r="E26" i="3"/>
  <c r="D26" i="3"/>
  <c r="B28" i="3" l="1"/>
  <c r="C27" i="3"/>
  <c r="E27" i="3"/>
  <c r="D27" i="3"/>
  <c r="I26" i="3"/>
  <c r="K26" i="3" s="1"/>
  <c r="M26" i="3"/>
  <c r="N26" i="3" s="1"/>
  <c r="H29" i="3"/>
  <c r="F29" i="3"/>
  <c r="G29" i="3" s="1"/>
  <c r="J29" i="3"/>
  <c r="A30" i="3"/>
  <c r="L29" i="3"/>
  <c r="I26" i="2"/>
  <c r="K26" i="2" s="1"/>
  <c r="M26" i="2"/>
  <c r="N26" i="2" s="1"/>
  <c r="B28" i="2"/>
  <c r="C27" i="2"/>
  <c r="D27" i="2"/>
  <c r="E27" i="2"/>
  <c r="L29" i="2"/>
  <c r="F29" i="2"/>
  <c r="G29" i="2" s="1"/>
  <c r="A30" i="2"/>
  <c r="J29" i="2"/>
  <c r="H29" i="2"/>
  <c r="B29" i="2" l="1"/>
  <c r="C28" i="2"/>
  <c r="D28" i="2"/>
  <c r="E28" i="2"/>
  <c r="H30" i="2"/>
  <c r="J30" i="2"/>
  <c r="F30" i="2"/>
  <c r="G30" i="2" s="1"/>
  <c r="A31" i="2"/>
  <c r="L30" i="2"/>
  <c r="I27" i="3"/>
  <c r="K27" i="3" s="1"/>
  <c r="M27" i="3"/>
  <c r="N27" i="3" s="1"/>
  <c r="I27" i="2"/>
  <c r="K27" i="2" s="1"/>
  <c r="M27" i="2"/>
  <c r="N27" i="2" s="1"/>
  <c r="L30" i="3"/>
  <c r="A31" i="3"/>
  <c r="H30" i="3"/>
  <c r="F30" i="3"/>
  <c r="G30" i="3" s="1"/>
  <c r="J30" i="3"/>
  <c r="C28" i="3"/>
  <c r="B29" i="3"/>
  <c r="D28" i="3"/>
  <c r="E28" i="3"/>
  <c r="I28" i="2" l="1"/>
  <c r="K28" i="2" s="1"/>
  <c r="M28" i="2"/>
  <c r="N28" i="2" s="1"/>
  <c r="C29" i="2"/>
  <c r="B30" i="2"/>
  <c r="D29" i="2"/>
  <c r="E29" i="2"/>
  <c r="J31" i="3"/>
  <c r="H31" i="3"/>
  <c r="L31" i="3"/>
  <c r="F31" i="3"/>
  <c r="G31" i="3" s="1"/>
  <c r="A32" i="3"/>
  <c r="I28" i="3"/>
  <c r="K28" i="3" s="1"/>
  <c r="M28" i="3"/>
  <c r="N28" i="3" s="1"/>
  <c r="B30" i="3"/>
  <c r="C29" i="3"/>
  <c r="E29" i="3"/>
  <c r="D29" i="3"/>
  <c r="A32" i="2"/>
  <c r="F31" i="2"/>
  <c r="G31" i="2" s="1"/>
  <c r="H31" i="2"/>
  <c r="J31" i="2"/>
  <c r="L31" i="2"/>
  <c r="F32" i="3" l="1"/>
  <c r="G32" i="3" s="1"/>
  <c r="A33" i="3"/>
  <c r="L32" i="3"/>
  <c r="J32" i="3"/>
  <c r="H32" i="3"/>
  <c r="I29" i="2"/>
  <c r="K29" i="2" s="1"/>
  <c r="M29" i="2"/>
  <c r="N29" i="2" s="1"/>
  <c r="C30" i="3"/>
  <c r="B31" i="3"/>
  <c r="E30" i="3"/>
  <c r="D30" i="3"/>
  <c r="B31" i="2"/>
  <c r="C30" i="2"/>
  <c r="E30" i="2"/>
  <c r="D30" i="2"/>
  <c r="J32" i="2"/>
  <c r="L32" i="2"/>
  <c r="H32" i="2"/>
  <c r="F32" i="2"/>
  <c r="G32" i="2" s="1"/>
  <c r="A33" i="2"/>
  <c r="I29" i="3"/>
  <c r="K29" i="3" s="1"/>
  <c r="M29" i="3"/>
  <c r="N29" i="3" s="1"/>
  <c r="F33" i="2" l="1"/>
  <c r="G33" i="2" s="1"/>
  <c r="A34" i="2"/>
  <c r="H33" i="2"/>
  <c r="L33" i="2"/>
  <c r="J33" i="2"/>
  <c r="I30" i="2"/>
  <c r="K30" i="2" s="1"/>
  <c r="M30" i="2"/>
  <c r="N30" i="2" s="1"/>
  <c r="C31" i="2"/>
  <c r="B32" i="2"/>
  <c r="E31" i="2"/>
  <c r="D31" i="2"/>
  <c r="I30" i="3"/>
  <c r="K30" i="3" s="1"/>
  <c r="M30" i="3"/>
  <c r="N30" i="3" s="1"/>
  <c r="B32" i="3"/>
  <c r="C31" i="3"/>
  <c r="D31" i="3"/>
  <c r="E31" i="3"/>
  <c r="L33" i="3"/>
  <c r="J33" i="3"/>
  <c r="A34" i="3"/>
  <c r="H33" i="3"/>
  <c r="F33" i="3"/>
  <c r="G33" i="3" s="1"/>
  <c r="I31" i="2" l="1"/>
  <c r="M31" i="2"/>
  <c r="N31" i="2" s="1"/>
  <c r="B33" i="2"/>
  <c r="C32" i="2"/>
  <c r="E32" i="2"/>
  <c r="D32" i="2"/>
  <c r="L34" i="2"/>
  <c r="J34" i="2"/>
  <c r="A35" i="2"/>
  <c r="H34" i="2"/>
  <c r="F34" i="2"/>
  <c r="G34" i="2" s="1"/>
  <c r="K31" i="2"/>
  <c r="B33" i="3"/>
  <c r="C32" i="3"/>
  <c r="E32" i="3"/>
  <c r="D32" i="3"/>
  <c r="H34" i="3"/>
  <c r="F34" i="3"/>
  <c r="G34" i="3" s="1"/>
  <c r="A35" i="3"/>
  <c r="J34" i="3"/>
  <c r="L34" i="3"/>
  <c r="I31" i="3"/>
  <c r="K31" i="3" s="1"/>
  <c r="M31" i="3"/>
  <c r="N31" i="3" s="1"/>
  <c r="I32" i="3" l="1"/>
  <c r="K32" i="3" s="1"/>
  <c r="M32" i="3"/>
  <c r="N32" i="3" s="1"/>
  <c r="I32" i="2"/>
  <c r="M32" i="2"/>
  <c r="N32" i="2" s="1"/>
  <c r="L35" i="3"/>
  <c r="A36" i="3"/>
  <c r="F35" i="3"/>
  <c r="G35" i="3" s="1"/>
  <c r="H35" i="3"/>
  <c r="J35" i="3"/>
  <c r="C33" i="3"/>
  <c r="B34" i="3"/>
  <c r="D33" i="3"/>
  <c r="E33" i="3"/>
  <c r="K32" i="2"/>
  <c r="B34" i="2"/>
  <c r="C33" i="2"/>
  <c r="E33" i="2"/>
  <c r="D33" i="2"/>
  <c r="H35" i="2"/>
  <c r="J35" i="2"/>
  <c r="A36" i="2"/>
  <c r="F35" i="2"/>
  <c r="G35" i="2" s="1"/>
  <c r="L35" i="2"/>
  <c r="I33" i="3" l="1"/>
  <c r="K33" i="3" s="1"/>
  <c r="M33" i="3"/>
  <c r="N33" i="3" s="1"/>
  <c r="A37" i="2"/>
  <c r="F36" i="2"/>
  <c r="G36" i="2" s="1"/>
  <c r="H36" i="2"/>
  <c r="L36" i="2"/>
  <c r="J36" i="2"/>
  <c r="B35" i="3"/>
  <c r="C34" i="3"/>
  <c r="D34" i="3"/>
  <c r="E34" i="3"/>
  <c r="J36" i="3"/>
  <c r="H36" i="3"/>
  <c r="F36" i="3"/>
  <c r="G36" i="3" s="1"/>
  <c r="L36" i="3"/>
  <c r="A37" i="3"/>
  <c r="C34" i="2"/>
  <c r="B35" i="2"/>
  <c r="E34" i="2"/>
  <c r="D34" i="2"/>
  <c r="I33" i="2"/>
  <c r="K33" i="2" s="1"/>
  <c r="M33" i="2"/>
  <c r="N33" i="2" s="1"/>
  <c r="I34" i="3" l="1"/>
  <c r="K34" i="3" s="1"/>
  <c r="M34" i="3"/>
  <c r="N34" i="3" s="1"/>
  <c r="J37" i="2"/>
  <c r="L37" i="2"/>
  <c r="F37" i="2"/>
  <c r="G37" i="2" s="1"/>
  <c r="H37" i="2"/>
  <c r="A38" i="2"/>
  <c r="C35" i="3"/>
  <c r="B36" i="3"/>
  <c r="D35" i="3"/>
  <c r="E35" i="3"/>
  <c r="I34" i="2"/>
  <c r="K34" i="2" s="1"/>
  <c r="M34" i="2"/>
  <c r="N34" i="2" s="1"/>
  <c r="C35" i="2"/>
  <c r="B36" i="2"/>
  <c r="D35" i="2"/>
  <c r="E35" i="2"/>
  <c r="F37" i="3"/>
  <c r="G37" i="3" s="1"/>
  <c r="A38" i="3"/>
  <c r="J37" i="3"/>
  <c r="H37" i="3"/>
  <c r="L37" i="3"/>
  <c r="C36" i="2" l="1"/>
  <c r="B37" i="2"/>
  <c r="E36" i="2"/>
  <c r="D36" i="2"/>
  <c r="L38" i="3"/>
  <c r="J38" i="3"/>
  <c r="H38" i="3"/>
  <c r="F38" i="3"/>
  <c r="G38" i="3" s="1"/>
  <c r="A39" i="3"/>
  <c r="C36" i="3"/>
  <c r="B37" i="3"/>
  <c r="D36" i="3"/>
  <c r="E36" i="3"/>
  <c r="I35" i="2"/>
  <c r="K35" i="2" s="1"/>
  <c r="M35" i="2"/>
  <c r="N35" i="2" s="1"/>
  <c r="I35" i="3"/>
  <c r="K35" i="3" s="1"/>
  <c r="M35" i="3"/>
  <c r="N35" i="3" s="1"/>
  <c r="F38" i="2"/>
  <c r="G38" i="2" s="1"/>
  <c r="A39" i="2"/>
  <c r="H38" i="2"/>
  <c r="J38" i="2"/>
  <c r="L38" i="2"/>
  <c r="B38" i="3" l="1"/>
  <c r="C37" i="3"/>
  <c r="E37" i="3"/>
  <c r="D37" i="3"/>
  <c r="I36" i="3"/>
  <c r="K36" i="3" s="1"/>
  <c r="M36" i="3"/>
  <c r="N36" i="3" s="1"/>
  <c r="L39" i="2"/>
  <c r="A40" i="2"/>
  <c r="J39" i="2"/>
  <c r="H39" i="2"/>
  <c r="F39" i="2"/>
  <c r="G39" i="2" s="1"/>
  <c r="H39" i="3"/>
  <c r="F39" i="3"/>
  <c r="G39" i="3" s="1"/>
  <c r="L39" i="3"/>
  <c r="A40" i="3"/>
  <c r="J39" i="3"/>
  <c r="I36" i="2"/>
  <c r="K36" i="2" s="1"/>
  <c r="M36" i="2"/>
  <c r="N36" i="2" s="1"/>
  <c r="C37" i="2"/>
  <c r="B38" i="2"/>
  <c r="E37" i="2"/>
  <c r="D37" i="2"/>
  <c r="L40" i="3" l="1"/>
  <c r="A41" i="3"/>
  <c r="F40" i="3"/>
  <c r="G40" i="3" s="1"/>
  <c r="H40" i="3"/>
  <c r="J40" i="3"/>
  <c r="B39" i="2"/>
  <c r="C38" i="2"/>
  <c r="D38" i="2"/>
  <c r="E38" i="2"/>
  <c r="C38" i="3"/>
  <c r="B39" i="3"/>
  <c r="E38" i="3"/>
  <c r="D38" i="3"/>
  <c r="I37" i="2"/>
  <c r="K37" i="2" s="1"/>
  <c r="M37" i="2"/>
  <c r="N37" i="2" s="1"/>
  <c r="I37" i="3"/>
  <c r="K37" i="3" s="1"/>
  <c r="M37" i="3"/>
  <c r="N37" i="3" s="1"/>
  <c r="H40" i="2"/>
  <c r="J40" i="2"/>
  <c r="A41" i="2"/>
  <c r="L40" i="2"/>
  <c r="F40" i="2"/>
  <c r="G40" i="2" s="1"/>
  <c r="B40" i="3" l="1"/>
  <c r="C39" i="3"/>
  <c r="E39" i="3"/>
  <c r="D39" i="3"/>
  <c r="J41" i="3"/>
  <c r="H41" i="3"/>
  <c r="F41" i="3"/>
  <c r="G41" i="3" s="1"/>
  <c r="A42" i="3"/>
  <c r="L41" i="3"/>
  <c r="A42" i="2"/>
  <c r="F41" i="2"/>
  <c r="G41" i="2" s="1"/>
  <c r="L41" i="2"/>
  <c r="J41" i="2"/>
  <c r="H41" i="2"/>
  <c r="I38" i="3"/>
  <c r="K38" i="3" s="1"/>
  <c r="M38" i="3"/>
  <c r="N38" i="3" s="1"/>
  <c r="I38" i="2"/>
  <c r="K38" i="2" s="1"/>
  <c r="M38" i="2"/>
  <c r="N38" i="2" s="1"/>
  <c r="C39" i="2"/>
  <c r="B40" i="2"/>
  <c r="E39" i="2"/>
  <c r="D39" i="2"/>
  <c r="F42" i="3" l="1"/>
  <c r="G42" i="3" s="1"/>
  <c r="A43" i="3"/>
  <c r="H42" i="3"/>
  <c r="J42" i="3"/>
  <c r="L42" i="3"/>
  <c r="B41" i="2"/>
  <c r="C40" i="2"/>
  <c r="E40" i="2"/>
  <c r="D40" i="2"/>
  <c r="I39" i="3"/>
  <c r="K39" i="3" s="1"/>
  <c r="M39" i="3"/>
  <c r="N39" i="3" s="1"/>
  <c r="C40" i="3"/>
  <c r="B41" i="3"/>
  <c r="D40" i="3"/>
  <c r="E40" i="3"/>
  <c r="I39" i="2"/>
  <c r="K39" i="2" s="1"/>
  <c r="M39" i="2"/>
  <c r="N39" i="2" s="1"/>
  <c r="J42" i="2"/>
  <c r="L42" i="2"/>
  <c r="F42" i="2"/>
  <c r="G42" i="2" s="1"/>
  <c r="A43" i="2"/>
  <c r="H42" i="2"/>
  <c r="F43" i="2" l="1"/>
  <c r="G43" i="2" s="1"/>
  <c r="A44" i="2"/>
  <c r="H43" i="2"/>
  <c r="J43" i="2"/>
  <c r="L43" i="2"/>
  <c r="C41" i="3"/>
  <c r="B42" i="3"/>
  <c r="E41" i="3"/>
  <c r="D41" i="3"/>
  <c r="I40" i="2"/>
  <c r="K40" i="2" s="1"/>
  <c r="M40" i="2"/>
  <c r="N40" i="2" s="1"/>
  <c r="I40" i="3"/>
  <c r="K40" i="3" s="1"/>
  <c r="M40" i="3"/>
  <c r="N40" i="3" s="1"/>
  <c r="L43" i="3"/>
  <c r="J43" i="3"/>
  <c r="H43" i="3"/>
  <c r="F43" i="3"/>
  <c r="G43" i="3" s="1"/>
  <c r="A44" i="3"/>
  <c r="C41" i="2"/>
  <c r="B42" i="2"/>
  <c r="E41" i="2"/>
  <c r="D41" i="2"/>
  <c r="H44" i="3" l="1"/>
  <c r="F44" i="3"/>
  <c r="G44" i="3" s="1"/>
  <c r="L44" i="3"/>
  <c r="J44" i="3"/>
  <c r="A45" i="3"/>
  <c r="I41" i="2"/>
  <c r="K41" i="2" s="1"/>
  <c r="M41" i="2"/>
  <c r="N41" i="2" s="1"/>
  <c r="C42" i="2"/>
  <c r="B43" i="2"/>
  <c r="E42" i="2"/>
  <c r="D42" i="2"/>
  <c r="L44" i="2"/>
  <c r="H44" i="2"/>
  <c r="F44" i="2"/>
  <c r="G44" i="2" s="1"/>
  <c r="J44" i="2"/>
  <c r="A45" i="2"/>
  <c r="B43" i="3"/>
  <c r="C42" i="3"/>
  <c r="E42" i="3"/>
  <c r="D42" i="3"/>
  <c r="I41" i="3"/>
  <c r="K41" i="3" s="1"/>
  <c r="M41" i="3"/>
  <c r="N41" i="3" s="1"/>
  <c r="L45" i="3" l="1"/>
  <c r="A46" i="3"/>
  <c r="J45" i="3"/>
  <c r="H45" i="3"/>
  <c r="F45" i="3"/>
  <c r="G45" i="3" s="1"/>
  <c r="I42" i="3"/>
  <c r="K42" i="3" s="1"/>
  <c r="M42" i="3"/>
  <c r="N42" i="3" s="1"/>
  <c r="C43" i="3"/>
  <c r="B44" i="3"/>
  <c r="E43" i="3"/>
  <c r="D43" i="3"/>
  <c r="H45" i="2"/>
  <c r="J45" i="2"/>
  <c r="L45" i="2"/>
  <c r="F45" i="2"/>
  <c r="G45" i="2" s="1"/>
  <c r="A46" i="2"/>
  <c r="B44" i="2"/>
  <c r="C43" i="2"/>
  <c r="E43" i="2"/>
  <c r="D43" i="2"/>
  <c r="I42" i="2"/>
  <c r="K42" i="2" s="1"/>
  <c r="M42" i="2"/>
  <c r="N42" i="2" s="1"/>
  <c r="I43" i="3" l="1"/>
  <c r="M43" i="3"/>
  <c r="N43" i="3" s="1"/>
  <c r="J46" i="3"/>
  <c r="H46" i="3"/>
  <c r="A47" i="3"/>
  <c r="F46" i="3"/>
  <c r="G46" i="3" s="1"/>
  <c r="L46" i="3"/>
  <c r="K43" i="3"/>
  <c r="I43" i="2"/>
  <c r="K43" i="2" s="1"/>
  <c r="M43" i="2"/>
  <c r="N43" i="2" s="1"/>
  <c r="C44" i="2"/>
  <c r="B45" i="2"/>
  <c r="D44" i="2"/>
  <c r="E44" i="2"/>
  <c r="B45" i="3"/>
  <c r="C44" i="3"/>
  <c r="D44" i="3"/>
  <c r="E44" i="3"/>
  <c r="A47" i="2"/>
  <c r="F46" i="2"/>
  <c r="G46" i="2" s="1"/>
  <c r="J46" i="2"/>
  <c r="L46" i="2"/>
  <c r="H46" i="2"/>
  <c r="C45" i="3" l="1"/>
  <c r="B46" i="3"/>
  <c r="D45" i="3"/>
  <c r="E45" i="3"/>
  <c r="B46" i="2"/>
  <c r="C45" i="2"/>
  <c r="E45" i="2"/>
  <c r="D45" i="2"/>
  <c r="I44" i="2"/>
  <c r="K44" i="2" s="1"/>
  <c r="M44" i="2"/>
  <c r="N44" i="2" s="1"/>
  <c r="F47" i="3"/>
  <c r="G47" i="3" s="1"/>
  <c r="A48" i="3"/>
  <c r="H47" i="3"/>
  <c r="L47" i="3"/>
  <c r="J47" i="3"/>
  <c r="J47" i="2"/>
  <c r="L47" i="2"/>
  <c r="A48" i="2"/>
  <c r="F47" i="2"/>
  <c r="G47" i="2" s="1"/>
  <c r="H47" i="2"/>
  <c r="I44" i="3"/>
  <c r="K44" i="3" s="1"/>
  <c r="M44" i="3"/>
  <c r="N44" i="3" s="1"/>
  <c r="B47" i="3" l="1"/>
  <c r="C46" i="3"/>
  <c r="E46" i="3"/>
  <c r="D46" i="3"/>
  <c r="I45" i="2"/>
  <c r="K45" i="2" s="1"/>
  <c r="M45" i="2"/>
  <c r="N45" i="2" s="1"/>
  <c r="C46" i="2"/>
  <c r="B47" i="2"/>
  <c r="E46" i="2"/>
  <c r="D46" i="2"/>
  <c r="I45" i="3"/>
  <c r="K45" i="3" s="1"/>
  <c r="M45" i="3"/>
  <c r="N45" i="3" s="1"/>
  <c r="L48" i="3"/>
  <c r="J48" i="3"/>
  <c r="F48" i="3"/>
  <c r="G48" i="3" s="1"/>
  <c r="H48" i="3"/>
  <c r="A49" i="3"/>
  <c r="F48" i="2"/>
  <c r="G48" i="2" s="1"/>
  <c r="A49" i="2"/>
  <c r="H48" i="2"/>
  <c r="L48" i="2"/>
  <c r="J48" i="2"/>
  <c r="C47" i="2" l="1"/>
  <c r="B48" i="2"/>
  <c r="D47" i="2"/>
  <c r="E47" i="2"/>
  <c r="B48" i="3"/>
  <c r="C47" i="3"/>
  <c r="E47" i="3"/>
  <c r="D47" i="3"/>
  <c r="H49" i="3"/>
  <c r="F49" i="3"/>
  <c r="G49" i="3" s="1"/>
  <c r="J49" i="3"/>
  <c r="L49" i="3"/>
  <c r="A50" i="3"/>
  <c r="I46" i="3"/>
  <c r="K46" i="3" s="1"/>
  <c r="M46" i="3"/>
  <c r="N46" i="3" s="1"/>
  <c r="L49" i="2"/>
  <c r="F49" i="2"/>
  <c r="G49" i="2" s="1"/>
  <c r="H49" i="2"/>
  <c r="J49" i="2"/>
  <c r="A50" i="2"/>
  <c r="I46" i="2"/>
  <c r="K46" i="2" s="1"/>
  <c r="M46" i="2"/>
  <c r="N46" i="2" s="1"/>
  <c r="I47" i="3" l="1"/>
  <c r="K47" i="3" s="1"/>
  <c r="M47" i="3"/>
  <c r="N47" i="3" s="1"/>
  <c r="I47" i="2"/>
  <c r="K47" i="2" s="1"/>
  <c r="M47" i="2"/>
  <c r="N47" i="2" s="1"/>
  <c r="H50" i="2"/>
  <c r="J50" i="2"/>
  <c r="F50" i="2"/>
  <c r="G50" i="2" s="1"/>
  <c r="L50" i="2"/>
  <c r="A51" i="2"/>
  <c r="C48" i="3"/>
  <c r="B49" i="3"/>
  <c r="E48" i="3"/>
  <c r="D48" i="3"/>
  <c r="B49" i="2"/>
  <c r="C48" i="2"/>
  <c r="D48" i="2"/>
  <c r="E48" i="2"/>
  <c r="L50" i="3"/>
  <c r="A51" i="3"/>
  <c r="J50" i="3"/>
  <c r="H50" i="3"/>
  <c r="F50" i="3"/>
  <c r="G50" i="3" s="1"/>
  <c r="C49" i="2" l="1"/>
  <c r="B50" i="2"/>
  <c r="E49" i="2"/>
  <c r="D49" i="2"/>
  <c r="J51" i="3"/>
  <c r="H51" i="3"/>
  <c r="L51" i="3"/>
  <c r="A52" i="3"/>
  <c r="F51" i="3"/>
  <c r="G51" i="3" s="1"/>
  <c r="B50" i="3"/>
  <c r="C49" i="3"/>
  <c r="E49" i="3"/>
  <c r="D49" i="3"/>
  <c r="I48" i="3"/>
  <c r="K48" i="3" s="1"/>
  <c r="M48" i="3"/>
  <c r="N48" i="3" s="1"/>
  <c r="I48" i="2"/>
  <c r="K48" i="2" s="1"/>
  <c r="M48" i="2"/>
  <c r="N48" i="2" s="1"/>
  <c r="A52" i="2"/>
  <c r="F51" i="2"/>
  <c r="G51" i="2" s="1"/>
  <c r="J51" i="2"/>
  <c r="L51" i="2"/>
  <c r="H51" i="2"/>
  <c r="I49" i="3" l="1"/>
  <c r="K49" i="3" s="1"/>
  <c r="M49" i="3"/>
  <c r="N49" i="3" s="1"/>
  <c r="C50" i="3"/>
  <c r="B51" i="3"/>
  <c r="D50" i="3"/>
  <c r="E50" i="3"/>
  <c r="I49" i="2"/>
  <c r="K49" i="2" s="1"/>
  <c r="M49" i="2"/>
  <c r="N49" i="2" s="1"/>
  <c r="B51" i="2"/>
  <c r="C50" i="2"/>
  <c r="E50" i="2"/>
  <c r="D50" i="2"/>
  <c r="J52" i="2"/>
  <c r="L52" i="2"/>
  <c r="A53" i="2"/>
  <c r="H52" i="2"/>
  <c r="F52" i="2"/>
  <c r="G52" i="2" s="1"/>
  <c r="F52" i="3"/>
  <c r="G52" i="3" s="1"/>
  <c r="A53" i="3"/>
  <c r="L52" i="3"/>
  <c r="H52" i="3"/>
  <c r="J52" i="3"/>
  <c r="F53" i="2" l="1"/>
  <c r="G53" i="2" s="1"/>
  <c r="A54" i="2"/>
  <c r="H53" i="2"/>
  <c r="L53" i="2"/>
  <c r="J53" i="2"/>
  <c r="I50" i="2"/>
  <c r="K50" i="2" s="1"/>
  <c r="M50" i="2"/>
  <c r="N50" i="2" s="1"/>
  <c r="B52" i="3"/>
  <c r="C51" i="3"/>
  <c r="E51" i="3"/>
  <c r="D51" i="3"/>
  <c r="L53" i="3"/>
  <c r="J53" i="3"/>
  <c r="F53" i="3"/>
  <c r="G53" i="3" s="1"/>
  <c r="A54" i="3"/>
  <c r="H53" i="3"/>
  <c r="I50" i="3"/>
  <c r="K50" i="3" s="1"/>
  <c r="M50" i="3"/>
  <c r="N50" i="3" s="1"/>
  <c r="C51" i="2"/>
  <c r="B52" i="2"/>
  <c r="E51" i="2"/>
  <c r="D51" i="2"/>
  <c r="I51" i="3" l="1"/>
  <c r="K51" i="3" s="1"/>
  <c r="M51" i="3"/>
  <c r="N51" i="3" s="1"/>
  <c r="B53" i="3"/>
  <c r="C52" i="3"/>
  <c r="E52" i="3"/>
  <c r="D52" i="3"/>
  <c r="B53" i="2"/>
  <c r="C52" i="2"/>
  <c r="E52" i="2"/>
  <c r="D52" i="2"/>
  <c r="I51" i="2"/>
  <c r="K51" i="2" s="1"/>
  <c r="M51" i="2"/>
  <c r="N51" i="2" s="1"/>
  <c r="L54" i="2"/>
  <c r="F54" i="2"/>
  <c r="G54" i="2" s="1"/>
  <c r="A55" i="2"/>
  <c r="J54" i="2"/>
  <c r="H54" i="2"/>
  <c r="H54" i="3"/>
  <c r="F54" i="3"/>
  <c r="G54" i="3" s="1"/>
  <c r="J54" i="3"/>
  <c r="A55" i="3"/>
  <c r="L54" i="3"/>
  <c r="H55" i="2" l="1"/>
  <c r="J55" i="2"/>
  <c r="F55" i="2"/>
  <c r="G55" i="2" s="1"/>
  <c r="A56" i="2"/>
  <c r="L55" i="2"/>
  <c r="L55" i="3"/>
  <c r="A56" i="3"/>
  <c r="H55" i="3"/>
  <c r="F55" i="3"/>
  <c r="G55" i="3" s="1"/>
  <c r="J55" i="3"/>
  <c r="C53" i="3"/>
  <c r="B54" i="3"/>
  <c r="D53" i="3"/>
  <c r="E53" i="3"/>
  <c r="B54" i="2"/>
  <c r="C53" i="2"/>
  <c r="E53" i="2"/>
  <c r="D53" i="2"/>
  <c r="I52" i="3"/>
  <c r="K52" i="3" s="1"/>
  <c r="M52" i="3"/>
  <c r="N52" i="3" s="1"/>
  <c r="I52" i="2"/>
  <c r="K52" i="2" s="1"/>
  <c r="M52" i="2"/>
  <c r="N52" i="2" s="1"/>
  <c r="B55" i="3" l="1"/>
  <c r="C54" i="3"/>
  <c r="D54" i="3"/>
  <c r="E54" i="3"/>
  <c r="A57" i="2"/>
  <c r="F56" i="2"/>
  <c r="G56" i="2" s="1"/>
  <c r="H56" i="2"/>
  <c r="J56" i="2"/>
  <c r="L56" i="2"/>
  <c r="I53" i="2"/>
  <c r="K53" i="2" s="1"/>
  <c r="M53" i="2"/>
  <c r="N53" i="2" s="1"/>
  <c r="C54" i="2"/>
  <c r="B55" i="2"/>
  <c r="D54" i="2"/>
  <c r="E54" i="2"/>
  <c r="J56" i="3"/>
  <c r="H56" i="3"/>
  <c r="L56" i="3"/>
  <c r="F56" i="3"/>
  <c r="G56" i="3" s="1"/>
  <c r="A57" i="3"/>
  <c r="I53" i="3"/>
  <c r="K53" i="3" s="1"/>
  <c r="M53" i="3"/>
  <c r="N53" i="3" s="1"/>
  <c r="I54" i="2" l="1"/>
  <c r="K54" i="2" s="1"/>
  <c r="M54" i="2"/>
  <c r="N54" i="2" s="1"/>
  <c r="J57" i="2"/>
  <c r="L57" i="2"/>
  <c r="H57" i="2"/>
  <c r="F57" i="2"/>
  <c r="G57" i="2" s="1"/>
  <c r="A58" i="2"/>
  <c r="F57" i="3"/>
  <c r="G57" i="3" s="1"/>
  <c r="A58" i="3"/>
  <c r="L57" i="3"/>
  <c r="J57" i="3"/>
  <c r="H57" i="3"/>
  <c r="B56" i="2"/>
  <c r="C55" i="2"/>
  <c r="E55" i="2"/>
  <c r="D55" i="2"/>
  <c r="I54" i="3"/>
  <c r="K54" i="3" s="1"/>
  <c r="M54" i="3"/>
  <c r="N54" i="3" s="1"/>
  <c r="C55" i="3"/>
  <c r="B56" i="3"/>
  <c r="D55" i="3"/>
  <c r="E55" i="3"/>
  <c r="I55" i="3" l="1"/>
  <c r="K55" i="3" s="1"/>
  <c r="M55" i="3"/>
  <c r="N55" i="3" s="1"/>
  <c r="C56" i="3"/>
  <c r="B57" i="3"/>
  <c r="E56" i="3"/>
  <c r="D56" i="3"/>
  <c r="L58" i="3"/>
  <c r="J58" i="3"/>
  <c r="A59" i="3"/>
  <c r="F58" i="3"/>
  <c r="G58" i="3" s="1"/>
  <c r="H58" i="3"/>
  <c r="I55" i="2"/>
  <c r="K55" i="2" s="1"/>
  <c r="M55" i="2"/>
  <c r="N55" i="2" s="1"/>
  <c r="C56" i="2"/>
  <c r="B57" i="2"/>
  <c r="E56" i="2"/>
  <c r="D56" i="2"/>
  <c r="F58" i="2"/>
  <c r="G58" i="2" s="1"/>
  <c r="A59" i="2"/>
  <c r="H58" i="2"/>
  <c r="J58" i="2"/>
  <c r="L58" i="2"/>
  <c r="B58" i="2" l="1"/>
  <c r="C57" i="2"/>
  <c r="E57" i="2"/>
  <c r="D57" i="2"/>
  <c r="L59" i="2"/>
  <c r="A60" i="2"/>
  <c r="J59" i="2"/>
  <c r="H59" i="2"/>
  <c r="F59" i="2"/>
  <c r="G59" i="2" s="1"/>
  <c r="B58" i="3"/>
  <c r="C57" i="3"/>
  <c r="D57" i="3"/>
  <c r="E57" i="3"/>
  <c r="H59" i="3"/>
  <c r="F59" i="3"/>
  <c r="G59" i="3" s="1"/>
  <c r="A60" i="3"/>
  <c r="L59" i="3"/>
  <c r="J59" i="3"/>
  <c r="I56" i="3"/>
  <c r="K56" i="3" s="1"/>
  <c r="M56" i="3"/>
  <c r="N56" i="3" s="1"/>
  <c r="I56" i="2"/>
  <c r="K56" i="2" s="1"/>
  <c r="M56" i="2"/>
  <c r="N56" i="2" s="1"/>
  <c r="H60" i="2" l="1"/>
  <c r="J60" i="2"/>
  <c r="A61" i="2"/>
  <c r="L60" i="2"/>
  <c r="F60" i="2"/>
  <c r="G60" i="2" s="1"/>
  <c r="I57" i="2"/>
  <c r="K57" i="2" s="1"/>
  <c r="M57" i="2"/>
  <c r="N57" i="2" s="1"/>
  <c r="I57" i="3"/>
  <c r="K57" i="3" s="1"/>
  <c r="M57" i="3"/>
  <c r="N57" i="3" s="1"/>
  <c r="C58" i="3"/>
  <c r="B59" i="3"/>
  <c r="D58" i="3"/>
  <c r="E58" i="3"/>
  <c r="B59" i="2"/>
  <c r="C58" i="2"/>
  <c r="E58" i="2"/>
  <c r="D58" i="2"/>
  <c r="L60" i="3"/>
  <c r="A61" i="3"/>
  <c r="F60" i="3"/>
  <c r="G60" i="3" s="1"/>
  <c r="H60" i="3"/>
  <c r="J60" i="3"/>
  <c r="C59" i="2" l="1"/>
  <c r="B60" i="2"/>
  <c r="E59" i="2"/>
  <c r="D59" i="2"/>
  <c r="B60" i="3"/>
  <c r="C59" i="3"/>
  <c r="D59" i="3"/>
  <c r="E59" i="3"/>
  <c r="A62" i="2"/>
  <c r="F61" i="2"/>
  <c r="G61" i="2" s="1"/>
  <c r="H61" i="2"/>
  <c r="J61" i="2"/>
  <c r="L61" i="2"/>
  <c r="I58" i="3"/>
  <c r="K58" i="3" s="1"/>
  <c r="M58" i="3"/>
  <c r="N58" i="3" s="1"/>
  <c r="J61" i="3"/>
  <c r="H61" i="3"/>
  <c r="F61" i="3"/>
  <c r="G61" i="3" s="1"/>
  <c r="L61" i="3"/>
  <c r="A62" i="3"/>
  <c r="I58" i="2"/>
  <c r="K58" i="2" s="1"/>
  <c r="M58" i="2"/>
  <c r="N58" i="2" s="1"/>
  <c r="J62" i="2" l="1"/>
  <c r="L62" i="2"/>
  <c r="F62" i="2"/>
  <c r="G62" i="2" s="1"/>
  <c r="H62" i="2"/>
  <c r="A63" i="2"/>
  <c r="C60" i="3"/>
  <c r="B61" i="3"/>
  <c r="D60" i="3"/>
  <c r="E60" i="3"/>
  <c r="C60" i="2"/>
  <c r="B61" i="2"/>
  <c r="D60" i="2"/>
  <c r="E60" i="2"/>
  <c r="I59" i="3"/>
  <c r="K59" i="3" s="1"/>
  <c r="M59" i="3"/>
  <c r="N59" i="3" s="1"/>
  <c r="F62" i="3"/>
  <c r="G62" i="3" s="1"/>
  <c r="A63" i="3"/>
  <c r="J62" i="3"/>
  <c r="H62" i="3"/>
  <c r="L62" i="3"/>
  <c r="I59" i="2"/>
  <c r="K59" i="2" s="1"/>
  <c r="M59" i="2"/>
  <c r="N59" i="2" s="1"/>
  <c r="C61" i="2" l="1"/>
  <c r="B62" i="2"/>
  <c r="E61" i="2"/>
  <c r="D61" i="2"/>
  <c r="I60" i="3"/>
  <c r="K60" i="3" s="1"/>
  <c r="M60" i="3"/>
  <c r="N60" i="3" s="1"/>
  <c r="L63" i="3"/>
  <c r="J63" i="3"/>
  <c r="H63" i="3"/>
  <c r="A64" i="3"/>
  <c r="F63" i="3"/>
  <c r="G63" i="3" s="1"/>
  <c r="B62" i="3"/>
  <c r="C61" i="3"/>
  <c r="E61" i="3"/>
  <c r="D61" i="3"/>
  <c r="F63" i="2"/>
  <c r="G63" i="2" s="1"/>
  <c r="A64" i="2"/>
  <c r="H63" i="2"/>
  <c r="J63" i="2"/>
  <c r="L63" i="2"/>
  <c r="I60" i="2"/>
  <c r="K60" i="2" s="1"/>
  <c r="M60" i="2"/>
  <c r="N60" i="2" s="1"/>
  <c r="I61" i="3" l="1"/>
  <c r="K61" i="3" s="1"/>
  <c r="M61" i="3"/>
  <c r="N61" i="3" s="1"/>
  <c r="B63" i="3"/>
  <c r="C62" i="3"/>
  <c r="D62" i="3"/>
  <c r="E62" i="3"/>
  <c r="I61" i="2"/>
  <c r="K61" i="2" s="1"/>
  <c r="M61" i="2"/>
  <c r="N61" i="2" s="1"/>
  <c r="C62" i="2"/>
  <c r="B63" i="2"/>
  <c r="D62" i="2"/>
  <c r="E62" i="2"/>
  <c r="H64" i="3"/>
  <c r="F64" i="3"/>
  <c r="G64" i="3" s="1"/>
  <c r="L64" i="3"/>
  <c r="J64" i="3"/>
  <c r="A65" i="3"/>
  <c r="L64" i="2"/>
  <c r="A65" i="2"/>
  <c r="J64" i="2"/>
  <c r="H64" i="2"/>
  <c r="F64" i="2"/>
  <c r="G64" i="2" s="1"/>
  <c r="I62" i="3" l="1"/>
  <c r="K62" i="3" s="1"/>
  <c r="M62" i="3"/>
  <c r="N62" i="3" s="1"/>
  <c r="H65" i="2"/>
  <c r="J65" i="2"/>
  <c r="A66" i="2"/>
  <c r="L65" i="2"/>
  <c r="F65" i="2"/>
  <c r="G65" i="2" s="1"/>
  <c r="I62" i="2"/>
  <c r="K62" i="2" s="1"/>
  <c r="M62" i="2"/>
  <c r="N62" i="2" s="1"/>
  <c r="J65" i="3"/>
  <c r="A66" i="3"/>
  <c r="F65" i="3"/>
  <c r="G65" i="3" s="1"/>
  <c r="L65" i="3"/>
  <c r="H65" i="3"/>
  <c r="B64" i="2"/>
  <c r="C63" i="2"/>
  <c r="D63" i="2"/>
  <c r="E63" i="2"/>
  <c r="C63" i="3"/>
  <c r="B64" i="3"/>
  <c r="E63" i="3"/>
  <c r="D63" i="3"/>
  <c r="I63" i="2" l="1"/>
  <c r="K63" i="2" s="1"/>
  <c r="M63" i="2"/>
  <c r="N63" i="2" s="1"/>
  <c r="I63" i="3"/>
  <c r="K63" i="3" s="1"/>
  <c r="M63" i="3"/>
  <c r="N63" i="3" s="1"/>
  <c r="B65" i="3"/>
  <c r="C64" i="3"/>
  <c r="D64" i="3"/>
  <c r="E64" i="3"/>
  <c r="A67" i="2"/>
  <c r="F66" i="2"/>
  <c r="G66" i="2" s="1"/>
  <c r="L66" i="2"/>
  <c r="J66" i="2"/>
  <c r="H66" i="2"/>
  <c r="F66" i="3"/>
  <c r="G66" i="3" s="1"/>
  <c r="L66" i="3"/>
  <c r="J66" i="3"/>
  <c r="H66" i="3"/>
  <c r="A67" i="3"/>
  <c r="C64" i="2"/>
  <c r="B65" i="2"/>
  <c r="E64" i="2"/>
  <c r="D64" i="2"/>
  <c r="I64" i="3" l="1"/>
  <c r="K64" i="3" s="1"/>
  <c r="M64" i="3"/>
  <c r="N64" i="3" s="1"/>
  <c r="I64" i="2"/>
  <c r="K64" i="2" s="1"/>
  <c r="M64" i="2"/>
  <c r="N64" i="2" s="1"/>
  <c r="B66" i="2"/>
  <c r="C65" i="2"/>
  <c r="D65" i="2"/>
  <c r="E65" i="2"/>
  <c r="C65" i="3"/>
  <c r="B66" i="3"/>
  <c r="E65" i="3"/>
  <c r="D65" i="3"/>
  <c r="L67" i="3"/>
  <c r="H67" i="3"/>
  <c r="J67" i="3"/>
  <c r="F67" i="3"/>
  <c r="G67" i="3" s="1"/>
  <c r="A68" i="3"/>
  <c r="J67" i="2"/>
  <c r="L67" i="2"/>
  <c r="F67" i="2"/>
  <c r="G67" i="2" s="1"/>
  <c r="A68" i="2"/>
  <c r="H67" i="2"/>
  <c r="I65" i="2" l="1"/>
  <c r="K65" i="2" s="1"/>
  <c r="M65" i="2"/>
  <c r="N65" i="2" s="1"/>
  <c r="F68" i="2"/>
  <c r="G68" i="2" s="1"/>
  <c r="A69" i="2"/>
  <c r="H68" i="2"/>
  <c r="J68" i="2"/>
  <c r="L68" i="2"/>
  <c r="H68" i="3"/>
  <c r="F68" i="3"/>
  <c r="G68" i="3" s="1"/>
  <c r="A69" i="3"/>
  <c r="L68" i="3"/>
  <c r="J68" i="3"/>
  <c r="C66" i="2"/>
  <c r="B67" i="2"/>
  <c r="E66" i="2"/>
  <c r="D66" i="2"/>
  <c r="B67" i="3"/>
  <c r="C66" i="3"/>
  <c r="E66" i="3"/>
  <c r="D66" i="3"/>
  <c r="I65" i="3"/>
  <c r="K65" i="3" s="1"/>
  <c r="M65" i="3"/>
  <c r="N65" i="3" s="1"/>
  <c r="I66" i="3" l="1"/>
  <c r="K66" i="3" s="1"/>
  <c r="M66" i="3"/>
  <c r="N66" i="3" s="1"/>
  <c r="A70" i="3"/>
  <c r="L69" i="3"/>
  <c r="F69" i="3"/>
  <c r="G69" i="3" s="1"/>
  <c r="J69" i="3"/>
  <c r="H69" i="3"/>
  <c r="B68" i="3"/>
  <c r="C67" i="3"/>
  <c r="D67" i="3"/>
  <c r="E67" i="3"/>
  <c r="L69" i="2"/>
  <c r="F69" i="2"/>
  <c r="G69" i="2" s="1"/>
  <c r="H69" i="2"/>
  <c r="J69" i="2"/>
  <c r="A70" i="2"/>
  <c r="I66" i="2"/>
  <c r="K66" i="2" s="1"/>
  <c r="M66" i="2"/>
  <c r="N66" i="2" s="1"/>
  <c r="C67" i="2"/>
  <c r="B68" i="2"/>
  <c r="E67" i="2"/>
  <c r="D67" i="2"/>
  <c r="H70" i="2" l="1"/>
  <c r="J70" i="2"/>
  <c r="L70" i="2"/>
  <c r="F70" i="2"/>
  <c r="G70" i="2" s="1"/>
  <c r="A71" i="2"/>
  <c r="B69" i="3"/>
  <c r="C68" i="3"/>
  <c r="E68" i="3"/>
  <c r="D68" i="3"/>
  <c r="I67" i="2"/>
  <c r="K67" i="2" s="1"/>
  <c r="M67" i="2"/>
  <c r="N67" i="2" s="1"/>
  <c r="I67" i="3"/>
  <c r="K67" i="3" s="1"/>
  <c r="M67" i="3"/>
  <c r="N67" i="3" s="1"/>
  <c r="L70" i="3"/>
  <c r="J70" i="3"/>
  <c r="A71" i="3"/>
  <c r="F70" i="3"/>
  <c r="G70" i="3" s="1"/>
  <c r="H70" i="3"/>
  <c r="B69" i="2"/>
  <c r="C68" i="2"/>
  <c r="E68" i="2"/>
  <c r="D68" i="2"/>
  <c r="I68" i="2" l="1"/>
  <c r="K68" i="2" s="1"/>
  <c r="M68" i="2"/>
  <c r="N68" i="2" s="1"/>
  <c r="A72" i="2"/>
  <c r="F71" i="2"/>
  <c r="G71" i="2" s="1"/>
  <c r="L71" i="2"/>
  <c r="J71" i="2"/>
  <c r="H71" i="2"/>
  <c r="C69" i="2"/>
  <c r="B70" i="2"/>
  <c r="E69" i="2"/>
  <c r="D69" i="2"/>
  <c r="I68" i="3"/>
  <c r="K68" i="3" s="1"/>
  <c r="M68" i="3"/>
  <c r="N68" i="3" s="1"/>
  <c r="H71" i="3"/>
  <c r="F71" i="3"/>
  <c r="G71" i="3" s="1"/>
  <c r="L71" i="3"/>
  <c r="J71" i="3"/>
  <c r="A72" i="3"/>
  <c r="B70" i="3"/>
  <c r="C69" i="3"/>
  <c r="E69" i="3"/>
  <c r="D69" i="3"/>
  <c r="I69" i="3" l="1"/>
  <c r="K69" i="3" s="1"/>
  <c r="M69" i="3"/>
  <c r="N69" i="3" s="1"/>
  <c r="C70" i="3"/>
  <c r="B71" i="3"/>
  <c r="E70" i="3"/>
  <c r="D70" i="3"/>
  <c r="I69" i="2"/>
  <c r="K69" i="2" s="1"/>
  <c r="M69" i="2"/>
  <c r="N69" i="2" s="1"/>
  <c r="J72" i="2"/>
  <c r="L72" i="2"/>
  <c r="A73" i="2"/>
  <c r="H72" i="2"/>
  <c r="F72" i="2"/>
  <c r="G72" i="2" s="1"/>
  <c r="C70" i="2"/>
  <c r="B71" i="2"/>
  <c r="E70" i="2"/>
  <c r="D70" i="2"/>
  <c r="L72" i="3"/>
  <c r="J72" i="3"/>
  <c r="H72" i="3"/>
  <c r="A73" i="3"/>
  <c r="F72" i="3"/>
  <c r="G72" i="3" s="1"/>
  <c r="C71" i="2" l="1"/>
  <c r="B72" i="2"/>
  <c r="E71" i="2"/>
  <c r="D71" i="2"/>
  <c r="I70" i="3"/>
  <c r="K70" i="3" s="1"/>
  <c r="M70" i="3"/>
  <c r="N70" i="3" s="1"/>
  <c r="B72" i="3"/>
  <c r="C71" i="3"/>
  <c r="D71" i="3"/>
  <c r="E71" i="3"/>
  <c r="J73" i="3"/>
  <c r="H73" i="3"/>
  <c r="F73" i="3"/>
  <c r="G73" i="3" s="1"/>
  <c r="L73" i="3"/>
  <c r="A74" i="3"/>
  <c r="F73" i="2"/>
  <c r="G73" i="2" s="1"/>
  <c r="A74" i="2"/>
  <c r="H73" i="2"/>
  <c r="L73" i="2"/>
  <c r="J73" i="2"/>
  <c r="I70" i="2"/>
  <c r="K70" i="2" s="1"/>
  <c r="M70" i="2"/>
  <c r="N70" i="2" s="1"/>
  <c r="F74" i="3" l="1"/>
  <c r="G74" i="3" s="1"/>
  <c r="H74" i="3"/>
  <c r="L74" i="3"/>
  <c r="J74" i="3"/>
  <c r="A75" i="3"/>
  <c r="C72" i="2"/>
  <c r="B73" i="2"/>
  <c r="D72" i="2"/>
  <c r="E72" i="2"/>
  <c r="B73" i="3"/>
  <c r="C72" i="3"/>
  <c r="D72" i="3"/>
  <c r="E72" i="3"/>
  <c r="I71" i="2"/>
  <c r="K71" i="2" s="1"/>
  <c r="M71" i="2"/>
  <c r="N71" i="2" s="1"/>
  <c r="I71" i="3"/>
  <c r="K71" i="3" s="1"/>
  <c r="M71" i="3"/>
  <c r="N71" i="3" s="1"/>
  <c r="L74" i="2"/>
  <c r="F74" i="2"/>
  <c r="G74" i="2" s="1"/>
  <c r="H74" i="2"/>
  <c r="J74" i="2"/>
  <c r="A75" i="2"/>
  <c r="L75" i="3" l="1"/>
  <c r="J75" i="3"/>
  <c r="F75" i="3"/>
  <c r="G75" i="3" s="1"/>
  <c r="A76" i="3"/>
  <c r="H75" i="3"/>
  <c r="H75" i="2"/>
  <c r="J75" i="2"/>
  <c r="F75" i="2"/>
  <c r="G75" i="2" s="1"/>
  <c r="L75" i="2"/>
  <c r="A76" i="2"/>
  <c r="I72" i="3"/>
  <c r="K72" i="3" s="1"/>
  <c r="M72" i="3"/>
  <c r="N72" i="3" s="1"/>
  <c r="C73" i="3"/>
  <c r="B74" i="3"/>
  <c r="D73" i="3"/>
  <c r="E73" i="3"/>
  <c r="I72" i="2"/>
  <c r="K72" i="2" s="1"/>
  <c r="M72" i="2"/>
  <c r="N72" i="2" s="1"/>
  <c r="B74" i="2"/>
  <c r="C73" i="2"/>
  <c r="D73" i="2"/>
  <c r="E73" i="2"/>
  <c r="I73" i="2" l="1"/>
  <c r="K73" i="2" s="1"/>
  <c r="M73" i="2"/>
  <c r="N73" i="2" s="1"/>
  <c r="H76" i="3"/>
  <c r="F76" i="3"/>
  <c r="G76" i="3" s="1"/>
  <c r="A77" i="3"/>
  <c r="J76" i="3"/>
  <c r="L76" i="3"/>
  <c r="C74" i="2"/>
  <c r="B75" i="2"/>
  <c r="D74" i="2"/>
  <c r="E74" i="2"/>
  <c r="I73" i="3"/>
  <c r="K73" i="3" s="1"/>
  <c r="M73" i="3"/>
  <c r="N73" i="3" s="1"/>
  <c r="B75" i="3"/>
  <c r="C74" i="3"/>
  <c r="D74" i="3"/>
  <c r="E74" i="3"/>
  <c r="A77" i="2"/>
  <c r="F76" i="2"/>
  <c r="G76" i="2" s="1"/>
  <c r="J76" i="2"/>
  <c r="H76" i="2"/>
  <c r="L76" i="2"/>
  <c r="L77" i="3" l="1"/>
  <c r="A78" i="3"/>
  <c r="J77" i="3"/>
  <c r="H77" i="3"/>
  <c r="F77" i="3"/>
  <c r="G77" i="3" s="1"/>
  <c r="J77" i="2"/>
  <c r="L77" i="2"/>
  <c r="A78" i="2"/>
  <c r="H77" i="2"/>
  <c r="F77" i="2"/>
  <c r="G77" i="2" s="1"/>
  <c r="C75" i="2"/>
  <c r="B76" i="2"/>
  <c r="E75" i="2"/>
  <c r="D75" i="2"/>
  <c r="I74" i="3"/>
  <c r="K74" i="3" s="1"/>
  <c r="M74" i="3"/>
  <c r="N74" i="3" s="1"/>
  <c r="B76" i="3"/>
  <c r="C75" i="3"/>
  <c r="E75" i="3"/>
  <c r="D75" i="3"/>
  <c r="I74" i="2"/>
  <c r="K74" i="2" s="1"/>
  <c r="M74" i="2"/>
  <c r="N74" i="2" s="1"/>
  <c r="B77" i="3" l="1"/>
  <c r="C76" i="3"/>
  <c r="E76" i="3"/>
  <c r="D76" i="3"/>
  <c r="J78" i="3"/>
  <c r="H78" i="3"/>
  <c r="L78" i="3"/>
  <c r="A79" i="3"/>
  <c r="F78" i="3"/>
  <c r="G78" i="3" s="1"/>
  <c r="C76" i="2"/>
  <c r="B77" i="2"/>
  <c r="D76" i="2"/>
  <c r="E76" i="2"/>
  <c r="I75" i="3"/>
  <c r="K75" i="3" s="1"/>
  <c r="M75" i="3"/>
  <c r="N75" i="3" s="1"/>
  <c r="F78" i="2"/>
  <c r="G78" i="2" s="1"/>
  <c r="A79" i="2"/>
  <c r="H78" i="2"/>
  <c r="L78" i="2"/>
  <c r="J78" i="2"/>
  <c r="I75" i="2"/>
  <c r="K75" i="2" s="1"/>
  <c r="M75" i="2"/>
  <c r="N75" i="2" s="1"/>
  <c r="I76" i="2" l="1"/>
  <c r="K76" i="2" s="1"/>
  <c r="M76" i="2"/>
  <c r="N76" i="2" s="1"/>
  <c r="B78" i="2"/>
  <c r="C77" i="2"/>
  <c r="D77" i="2"/>
  <c r="E77" i="2"/>
  <c r="I76" i="3"/>
  <c r="K76" i="3" s="1"/>
  <c r="M76" i="3"/>
  <c r="N76" i="3" s="1"/>
  <c r="B78" i="3"/>
  <c r="C77" i="3"/>
  <c r="E77" i="3"/>
  <c r="D77" i="3"/>
  <c r="L79" i="2"/>
  <c r="F79" i="2"/>
  <c r="G79" i="2" s="1"/>
  <c r="A80" i="2"/>
  <c r="J79" i="2"/>
  <c r="H79" i="2"/>
  <c r="F79" i="3"/>
  <c r="G79" i="3" s="1"/>
  <c r="L79" i="3"/>
  <c r="J79" i="3"/>
  <c r="H79" i="3"/>
  <c r="A80" i="3"/>
  <c r="I77" i="2" l="1"/>
  <c r="K77" i="2" s="1"/>
  <c r="M77" i="2"/>
  <c r="N77" i="2" s="1"/>
  <c r="B79" i="2"/>
  <c r="C78" i="2"/>
  <c r="E78" i="2"/>
  <c r="D78" i="2"/>
  <c r="I77" i="3"/>
  <c r="K77" i="3" s="1"/>
  <c r="M77" i="3"/>
  <c r="N77" i="3" s="1"/>
  <c r="L80" i="3"/>
  <c r="J80" i="3"/>
  <c r="H80" i="3"/>
  <c r="F80" i="3"/>
  <c r="G80" i="3" s="1"/>
  <c r="A81" i="3"/>
  <c r="H80" i="2"/>
  <c r="J80" i="2"/>
  <c r="F80" i="2"/>
  <c r="G80" i="2" s="1"/>
  <c r="A81" i="2"/>
  <c r="L80" i="2"/>
  <c r="C78" i="3"/>
  <c r="B79" i="3"/>
  <c r="D78" i="3"/>
  <c r="E78" i="3"/>
  <c r="I78" i="3" l="1"/>
  <c r="K78" i="3" s="1"/>
  <c r="M78" i="3"/>
  <c r="N78" i="3" s="1"/>
  <c r="B80" i="3"/>
  <c r="C79" i="3"/>
  <c r="E79" i="3"/>
  <c r="D79" i="3"/>
  <c r="H81" i="3"/>
  <c r="F81" i="3"/>
  <c r="G81" i="3" s="1"/>
  <c r="J81" i="3"/>
  <c r="A82" i="3"/>
  <c r="L81" i="3"/>
  <c r="I78" i="2"/>
  <c r="K78" i="2" s="1"/>
  <c r="M78" i="2"/>
  <c r="N78" i="2" s="1"/>
  <c r="C79" i="2"/>
  <c r="B80" i="2"/>
  <c r="D79" i="2"/>
  <c r="E79" i="2"/>
  <c r="A82" i="2"/>
  <c r="F81" i="2"/>
  <c r="G81" i="2" s="1"/>
  <c r="H81" i="2"/>
  <c r="J81" i="2"/>
  <c r="L81" i="2"/>
  <c r="B81" i="2" l="1"/>
  <c r="C80" i="2"/>
  <c r="E80" i="2"/>
  <c r="D80" i="2"/>
  <c r="B81" i="3"/>
  <c r="C80" i="3"/>
  <c r="E80" i="3"/>
  <c r="D80" i="3"/>
  <c r="I79" i="2"/>
  <c r="K79" i="2" s="1"/>
  <c r="M79" i="2"/>
  <c r="N79" i="2" s="1"/>
  <c r="L82" i="3"/>
  <c r="H82" i="3"/>
  <c r="F82" i="3"/>
  <c r="G82" i="3" s="1"/>
  <c r="J82" i="3"/>
  <c r="A83" i="3"/>
  <c r="I79" i="3"/>
  <c r="K79" i="3" s="1"/>
  <c r="M79" i="3"/>
  <c r="N79" i="3" s="1"/>
  <c r="J82" i="2"/>
  <c r="L82" i="2"/>
  <c r="F82" i="2"/>
  <c r="G82" i="2" s="1"/>
  <c r="H82" i="2"/>
  <c r="A83" i="2"/>
  <c r="I80" i="2" l="1"/>
  <c r="K80" i="2" s="1"/>
  <c r="M80" i="2"/>
  <c r="N80" i="2" s="1"/>
  <c r="C81" i="2"/>
  <c r="B82" i="2"/>
  <c r="E81" i="2"/>
  <c r="D81" i="2"/>
  <c r="F83" i="2"/>
  <c r="G83" i="2" s="1"/>
  <c r="A84" i="2"/>
  <c r="H83" i="2"/>
  <c r="L83" i="2"/>
  <c r="J83" i="2"/>
  <c r="J83" i="3"/>
  <c r="H83" i="3"/>
  <c r="F83" i="3"/>
  <c r="G83" i="3" s="1"/>
  <c r="L83" i="3"/>
  <c r="A84" i="3"/>
  <c r="I80" i="3"/>
  <c r="K80" i="3" s="1"/>
  <c r="M80" i="3"/>
  <c r="N80" i="3" s="1"/>
  <c r="B82" i="3"/>
  <c r="C81" i="3"/>
  <c r="D81" i="3"/>
  <c r="E81" i="3"/>
  <c r="I81" i="3" l="1"/>
  <c r="K81" i="3" s="1"/>
  <c r="M81" i="3"/>
  <c r="N81" i="3" s="1"/>
  <c r="L84" i="2"/>
  <c r="A85" i="2"/>
  <c r="J84" i="2"/>
  <c r="F84" i="2"/>
  <c r="G84" i="2" s="1"/>
  <c r="H84" i="2"/>
  <c r="I81" i="2"/>
  <c r="K81" i="2" s="1"/>
  <c r="M81" i="2"/>
  <c r="N81" i="2" s="1"/>
  <c r="F84" i="3"/>
  <c r="G84" i="3" s="1"/>
  <c r="A85" i="3"/>
  <c r="L84" i="3"/>
  <c r="J84" i="3"/>
  <c r="H84" i="3"/>
  <c r="C82" i="3"/>
  <c r="B83" i="3"/>
  <c r="E82" i="3"/>
  <c r="D82" i="3"/>
  <c r="B83" i="2"/>
  <c r="C82" i="2"/>
  <c r="E82" i="2"/>
  <c r="D82" i="2"/>
  <c r="I82" i="2" l="1"/>
  <c r="K82" i="2" s="1"/>
  <c r="M82" i="2"/>
  <c r="N82" i="2" s="1"/>
  <c r="L85" i="3"/>
  <c r="J85" i="3"/>
  <c r="A86" i="3"/>
  <c r="F85" i="3"/>
  <c r="G85" i="3" s="1"/>
  <c r="H85" i="3"/>
  <c r="H85" i="2"/>
  <c r="J85" i="2"/>
  <c r="A86" i="2"/>
  <c r="L85" i="2"/>
  <c r="F85" i="2"/>
  <c r="G85" i="2" s="1"/>
  <c r="I82" i="3"/>
  <c r="K82" i="3" s="1"/>
  <c r="M82" i="3"/>
  <c r="N82" i="3" s="1"/>
  <c r="B84" i="3"/>
  <c r="C83" i="3"/>
  <c r="E83" i="3"/>
  <c r="D83" i="3"/>
  <c r="B84" i="2"/>
  <c r="C83" i="2"/>
  <c r="D83" i="2"/>
  <c r="E83" i="2"/>
  <c r="I83" i="2" l="1"/>
  <c r="K83" i="2" s="1"/>
  <c r="M83" i="2"/>
  <c r="N83" i="2" s="1"/>
  <c r="C84" i="2"/>
  <c r="B85" i="2"/>
  <c r="E84" i="2"/>
  <c r="D84" i="2"/>
  <c r="A87" i="2"/>
  <c r="F86" i="2"/>
  <c r="G86" i="2" s="1"/>
  <c r="H86" i="2"/>
  <c r="L86" i="2"/>
  <c r="J86" i="2"/>
  <c r="I83" i="3"/>
  <c r="M83" i="3"/>
  <c r="N83" i="3" s="1"/>
  <c r="K83" i="3"/>
  <c r="H86" i="3"/>
  <c r="F86" i="3"/>
  <c r="G86" i="3" s="1"/>
  <c r="L86" i="3"/>
  <c r="A87" i="3"/>
  <c r="J86" i="3"/>
  <c r="B85" i="3"/>
  <c r="C84" i="3"/>
  <c r="D84" i="3"/>
  <c r="E84" i="3"/>
  <c r="I84" i="3" l="1"/>
  <c r="M84" i="3"/>
  <c r="N84" i="3" s="1"/>
  <c r="J87" i="2"/>
  <c r="L87" i="2"/>
  <c r="F87" i="2"/>
  <c r="G87" i="2" s="1"/>
  <c r="H87" i="2"/>
  <c r="A88" i="2"/>
  <c r="B86" i="3"/>
  <c r="C85" i="3"/>
  <c r="E85" i="3"/>
  <c r="D85" i="3"/>
  <c r="I84" i="2"/>
  <c r="K84" i="2" s="1"/>
  <c r="M84" i="2"/>
  <c r="N84" i="2" s="1"/>
  <c r="L87" i="3"/>
  <c r="J87" i="3"/>
  <c r="A88" i="3"/>
  <c r="H87" i="3"/>
  <c r="F87" i="3"/>
  <c r="G87" i="3" s="1"/>
  <c r="K84" i="3"/>
  <c r="C85" i="2"/>
  <c r="B86" i="2"/>
  <c r="D85" i="2"/>
  <c r="E85" i="2"/>
  <c r="C86" i="2" l="1"/>
  <c r="B87" i="2"/>
  <c r="E86" i="2"/>
  <c r="D86" i="2"/>
  <c r="I85" i="2"/>
  <c r="K85" i="2" s="1"/>
  <c r="M85" i="2"/>
  <c r="N85" i="2" s="1"/>
  <c r="F88" i="2"/>
  <c r="G88" i="2" s="1"/>
  <c r="A89" i="2"/>
  <c r="H88" i="2"/>
  <c r="J88" i="2"/>
  <c r="L88" i="2"/>
  <c r="I85" i="3"/>
  <c r="K85" i="3" s="1"/>
  <c r="M85" i="3"/>
  <c r="N85" i="3" s="1"/>
  <c r="J88" i="3"/>
  <c r="L88" i="3"/>
  <c r="D88" i="3"/>
  <c r="F88" i="3"/>
  <c r="G88" i="3" s="1"/>
  <c r="A89" i="3"/>
  <c r="B87" i="3"/>
  <c r="C86" i="3"/>
  <c r="E86" i="3"/>
  <c r="D86" i="3"/>
  <c r="I86" i="3" l="1"/>
  <c r="K86" i="3" s="1"/>
  <c r="M86" i="3"/>
  <c r="N86" i="3" s="1"/>
  <c r="L89" i="2"/>
  <c r="A90" i="2"/>
  <c r="H89" i="2"/>
  <c r="J89" i="2"/>
  <c r="F89" i="2"/>
  <c r="G89" i="2" s="1"/>
  <c r="B88" i="3"/>
  <c r="C87" i="3"/>
  <c r="D87" i="3"/>
  <c r="E87" i="3"/>
  <c r="F89" i="3"/>
  <c r="G89" i="3" s="1"/>
  <c r="D89" i="3"/>
  <c r="J89" i="3"/>
  <c r="H89" i="3"/>
  <c r="L89" i="3"/>
  <c r="A90" i="3"/>
  <c r="C87" i="2"/>
  <c r="B88" i="2"/>
  <c r="D87" i="2"/>
  <c r="E87" i="2"/>
  <c r="I86" i="2"/>
  <c r="K86" i="2" s="1"/>
  <c r="M86" i="2"/>
  <c r="N86" i="2" s="1"/>
  <c r="I87" i="3" l="1"/>
  <c r="K87" i="3" s="1"/>
  <c r="M87" i="3"/>
  <c r="N87" i="3" s="1"/>
  <c r="B89" i="2"/>
  <c r="C88" i="2"/>
  <c r="E88" i="2"/>
  <c r="D88" i="2"/>
  <c r="I87" i="2"/>
  <c r="K87" i="2" s="1"/>
  <c r="M87" i="2"/>
  <c r="N87" i="2" s="1"/>
  <c r="H90" i="2"/>
  <c r="J90" i="2"/>
  <c r="A91" i="2"/>
  <c r="L90" i="2"/>
  <c r="F90" i="2"/>
  <c r="G90" i="2" s="1"/>
  <c r="L90" i="3"/>
  <c r="J90" i="3"/>
  <c r="H90" i="3"/>
  <c r="F90" i="3"/>
  <c r="G90" i="3" s="1"/>
  <c r="A91" i="3"/>
  <c r="D90" i="3"/>
  <c r="C88" i="3"/>
  <c r="B89" i="3"/>
  <c r="E88" i="3"/>
  <c r="C33" i="1" l="1"/>
  <c r="H91" i="3"/>
  <c r="F91" i="3"/>
  <c r="G91" i="3" s="1"/>
  <c r="D91" i="3"/>
  <c r="J91" i="3"/>
  <c r="A92" i="3"/>
  <c r="L91" i="3"/>
  <c r="I88" i="2"/>
  <c r="K88" i="2" s="1"/>
  <c r="M88" i="2"/>
  <c r="N88" i="2" s="1"/>
  <c r="M88" i="3"/>
  <c r="N88" i="3" s="1"/>
  <c r="B90" i="3"/>
  <c r="C89" i="3"/>
  <c r="E89" i="3"/>
  <c r="C89" i="2"/>
  <c r="B90" i="2"/>
  <c r="D89" i="2"/>
  <c r="E89" i="2" s="1"/>
  <c r="A92" i="2"/>
  <c r="F91" i="2"/>
  <c r="G91" i="2" s="1"/>
  <c r="L91" i="2"/>
  <c r="J91" i="2"/>
  <c r="H91" i="2"/>
  <c r="I89" i="2" l="1"/>
  <c r="K89" i="2" s="1"/>
  <c r="M89" i="2"/>
  <c r="N89" i="2" s="1"/>
  <c r="D92" i="3"/>
  <c r="L92" i="3"/>
  <c r="F92" i="3"/>
  <c r="G92" i="3" s="1"/>
  <c r="J92" i="3"/>
  <c r="H92" i="3"/>
  <c r="A93" i="3"/>
  <c r="B91" i="2"/>
  <c r="C90" i="2"/>
  <c r="D90" i="2"/>
  <c r="E90" i="2"/>
  <c r="I89" i="3"/>
  <c r="M89" i="3"/>
  <c r="N89" i="3" s="1"/>
  <c r="B91" i="3"/>
  <c r="C90" i="3"/>
  <c r="E90" i="3"/>
  <c r="J92" i="2"/>
  <c r="L92" i="2"/>
  <c r="F92" i="2"/>
  <c r="G92" i="2" s="1"/>
  <c r="A93" i="2"/>
  <c r="H92" i="2"/>
  <c r="I90" i="3" l="1"/>
  <c r="M90" i="3"/>
  <c r="N90" i="3" s="1"/>
  <c r="I90" i="2"/>
  <c r="K90" i="2" s="1"/>
  <c r="M90" i="2"/>
  <c r="N90" i="2" s="1"/>
  <c r="B92" i="3"/>
  <c r="C91" i="3"/>
  <c r="E91" i="3"/>
  <c r="F93" i="2"/>
  <c r="G93" i="2" s="1"/>
  <c r="A94" i="2"/>
  <c r="H93" i="2"/>
  <c r="J93" i="2"/>
  <c r="L93" i="2"/>
  <c r="C91" i="2"/>
  <c r="B92" i="2"/>
  <c r="D91" i="2"/>
  <c r="E91" i="2" s="1"/>
  <c r="J93" i="3"/>
  <c r="H93" i="3"/>
  <c r="D93" i="3"/>
  <c r="A94" i="3"/>
  <c r="L93" i="3"/>
  <c r="F93" i="3"/>
  <c r="G93" i="3" s="1"/>
  <c r="I91" i="2" l="1"/>
  <c r="M91" i="2"/>
  <c r="N91" i="2" s="1"/>
  <c r="K91" i="2"/>
  <c r="C92" i="2"/>
  <c r="B93" i="2"/>
  <c r="D92" i="2"/>
  <c r="E92" i="2" s="1"/>
  <c r="L94" i="2"/>
  <c r="H94" i="2"/>
  <c r="F94" i="2"/>
  <c r="G94" i="2" s="1"/>
  <c r="J94" i="2"/>
  <c r="A95" i="2"/>
  <c r="I91" i="3"/>
  <c r="M91" i="3"/>
  <c r="N91" i="3" s="1"/>
  <c r="B93" i="3"/>
  <c r="C92" i="3"/>
  <c r="E92" i="3"/>
  <c r="F94" i="3"/>
  <c r="G94" i="3" s="1"/>
  <c r="D94" i="3"/>
  <c r="A95" i="3"/>
  <c r="L94" i="3"/>
  <c r="H94" i="3"/>
  <c r="J94" i="3"/>
  <c r="I92" i="2" l="1"/>
  <c r="M92" i="2"/>
  <c r="N92" i="2" s="1"/>
  <c r="B94" i="2"/>
  <c r="C93" i="2"/>
  <c r="D93" i="2"/>
  <c r="E93" i="2" s="1"/>
  <c r="K92" i="2"/>
  <c r="B94" i="3"/>
  <c r="C93" i="3"/>
  <c r="E93" i="3"/>
  <c r="H95" i="2"/>
  <c r="J95" i="2"/>
  <c r="F95" i="2"/>
  <c r="G95" i="2" s="1"/>
  <c r="L95" i="2"/>
  <c r="A96" i="2"/>
  <c r="I92" i="3"/>
  <c r="M92" i="3"/>
  <c r="N92" i="3" s="1"/>
  <c r="L95" i="3"/>
  <c r="J95" i="3"/>
  <c r="A96" i="3"/>
  <c r="H95" i="3"/>
  <c r="F95" i="3"/>
  <c r="G95" i="3" s="1"/>
  <c r="D95" i="3"/>
  <c r="I93" i="2" l="1"/>
  <c r="M93" i="2"/>
  <c r="N93" i="2" s="1"/>
  <c r="I93" i="3"/>
  <c r="M93" i="3"/>
  <c r="N93" i="3" s="1"/>
  <c r="K93" i="2"/>
  <c r="C94" i="2"/>
  <c r="B95" i="2"/>
  <c r="D94" i="2"/>
  <c r="E94" i="2" s="1"/>
  <c r="B95" i="3"/>
  <c r="C94" i="3"/>
  <c r="E94" i="3"/>
  <c r="A97" i="2"/>
  <c r="F96" i="2"/>
  <c r="G96" i="2" s="1"/>
  <c r="L96" i="2"/>
  <c r="J96" i="2"/>
  <c r="H96" i="2"/>
  <c r="H96" i="3"/>
  <c r="F96" i="3"/>
  <c r="G96" i="3" s="1"/>
  <c r="L96" i="3"/>
  <c r="J96" i="3"/>
  <c r="A97" i="3"/>
  <c r="D96" i="3"/>
  <c r="I94" i="2" l="1"/>
  <c r="M94" i="2"/>
  <c r="N94" i="2" s="1"/>
  <c r="C95" i="3"/>
  <c r="B96" i="3"/>
  <c r="E95" i="3"/>
  <c r="B96" i="2"/>
  <c r="C95" i="2"/>
  <c r="D95" i="2"/>
  <c r="E95" i="2" s="1"/>
  <c r="D97" i="3"/>
  <c r="L97" i="3"/>
  <c r="J97" i="3"/>
  <c r="H97" i="3"/>
  <c r="F97" i="3"/>
  <c r="G97" i="3" s="1"/>
  <c r="A98" i="3"/>
  <c r="K94" i="2"/>
  <c r="J97" i="2"/>
  <c r="L97" i="2"/>
  <c r="A98" i="2"/>
  <c r="F97" i="2"/>
  <c r="G97" i="2" s="1"/>
  <c r="H97" i="2"/>
  <c r="I94" i="3"/>
  <c r="M94" i="3"/>
  <c r="N94" i="3" s="1"/>
  <c r="I95" i="2" l="1"/>
  <c r="M95" i="2"/>
  <c r="N95" i="2" s="1"/>
  <c r="C96" i="2"/>
  <c r="B97" i="2"/>
  <c r="D96" i="2"/>
  <c r="E96" i="2" s="1"/>
  <c r="J98" i="3"/>
  <c r="H98" i="3"/>
  <c r="F98" i="3"/>
  <c r="G98" i="3" s="1"/>
  <c r="L98" i="3"/>
  <c r="D98" i="3"/>
  <c r="A99" i="3"/>
  <c r="I95" i="3"/>
  <c r="M95" i="3"/>
  <c r="N95" i="3" s="1"/>
  <c r="K95" i="2"/>
  <c r="B97" i="3"/>
  <c r="C96" i="3"/>
  <c r="E96" i="3"/>
  <c r="F98" i="2"/>
  <c r="G98" i="2" s="1"/>
  <c r="A99" i="2"/>
  <c r="H98" i="2"/>
  <c r="L98" i="2"/>
  <c r="J98" i="2"/>
  <c r="I96" i="2" l="1"/>
  <c r="M96" i="2"/>
  <c r="N96" i="2" s="1"/>
  <c r="I96" i="3"/>
  <c r="M96" i="3"/>
  <c r="N96" i="3" s="1"/>
  <c r="C97" i="3"/>
  <c r="B98" i="3"/>
  <c r="E97" i="3"/>
  <c r="K96" i="2"/>
  <c r="C97" i="2"/>
  <c r="B98" i="2"/>
  <c r="D97" i="2"/>
  <c r="E97" i="2"/>
  <c r="L99" i="2"/>
  <c r="F99" i="2"/>
  <c r="G99" i="2" s="1"/>
  <c r="H99" i="2"/>
  <c r="J99" i="2"/>
  <c r="A100" i="2"/>
  <c r="F99" i="3"/>
  <c r="G99" i="3" s="1"/>
  <c r="A100" i="3"/>
  <c r="D99" i="3"/>
  <c r="H99" i="3"/>
  <c r="J99" i="3"/>
  <c r="L99" i="3"/>
  <c r="H100" i="2" l="1"/>
  <c r="J100" i="2"/>
  <c r="F100" i="2"/>
  <c r="G100" i="2" s="1"/>
  <c r="L100" i="2"/>
  <c r="A101" i="2"/>
  <c r="K97" i="2"/>
  <c r="I97" i="3"/>
  <c r="M97" i="3"/>
  <c r="N97" i="3" s="1"/>
  <c r="C98" i="3"/>
  <c r="B99" i="3"/>
  <c r="E98" i="3"/>
  <c r="B99" i="2"/>
  <c r="C98" i="2"/>
  <c r="D98" i="2"/>
  <c r="E98" i="2" s="1"/>
  <c r="L100" i="3"/>
  <c r="J100" i="3"/>
  <c r="H100" i="3"/>
  <c r="F100" i="3"/>
  <c r="G100" i="3" s="1"/>
  <c r="D100" i="3"/>
  <c r="A101" i="3"/>
  <c r="I97" i="2"/>
  <c r="M97" i="2"/>
  <c r="N97" i="2" s="1"/>
  <c r="I98" i="2" l="1"/>
  <c r="M98" i="2"/>
  <c r="N98" i="2" s="1"/>
  <c r="K98" i="2"/>
  <c r="A102" i="2"/>
  <c r="F101" i="2"/>
  <c r="G101" i="2" s="1"/>
  <c r="H101" i="2"/>
  <c r="J101" i="2"/>
  <c r="L101" i="2"/>
  <c r="I98" i="3"/>
  <c r="M98" i="3"/>
  <c r="N98" i="3" s="1"/>
  <c r="H101" i="3"/>
  <c r="F101" i="3"/>
  <c r="G101" i="3" s="1"/>
  <c r="J101" i="3"/>
  <c r="L101" i="3"/>
  <c r="A102" i="3"/>
  <c r="D101" i="3"/>
  <c r="C99" i="2"/>
  <c r="B100" i="2"/>
  <c r="D99" i="2"/>
  <c r="E99" i="2" s="1"/>
  <c r="B100" i="3"/>
  <c r="C99" i="3"/>
  <c r="E99" i="3"/>
  <c r="I99" i="2" l="1"/>
  <c r="M99" i="2"/>
  <c r="N99" i="2" s="1"/>
  <c r="I99" i="3"/>
  <c r="M99" i="3"/>
  <c r="N99" i="3" s="1"/>
  <c r="K99" i="2"/>
  <c r="D102" i="3"/>
  <c r="L102" i="3"/>
  <c r="H102" i="3"/>
  <c r="J102" i="3"/>
  <c r="A103" i="3"/>
  <c r="F102" i="3"/>
  <c r="G102" i="3" s="1"/>
  <c r="J102" i="2"/>
  <c r="L102" i="2"/>
  <c r="A103" i="2"/>
  <c r="H102" i="2"/>
  <c r="F102" i="2"/>
  <c r="G102" i="2" s="1"/>
  <c r="B101" i="2"/>
  <c r="C100" i="2"/>
  <c r="D100" i="2"/>
  <c r="E100" i="2" s="1"/>
  <c r="C100" i="3"/>
  <c r="B101" i="3"/>
  <c r="E100" i="3"/>
  <c r="I100" i="2" l="1"/>
  <c r="M100" i="2"/>
  <c r="N100" i="2" s="1"/>
  <c r="I100" i="3"/>
  <c r="M100" i="3"/>
  <c r="N100" i="3" s="1"/>
  <c r="F103" i="2"/>
  <c r="G103" i="2" s="1"/>
  <c r="A104" i="2"/>
  <c r="H103" i="2"/>
  <c r="L103" i="2"/>
  <c r="J103" i="2"/>
  <c r="B102" i="3"/>
  <c r="C101" i="3"/>
  <c r="E101" i="3"/>
  <c r="K100" i="2"/>
  <c r="C101" i="2"/>
  <c r="B102" i="2"/>
  <c r="D101" i="2"/>
  <c r="E101" i="2" s="1"/>
  <c r="J103" i="3"/>
  <c r="H103" i="3"/>
  <c r="F103" i="3"/>
  <c r="G103" i="3" s="1"/>
  <c r="L103" i="3"/>
  <c r="D103" i="3"/>
  <c r="A104" i="3"/>
  <c r="I101" i="2" l="1"/>
  <c r="M101" i="2"/>
  <c r="N101" i="2" s="1"/>
  <c r="F104" i="3"/>
  <c r="G104" i="3" s="1"/>
  <c r="A105" i="3"/>
  <c r="D104" i="3"/>
  <c r="J104" i="3"/>
  <c r="H104" i="3"/>
  <c r="L104" i="3"/>
  <c r="K101" i="2"/>
  <c r="I101" i="3"/>
  <c r="M101" i="3"/>
  <c r="N101" i="3" s="1"/>
  <c r="B103" i="2"/>
  <c r="C102" i="2"/>
  <c r="D102" i="2"/>
  <c r="E102" i="2" s="1"/>
  <c r="L104" i="2"/>
  <c r="F104" i="2"/>
  <c r="G104" i="2" s="1"/>
  <c r="A105" i="2"/>
  <c r="J104" i="2"/>
  <c r="H104" i="2"/>
  <c r="C102" i="3"/>
  <c r="B103" i="3"/>
  <c r="E102" i="3"/>
  <c r="I102" i="2" l="1"/>
  <c r="M102" i="2"/>
  <c r="N102" i="2" s="1"/>
  <c r="H105" i="2"/>
  <c r="J105" i="2"/>
  <c r="F105" i="2"/>
  <c r="G105" i="2" s="1"/>
  <c r="A106" i="2"/>
  <c r="L105" i="2"/>
  <c r="I102" i="3"/>
  <c r="M102" i="3"/>
  <c r="N102" i="3" s="1"/>
  <c r="L105" i="3"/>
  <c r="J105" i="3"/>
  <c r="H105" i="3"/>
  <c r="D105" i="3"/>
  <c r="A106" i="3"/>
  <c r="F105" i="3"/>
  <c r="G105" i="3" s="1"/>
  <c r="C103" i="3"/>
  <c r="B104" i="3"/>
  <c r="E103" i="3"/>
  <c r="B104" i="2"/>
  <c r="C103" i="2"/>
  <c r="D103" i="2"/>
  <c r="E103" i="2"/>
  <c r="K102" i="2"/>
  <c r="I103" i="2" l="1"/>
  <c r="M103" i="2"/>
  <c r="N103" i="2" s="1"/>
  <c r="C104" i="2"/>
  <c r="B105" i="2"/>
  <c r="D104" i="2"/>
  <c r="E104" i="2" s="1"/>
  <c r="A107" i="2"/>
  <c r="F106" i="2"/>
  <c r="G106" i="2" s="1"/>
  <c r="H106" i="2"/>
  <c r="J106" i="2"/>
  <c r="L106" i="2"/>
  <c r="I103" i="3"/>
  <c r="M103" i="3"/>
  <c r="N103" i="3" s="1"/>
  <c r="H106" i="3"/>
  <c r="F106" i="3"/>
  <c r="G106" i="3" s="1"/>
  <c r="J106" i="3"/>
  <c r="L106" i="3"/>
  <c r="A107" i="3"/>
  <c r="D106" i="3"/>
  <c r="K103" i="2"/>
  <c r="B105" i="3"/>
  <c r="C104" i="3"/>
  <c r="E104" i="3"/>
  <c r="I104" i="3" l="1"/>
  <c r="M104" i="3"/>
  <c r="N104" i="3" s="1"/>
  <c r="J107" i="2"/>
  <c r="L107" i="2"/>
  <c r="H107" i="2"/>
  <c r="F107" i="2"/>
  <c r="G107" i="2" s="1"/>
  <c r="A108" i="2"/>
  <c r="C105" i="3"/>
  <c r="B106" i="3"/>
  <c r="E105" i="3"/>
  <c r="I104" i="2"/>
  <c r="K104" i="2" s="1"/>
  <c r="M104" i="2"/>
  <c r="N104" i="2" s="1"/>
  <c r="B106" i="2"/>
  <c r="C105" i="2"/>
  <c r="D105" i="2"/>
  <c r="E105" i="2" s="1"/>
  <c r="D107" i="3"/>
  <c r="L107" i="3"/>
  <c r="J107" i="3"/>
  <c r="H107" i="3"/>
  <c r="F107" i="3"/>
  <c r="G107" i="3" s="1"/>
  <c r="A108" i="3"/>
  <c r="I105" i="2" l="1"/>
  <c r="M105" i="2"/>
  <c r="N105" i="2" s="1"/>
  <c r="J108" i="3"/>
  <c r="H108" i="3"/>
  <c r="L108" i="3"/>
  <c r="F108" i="3"/>
  <c r="G108" i="3" s="1"/>
  <c r="A109" i="3"/>
  <c r="D108" i="3"/>
  <c r="B107" i="3"/>
  <c r="C106" i="3"/>
  <c r="E106" i="3"/>
  <c r="F108" i="2"/>
  <c r="G108" i="2" s="1"/>
  <c r="A109" i="2"/>
  <c r="H108" i="2"/>
  <c r="L108" i="2"/>
  <c r="J108" i="2"/>
  <c r="C106" i="2"/>
  <c r="B107" i="2"/>
  <c r="D106" i="2"/>
  <c r="E106" i="2" s="1"/>
  <c r="K105" i="2"/>
  <c r="I105" i="3"/>
  <c r="M105" i="3"/>
  <c r="N105" i="3" s="1"/>
  <c r="I106" i="2" l="1"/>
  <c r="M106" i="2"/>
  <c r="N106" i="2" s="1"/>
  <c r="I106" i="3"/>
  <c r="M106" i="3"/>
  <c r="N106" i="3" s="1"/>
  <c r="L109" i="2"/>
  <c r="J109" i="2"/>
  <c r="A110" i="2"/>
  <c r="H109" i="2"/>
  <c r="F109" i="2"/>
  <c r="G109" i="2" s="1"/>
  <c r="F109" i="3"/>
  <c r="G109" i="3" s="1"/>
  <c r="A110" i="3"/>
  <c r="D109" i="3"/>
  <c r="J109" i="3"/>
  <c r="L109" i="3"/>
  <c r="H109" i="3"/>
  <c r="K106" i="2"/>
  <c r="C107" i="2"/>
  <c r="B108" i="2"/>
  <c r="D107" i="2"/>
  <c r="E107" i="2" s="1"/>
  <c r="C107" i="3"/>
  <c r="B108" i="3"/>
  <c r="E107" i="3"/>
  <c r="H110" i="2" l="1"/>
  <c r="J110" i="2"/>
  <c r="A111" i="2"/>
  <c r="F110" i="2"/>
  <c r="G110" i="2" s="1"/>
  <c r="L110" i="2"/>
  <c r="B109" i="2"/>
  <c r="C108" i="2"/>
  <c r="D108" i="2"/>
  <c r="E108" i="2" s="1"/>
  <c r="B109" i="3"/>
  <c r="C108" i="3"/>
  <c r="E108" i="3"/>
  <c r="I107" i="3"/>
  <c r="M107" i="3"/>
  <c r="N107" i="3" s="1"/>
  <c r="I107" i="2"/>
  <c r="K107" i="2" s="1"/>
  <c r="M107" i="2"/>
  <c r="N107" i="2" s="1"/>
  <c r="L110" i="3"/>
  <c r="J110" i="3"/>
  <c r="H110" i="3"/>
  <c r="F110" i="3"/>
  <c r="G110" i="3" s="1"/>
  <c r="D110" i="3"/>
  <c r="A111" i="3"/>
  <c r="A112" i="2" l="1"/>
  <c r="F111" i="2"/>
  <c r="G111" i="2" s="1"/>
  <c r="H111" i="2"/>
  <c r="L111" i="2"/>
  <c r="J111" i="2"/>
  <c r="C109" i="2"/>
  <c r="B110" i="2"/>
  <c r="D109" i="2"/>
  <c r="E109" i="2" s="1"/>
  <c r="H111" i="3"/>
  <c r="F111" i="3"/>
  <c r="G111" i="3" s="1"/>
  <c r="L111" i="3"/>
  <c r="A112" i="3"/>
  <c r="J111" i="3"/>
  <c r="D111" i="3"/>
  <c r="I108" i="2"/>
  <c r="M108" i="2"/>
  <c r="N108" i="2" s="1"/>
  <c r="K108" i="2"/>
  <c r="I108" i="3"/>
  <c r="M108" i="3"/>
  <c r="N108" i="3" s="1"/>
  <c r="B110" i="3"/>
  <c r="C109" i="3"/>
  <c r="E109" i="3"/>
  <c r="I109" i="2" l="1"/>
  <c r="M109" i="2"/>
  <c r="N109" i="2" s="1"/>
  <c r="C110" i="2"/>
  <c r="B111" i="2"/>
  <c r="D110" i="2"/>
  <c r="E110" i="2" s="1"/>
  <c r="D112" i="3"/>
  <c r="L112" i="3"/>
  <c r="A113" i="3"/>
  <c r="F112" i="3"/>
  <c r="G112" i="3" s="1"/>
  <c r="H112" i="3"/>
  <c r="J112" i="3"/>
  <c r="K109" i="2"/>
  <c r="I109" i="3"/>
  <c r="M109" i="3"/>
  <c r="N109" i="3" s="1"/>
  <c r="C110" i="3"/>
  <c r="B111" i="3"/>
  <c r="E110" i="3"/>
  <c r="J112" i="2"/>
  <c r="L112" i="2"/>
  <c r="F112" i="2"/>
  <c r="G112" i="2" s="1"/>
  <c r="H112" i="2"/>
  <c r="A113" i="2"/>
  <c r="I110" i="3" l="1"/>
  <c r="M110" i="3"/>
  <c r="N110" i="3" s="1"/>
  <c r="J113" i="3"/>
  <c r="H113" i="3"/>
  <c r="A114" i="3"/>
  <c r="D113" i="3"/>
  <c r="L113" i="3"/>
  <c r="F113" i="3"/>
  <c r="G113" i="3" s="1"/>
  <c r="I110" i="2"/>
  <c r="K110" i="2" s="1"/>
  <c r="M110" i="2"/>
  <c r="N110" i="2" s="1"/>
  <c r="C111" i="2"/>
  <c r="B112" i="2"/>
  <c r="D111" i="2"/>
  <c r="E111" i="2" s="1"/>
  <c r="B112" i="3"/>
  <c r="C111" i="3"/>
  <c r="E111" i="3"/>
  <c r="F113" i="2"/>
  <c r="G113" i="2" s="1"/>
  <c r="A114" i="2"/>
  <c r="H113" i="2"/>
  <c r="J113" i="2"/>
  <c r="L113" i="2"/>
  <c r="I111" i="2" l="1"/>
  <c r="M111" i="2"/>
  <c r="N111" i="2" s="1"/>
  <c r="I111" i="3"/>
  <c r="M111" i="3"/>
  <c r="N111" i="3" s="1"/>
  <c r="C112" i="3"/>
  <c r="B113" i="3"/>
  <c r="E112" i="3"/>
  <c r="F114" i="3"/>
  <c r="G114" i="3" s="1"/>
  <c r="A115" i="3"/>
  <c r="D114" i="3"/>
  <c r="H114" i="3"/>
  <c r="L114" i="3"/>
  <c r="J114" i="3"/>
  <c r="K111" i="2"/>
  <c r="C112" i="2"/>
  <c r="B113" i="2"/>
  <c r="D112" i="2"/>
  <c r="E112" i="2" s="1"/>
  <c r="L114" i="2"/>
  <c r="A115" i="2"/>
  <c r="H114" i="2"/>
  <c r="J114" i="2"/>
  <c r="F114" i="2"/>
  <c r="G114" i="2" s="1"/>
  <c r="I112" i="2" l="1"/>
  <c r="M112" i="2"/>
  <c r="N112" i="2" s="1"/>
  <c r="C113" i="3"/>
  <c r="B114" i="3"/>
  <c r="E113" i="3"/>
  <c r="L115" i="3"/>
  <c r="J115" i="3"/>
  <c r="F115" i="3"/>
  <c r="G115" i="3" s="1"/>
  <c r="H115" i="3"/>
  <c r="A116" i="3"/>
  <c r="D115" i="3"/>
  <c r="I112" i="3"/>
  <c r="M112" i="3"/>
  <c r="N112" i="3" s="1"/>
  <c r="H115" i="2"/>
  <c r="J115" i="2"/>
  <c r="A116" i="2"/>
  <c r="L115" i="2"/>
  <c r="F115" i="2"/>
  <c r="G115" i="2" s="1"/>
  <c r="B114" i="2"/>
  <c r="C113" i="2"/>
  <c r="D113" i="2"/>
  <c r="E113" i="2" s="1"/>
  <c r="K112" i="2"/>
  <c r="I113" i="2" l="1"/>
  <c r="M113" i="2"/>
  <c r="N113" i="2" s="1"/>
  <c r="K113" i="2"/>
  <c r="A117" i="2"/>
  <c r="F116" i="2"/>
  <c r="G116" i="2" s="1"/>
  <c r="L116" i="2"/>
  <c r="J116" i="2"/>
  <c r="H116" i="2"/>
  <c r="I113" i="3"/>
  <c r="M113" i="3"/>
  <c r="N113" i="3" s="1"/>
  <c r="C114" i="2"/>
  <c r="B115" i="2"/>
  <c r="D114" i="2"/>
  <c r="E114" i="2"/>
  <c r="B115" i="3"/>
  <c r="C114" i="3"/>
  <c r="E114" i="3"/>
  <c r="H116" i="3"/>
  <c r="F116" i="3"/>
  <c r="G116" i="3" s="1"/>
  <c r="J116" i="3"/>
  <c r="L116" i="3"/>
  <c r="A117" i="3"/>
  <c r="D116" i="3"/>
  <c r="I114" i="3" l="1"/>
  <c r="M114" i="3"/>
  <c r="N114" i="3" s="1"/>
  <c r="B116" i="2"/>
  <c r="C115" i="2"/>
  <c r="D115" i="2"/>
  <c r="E115" i="2" s="1"/>
  <c r="D117" i="3"/>
  <c r="L117" i="3"/>
  <c r="A118" i="3"/>
  <c r="J117" i="3"/>
  <c r="H117" i="3"/>
  <c r="F117" i="3"/>
  <c r="G117" i="3" s="1"/>
  <c r="J117" i="2"/>
  <c r="L117" i="2"/>
  <c r="F117" i="2"/>
  <c r="G117" i="2" s="1"/>
  <c r="A118" i="2"/>
  <c r="H117" i="2"/>
  <c r="C115" i="3"/>
  <c r="B116" i="3"/>
  <c r="E115" i="3"/>
  <c r="I114" i="2"/>
  <c r="K114" i="2" s="1"/>
  <c r="M114" i="2"/>
  <c r="N114" i="2" s="1"/>
  <c r="I115" i="2" l="1"/>
  <c r="K115" i="2" s="1"/>
  <c r="M115" i="2"/>
  <c r="N115" i="2" s="1"/>
  <c r="B117" i="3"/>
  <c r="C116" i="3"/>
  <c r="E116" i="3"/>
  <c r="I115" i="3"/>
  <c r="M115" i="3"/>
  <c r="N115" i="3" s="1"/>
  <c r="C116" i="2"/>
  <c r="B117" i="2"/>
  <c r="D116" i="2"/>
  <c r="E116" i="2" s="1"/>
  <c r="F118" i="2"/>
  <c r="G118" i="2" s="1"/>
  <c r="A119" i="2"/>
  <c r="H118" i="2"/>
  <c r="J118" i="2"/>
  <c r="L118" i="2"/>
  <c r="J118" i="3"/>
  <c r="H118" i="3"/>
  <c r="A119" i="3"/>
  <c r="D118" i="3"/>
  <c r="L118" i="3"/>
  <c r="F118" i="3"/>
  <c r="G118" i="3" s="1"/>
  <c r="I116" i="2" l="1"/>
  <c r="M116" i="2"/>
  <c r="N116" i="2" s="1"/>
  <c r="K116" i="2"/>
  <c r="C117" i="2"/>
  <c r="B118" i="2"/>
  <c r="D117" i="2"/>
  <c r="E117" i="2" s="1"/>
  <c r="I116" i="3"/>
  <c r="M116" i="3"/>
  <c r="N116" i="3" s="1"/>
  <c r="L119" i="2"/>
  <c r="F119" i="2"/>
  <c r="G119" i="2" s="1"/>
  <c r="H119" i="2"/>
  <c r="J119" i="2"/>
  <c r="A120" i="2"/>
  <c r="C117" i="3"/>
  <c r="B118" i="3"/>
  <c r="E117" i="3"/>
  <c r="F119" i="3"/>
  <c r="G119" i="3" s="1"/>
  <c r="A120" i="3"/>
  <c r="D119" i="3"/>
  <c r="L119" i="3"/>
  <c r="J119" i="3"/>
  <c r="H119" i="3"/>
  <c r="I117" i="2" l="1"/>
  <c r="M117" i="2"/>
  <c r="N117" i="2" s="1"/>
  <c r="H120" i="2"/>
  <c r="J120" i="2"/>
  <c r="F120" i="2"/>
  <c r="G120" i="2" s="1"/>
  <c r="L120" i="2"/>
  <c r="A121" i="2"/>
  <c r="B119" i="2"/>
  <c r="C118" i="2"/>
  <c r="D118" i="2"/>
  <c r="E118" i="2" s="1"/>
  <c r="K117" i="2"/>
  <c r="I117" i="3"/>
  <c r="M117" i="3"/>
  <c r="N117" i="3" s="1"/>
  <c r="B119" i="3"/>
  <c r="C118" i="3"/>
  <c r="E118" i="3"/>
  <c r="L120" i="3"/>
  <c r="J120" i="3"/>
  <c r="D120" i="3"/>
  <c r="F120" i="3"/>
  <c r="G120" i="3" s="1"/>
  <c r="A121" i="3"/>
  <c r="H120" i="3"/>
  <c r="I118" i="2" l="1"/>
  <c r="M118" i="2"/>
  <c r="N118" i="2" s="1"/>
  <c r="I118" i="3"/>
  <c r="M118" i="3"/>
  <c r="N118" i="3" s="1"/>
  <c r="H121" i="3"/>
  <c r="F121" i="3"/>
  <c r="G121" i="3" s="1"/>
  <c r="D121" i="3"/>
  <c r="J121" i="3"/>
  <c r="A122" i="3"/>
  <c r="L121" i="3"/>
  <c r="A122" i="2"/>
  <c r="F121" i="2"/>
  <c r="G121" i="2" s="1"/>
  <c r="L121" i="2"/>
  <c r="J121" i="2"/>
  <c r="H121" i="2"/>
  <c r="K118" i="2"/>
  <c r="B120" i="3"/>
  <c r="C119" i="3"/>
  <c r="E119" i="3"/>
  <c r="C119" i="2"/>
  <c r="B120" i="2"/>
  <c r="D119" i="2"/>
  <c r="E119" i="2"/>
  <c r="I119" i="3" l="1"/>
  <c r="M119" i="3"/>
  <c r="N119" i="3" s="1"/>
  <c r="J122" i="2"/>
  <c r="L122" i="2"/>
  <c r="A123" i="2"/>
  <c r="F122" i="2"/>
  <c r="G122" i="2" s="1"/>
  <c r="H122" i="2"/>
  <c r="C120" i="2"/>
  <c r="B121" i="2"/>
  <c r="D120" i="2"/>
  <c r="E120" i="2" s="1"/>
  <c r="D122" i="3"/>
  <c r="L122" i="3"/>
  <c r="A123" i="3"/>
  <c r="H122" i="3"/>
  <c r="J122" i="3"/>
  <c r="F122" i="3"/>
  <c r="G122" i="3" s="1"/>
  <c r="I119" i="2"/>
  <c r="K119" i="2" s="1"/>
  <c r="M119" i="2"/>
  <c r="N119" i="2" s="1"/>
  <c r="C120" i="3"/>
  <c r="B121" i="3"/>
  <c r="E120" i="3"/>
  <c r="I120" i="2" l="1"/>
  <c r="M120" i="2"/>
  <c r="N120" i="2" s="1"/>
  <c r="I120" i="3"/>
  <c r="M120" i="3"/>
  <c r="N120" i="3" s="1"/>
  <c r="B122" i="3"/>
  <c r="C121" i="3"/>
  <c r="E121" i="3"/>
  <c r="J123" i="3"/>
  <c r="H123" i="3"/>
  <c r="L123" i="3"/>
  <c r="A124" i="3"/>
  <c r="F123" i="3"/>
  <c r="G123" i="3" s="1"/>
  <c r="D123" i="3"/>
  <c r="C121" i="2"/>
  <c r="B122" i="2"/>
  <c r="D121" i="2"/>
  <c r="E121" i="2"/>
  <c r="K120" i="2"/>
  <c r="F123" i="2"/>
  <c r="G123" i="2" s="1"/>
  <c r="A124" i="2"/>
  <c r="H123" i="2"/>
  <c r="J123" i="2"/>
  <c r="L123" i="2"/>
  <c r="I121" i="2" l="1"/>
  <c r="K121" i="2" s="1"/>
  <c r="M121" i="2"/>
  <c r="N121" i="2" s="1"/>
  <c r="C122" i="2"/>
  <c r="B123" i="2"/>
  <c r="D122" i="2"/>
  <c r="E122" i="2"/>
  <c r="L124" i="2"/>
  <c r="F124" i="2"/>
  <c r="G124" i="2" s="1"/>
  <c r="H124" i="2"/>
  <c r="J124" i="2"/>
  <c r="A125" i="2"/>
  <c r="I121" i="3"/>
  <c r="M121" i="3"/>
  <c r="N121" i="3" s="1"/>
  <c r="C122" i="3"/>
  <c r="B123" i="3"/>
  <c r="E122" i="3"/>
  <c r="F124" i="3"/>
  <c r="G124" i="3" s="1"/>
  <c r="A125" i="3"/>
  <c r="D124" i="3"/>
  <c r="L124" i="3"/>
  <c r="J124" i="3"/>
  <c r="H124" i="3"/>
  <c r="I122" i="3" l="1"/>
  <c r="M122" i="3"/>
  <c r="N122" i="3" s="1"/>
  <c r="I122" i="2"/>
  <c r="K122" i="2" s="1"/>
  <c r="M122" i="2"/>
  <c r="N122" i="2" s="1"/>
  <c r="B124" i="2"/>
  <c r="C123" i="2"/>
  <c r="D123" i="2"/>
  <c r="E123" i="2" s="1"/>
  <c r="B124" i="3"/>
  <c r="C123" i="3"/>
  <c r="E123" i="3"/>
  <c r="H125" i="2"/>
  <c r="J125" i="2"/>
  <c r="F125" i="2"/>
  <c r="G125" i="2" s="1"/>
  <c r="L125" i="2"/>
  <c r="A126" i="2"/>
  <c r="L125" i="3"/>
  <c r="J125" i="3"/>
  <c r="A126" i="3"/>
  <c r="D125" i="3"/>
  <c r="F125" i="3"/>
  <c r="G125" i="3" s="1"/>
  <c r="H125" i="3"/>
  <c r="I123" i="2" l="1"/>
  <c r="K123" i="2" s="1"/>
  <c r="M123" i="2"/>
  <c r="N123" i="2" s="1"/>
  <c r="B125" i="3"/>
  <c r="C124" i="3"/>
  <c r="E124" i="3"/>
  <c r="A127" i="2"/>
  <c r="F126" i="2"/>
  <c r="G126" i="2" s="1"/>
  <c r="J126" i="2"/>
  <c r="H126" i="2"/>
  <c r="L126" i="2"/>
  <c r="C124" i="2"/>
  <c r="B125" i="2"/>
  <c r="D124" i="2"/>
  <c r="E124" i="2"/>
  <c r="I123" i="3"/>
  <c r="M123" i="3"/>
  <c r="N123" i="3" s="1"/>
  <c r="H126" i="3"/>
  <c r="F126" i="3"/>
  <c r="G126" i="3" s="1"/>
  <c r="A127" i="3"/>
  <c r="D126" i="3"/>
  <c r="L126" i="3"/>
  <c r="J126" i="3"/>
  <c r="J127" i="2" l="1"/>
  <c r="L127" i="2"/>
  <c r="A128" i="2"/>
  <c r="H127" i="2"/>
  <c r="F127" i="2"/>
  <c r="G127" i="2" s="1"/>
  <c r="C125" i="2"/>
  <c r="B126" i="2"/>
  <c r="D125" i="2"/>
  <c r="E125" i="2" s="1"/>
  <c r="C125" i="3"/>
  <c r="B126" i="3"/>
  <c r="E125" i="3"/>
  <c r="D127" i="3"/>
  <c r="L127" i="3"/>
  <c r="A128" i="3"/>
  <c r="F127" i="3"/>
  <c r="G127" i="3" s="1"/>
  <c r="H127" i="3"/>
  <c r="J127" i="3"/>
  <c r="I124" i="2"/>
  <c r="K124" i="2" s="1"/>
  <c r="M124" i="2"/>
  <c r="N124" i="2" s="1"/>
  <c r="I124" i="3"/>
  <c r="M124" i="3"/>
  <c r="N124" i="3" s="1"/>
  <c r="I125" i="3" l="1"/>
  <c r="M125" i="3"/>
  <c r="N125" i="3" s="1"/>
  <c r="I125" i="2"/>
  <c r="K125" i="2" s="1"/>
  <c r="M125" i="2"/>
  <c r="N125" i="2" s="1"/>
  <c r="J128" i="3"/>
  <c r="H128" i="3"/>
  <c r="F128" i="3"/>
  <c r="G128" i="3" s="1"/>
  <c r="L128" i="3"/>
  <c r="D128" i="3"/>
  <c r="A129" i="3"/>
  <c r="B127" i="3"/>
  <c r="C126" i="3"/>
  <c r="E126" i="3"/>
  <c r="F128" i="2"/>
  <c r="G128" i="2" s="1"/>
  <c r="A129" i="2"/>
  <c r="H128" i="2"/>
  <c r="L128" i="2"/>
  <c r="J128" i="2"/>
  <c r="C126" i="2"/>
  <c r="B127" i="2"/>
  <c r="D126" i="2"/>
  <c r="E126" i="2"/>
  <c r="I126" i="3" l="1"/>
  <c r="M126" i="3"/>
  <c r="N126" i="3" s="1"/>
  <c r="F129" i="3"/>
  <c r="G129" i="3" s="1"/>
  <c r="A130" i="3"/>
  <c r="D129" i="3"/>
  <c r="J129" i="3"/>
  <c r="L129" i="3"/>
  <c r="H129" i="3"/>
  <c r="C127" i="3"/>
  <c r="B128" i="3"/>
  <c r="E127" i="3"/>
  <c r="I126" i="2"/>
  <c r="K126" i="2" s="1"/>
  <c r="M126" i="2"/>
  <c r="N126" i="2" s="1"/>
  <c r="L129" i="2"/>
  <c r="F129" i="2"/>
  <c r="G129" i="2" s="1"/>
  <c r="A130" i="2"/>
  <c r="H129" i="2"/>
  <c r="J129" i="2"/>
  <c r="B128" i="2"/>
  <c r="C127" i="2"/>
  <c r="D127" i="2"/>
  <c r="E127" i="2"/>
  <c r="L130" i="3" l="1"/>
  <c r="J130" i="3"/>
  <c r="A131" i="3"/>
  <c r="D130" i="3"/>
  <c r="H130" i="3"/>
  <c r="F130" i="3"/>
  <c r="G130" i="3" s="1"/>
  <c r="I127" i="2"/>
  <c r="K127" i="2" s="1"/>
  <c r="M127" i="2"/>
  <c r="N127" i="2" s="1"/>
  <c r="I127" i="3"/>
  <c r="M127" i="3"/>
  <c r="N127" i="3" s="1"/>
  <c r="B129" i="2"/>
  <c r="C128" i="2"/>
  <c r="D128" i="2"/>
  <c r="E128" i="2"/>
  <c r="C128" i="3"/>
  <c r="B129" i="3"/>
  <c r="E128" i="3"/>
  <c r="H130" i="2"/>
  <c r="J130" i="2"/>
  <c r="F130" i="2"/>
  <c r="G130" i="2" s="1"/>
  <c r="A131" i="2"/>
  <c r="L130" i="2"/>
  <c r="H131" i="3" l="1"/>
  <c r="F131" i="3"/>
  <c r="G131" i="3" s="1"/>
  <c r="A132" i="3"/>
  <c r="L131" i="3"/>
  <c r="J131" i="3"/>
  <c r="D131" i="3"/>
  <c r="I128" i="3"/>
  <c r="M128" i="3"/>
  <c r="N128" i="3" s="1"/>
  <c r="C129" i="2"/>
  <c r="B130" i="2"/>
  <c r="D129" i="2"/>
  <c r="E129" i="2"/>
  <c r="B130" i="3"/>
  <c r="C129" i="3"/>
  <c r="E129" i="3"/>
  <c r="I128" i="2"/>
  <c r="K128" i="2" s="1"/>
  <c r="M128" i="2"/>
  <c r="N128" i="2" s="1"/>
  <c r="A132" i="2"/>
  <c r="F131" i="2"/>
  <c r="G131" i="2" s="1"/>
  <c r="H131" i="2"/>
  <c r="J131" i="2"/>
  <c r="L131" i="2"/>
  <c r="I129" i="3" l="1"/>
  <c r="M129" i="3"/>
  <c r="N129" i="3" s="1"/>
  <c r="C130" i="3"/>
  <c r="B131" i="3"/>
  <c r="E130" i="3"/>
  <c r="I129" i="2"/>
  <c r="K129" i="2" s="1"/>
  <c r="M129" i="2"/>
  <c r="N129" i="2" s="1"/>
  <c r="D132" i="3"/>
  <c r="L132" i="3"/>
  <c r="A133" i="3"/>
  <c r="F132" i="3"/>
  <c r="G132" i="3" s="1"/>
  <c r="H132" i="3"/>
  <c r="J132" i="3"/>
  <c r="B131" i="2"/>
  <c r="C130" i="2"/>
  <c r="D130" i="2"/>
  <c r="E130" i="2" s="1"/>
  <c r="J132" i="2"/>
  <c r="L132" i="2"/>
  <c r="H132" i="2"/>
  <c r="F132" i="2"/>
  <c r="G132" i="2" s="1"/>
  <c r="A133" i="2"/>
  <c r="F133" i="2" l="1"/>
  <c r="G133" i="2" s="1"/>
  <c r="A134" i="2"/>
  <c r="H133" i="2"/>
  <c r="L133" i="2"/>
  <c r="J133" i="2"/>
  <c r="C131" i="2"/>
  <c r="B132" i="2"/>
  <c r="D131" i="2"/>
  <c r="E131" i="2" s="1"/>
  <c r="B132" i="3"/>
  <c r="C131" i="3"/>
  <c r="E131" i="3"/>
  <c r="I130" i="2"/>
  <c r="K130" i="2" s="1"/>
  <c r="M130" i="2"/>
  <c r="N130" i="2" s="1"/>
  <c r="J133" i="3"/>
  <c r="H133" i="3"/>
  <c r="D133" i="3"/>
  <c r="F133" i="3"/>
  <c r="G133" i="3" s="1"/>
  <c r="A134" i="3"/>
  <c r="L133" i="3"/>
  <c r="I130" i="3"/>
  <c r="M130" i="3"/>
  <c r="N130" i="3" s="1"/>
  <c r="I131" i="2" l="1"/>
  <c r="M131" i="2"/>
  <c r="N131" i="2" s="1"/>
  <c r="K131" i="2"/>
  <c r="F134" i="3"/>
  <c r="G134" i="3" s="1"/>
  <c r="A135" i="3"/>
  <c r="D134" i="3"/>
  <c r="H134" i="3"/>
  <c r="J134" i="3"/>
  <c r="L134" i="3"/>
  <c r="L134" i="2"/>
  <c r="J134" i="2"/>
  <c r="A135" i="2"/>
  <c r="F134" i="2"/>
  <c r="G134" i="2" s="1"/>
  <c r="H134" i="2"/>
  <c r="I131" i="3"/>
  <c r="M131" i="3"/>
  <c r="N131" i="3" s="1"/>
  <c r="C132" i="3"/>
  <c r="B133" i="3"/>
  <c r="E132" i="3"/>
  <c r="B133" i="2"/>
  <c r="C132" i="2"/>
  <c r="D132" i="2"/>
  <c r="E132" i="2" s="1"/>
  <c r="I132" i="2" l="1"/>
  <c r="M132" i="2"/>
  <c r="N132" i="2" s="1"/>
  <c r="H135" i="2"/>
  <c r="J135" i="2"/>
  <c r="A136" i="2"/>
  <c r="L135" i="2"/>
  <c r="F135" i="2"/>
  <c r="G135" i="2" s="1"/>
  <c r="I132" i="3"/>
  <c r="M132" i="3"/>
  <c r="N132" i="3" s="1"/>
  <c r="B134" i="2"/>
  <c r="C133" i="2"/>
  <c r="D133" i="2"/>
  <c r="E133" i="2" s="1"/>
  <c r="L135" i="3"/>
  <c r="J135" i="3"/>
  <c r="H135" i="3"/>
  <c r="A136" i="3"/>
  <c r="D135" i="3"/>
  <c r="F135" i="3"/>
  <c r="G135" i="3" s="1"/>
  <c r="C133" i="3"/>
  <c r="B134" i="3"/>
  <c r="E133" i="3"/>
  <c r="K132" i="2"/>
  <c r="I133" i="2" l="1"/>
  <c r="M133" i="2"/>
  <c r="N133" i="2" s="1"/>
  <c r="K133" i="2"/>
  <c r="I133" i="3"/>
  <c r="M133" i="3"/>
  <c r="N133" i="3" s="1"/>
  <c r="A137" i="2"/>
  <c r="F136" i="2"/>
  <c r="G136" i="2" s="1"/>
  <c r="H136" i="2"/>
  <c r="L136" i="2"/>
  <c r="J136" i="2"/>
  <c r="B135" i="3"/>
  <c r="C134" i="3"/>
  <c r="E134" i="3"/>
  <c r="C134" i="2"/>
  <c r="B135" i="2"/>
  <c r="D134" i="2"/>
  <c r="E134" i="2" s="1"/>
  <c r="H136" i="3"/>
  <c r="F136" i="3"/>
  <c r="G136" i="3" s="1"/>
  <c r="L136" i="3"/>
  <c r="D136" i="3"/>
  <c r="A137" i="3"/>
  <c r="J136" i="3"/>
  <c r="I134" i="2" l="1"/>
  <c r="M134" i="2"/>
  <c r="N134" i="2" s="1"/>
  <c r="C135" i="2"/>
  <c r="B136" i="2"/>
  <c r="D135" i="2"/>
  <c r="E135" i="2" s="1"/>
  <c r="D137" i="3"/>
  <c r="L137" i="3"/>
  <c r="A138" i="3"/>
  <c r="J137" i="3"/>
  <c r="H137" i="3"/>
  <c r="F137" i="3"/>
  <c r="G137" i="3" s="1"/>
  <c r="K134" i="2"/>
  <c r="I134" i="3"/>
  <c r="M134" i="3"/>
  <c r="N134" i="3" s="1"/>
  <c r="J137" i="2"/>
  <c r="L137" i="2"/>
  <c r="F137" i="2"/>
  <c r="G137" i="2" s="1"/>
  <c r="H137" i="2"/>
  <c r="A138" i="2"/>
  <c r="C135" i="3"/>
  <c r="B136" i="3"/>
  <c r="E135" i="3"/>
  <c r="I135" i="2" l="1"/>
  <c r="M135" i="2"/>
  <c r="N135" i="2" s="1"/>
  <c r="K135" i="2"/>
  <c r="J138" i="3"/>
  <c r="H138" i="3"/>
  <c r="A139" i="3"/>
  <c r="D138" i="3"/>
  <c r="L138" i="3"/>
  <c r="F138" i="3"/>
  <c r="G138" i="3" s="1"/>
  <c r="I135" i="3"/>
  <c r="M135" i="3"/>
  <c r="N135" i="3" s="1"/>
  <c r="B137" i="3"/>
  <c r="C136" i="3"/>
  <c r="E136" i="3"/>
  <c r="F138" i="2"/>
  <c r="G138" i="2" s="1"/>
  <c r="A139" i="2"/>
  <c r="H138" i="2"/>
  <c r="J138" i="2"/>
  <c r="L138" i="2"/>
  <c r="C136" i="2"/>
  <c r="B137" i="2"/>
  <c r="D136" i="2"/>
  <c r="E136" i="2" s="1"/>
  <c r="I136" i="2" l="1"/>
  <c r="M136" i="2"/>
  <c r="N136" i="2" s="1"/>
  <c r="C137" i="3"/>
  <c r="B138" i="3"/>
  <c r="E137" i="3"/>
  <c r="L139" i="2"/>
  <c r="A140" i="2"/>
  <c r="J139" i="2"/>
  <c r="H139" i="2"/>
  <c r="F139" i="2"/>
  <c r="G139" i="2" s="1"/>
  <c r="C137" i="2"/>
  <c r="B138" i="2"/>
  <c r="D137" i="2"/>
  <c r="E137" i="2" s="1"/>
  <c r="I136" i="3"/>
  <c r="M136" i="3"/>
  <c r="N136" i="3" s="1"/>
  <c r="F139" i="3"/>
  <c r="G139" i="3" s="1"/>
  <c r="A140" i="3"/>
  <c r="D139" i="3"/>
  <c r="H139" i="3"/>
  <c r="L139" i="3"/>
  <c r="J139" i="3"/>
  <c r="K136" i="2"/>
  <c r="I137" i="2" l="1"/>
  <c r="M137" i="2"/>
  <c r="N137" i="2" s="1"/>
  <c r="B139" i="2"/>
  <c r="C138" i="2"/>
  <c r="D138" i="2"/>
  <c r="E138" i="2"/>
  <c r="K137" i="2"/>
  <c r="I137" i="3"/>
  <c r="M137" i="3"/>
  <c r="N137" i="3" s="1"/>
  <c r="H140" i="2"/>
  <c r="J140" i="2"/>
  <c r="A141" i="2"/>
  <c r="L140" i="2"/>
  <c r="F140" i="2"/>
  <c r="G140" i="2" s="1"/>
  <c r="C138" i="3"/>
  <c r="B139" i="3"/>
  <c r="E138" i="3"/>
  <c r="L140" i="3"/>
  <c r="J140" i="3"/>
  <c r="F140" i="3"/>
  <c r="G140" i="3" s="1"/>
  <c r="H140" i="3"/>
  <c r="A141" i="3"/>
  <c r="D140" i="3"/>
  <c r="I138" i="2" l="1"/>
  <c r="M138" i="2"/>
  <c r="N138" i="2" s="1"/>
  <c r="C139" i="2"/>
  <c r="B140" i="2"/>
  <c r="D139" i="2"/>
  <c r="E139" i="2" s="1"/>
  <c r="I138" i="3"/>
  <c r="M138" i="3"/>
  <c r="N138" i="3" s="1"/>
  <c r="K138" i="2"/>
  <c r="B140" i="3"/>
  <c r="C139" i="3"/>
  <c r="E139" i="3"/>
  <c r="H141" i="3"/>
  <c r="F141" i="3"/>
  <c r="G141" i="3" s="1"/>
  <c r="J141" i="3"/>
  <c r="L141" i="3"/>
  <c r="A142" i="3"/>
  <c r="D141" i="3"/>
  <c r="A142" i="2"/>
  <c r="F141" i="2"/>
  <c r="G141" i="2" s="1"/>
  <c r="L141" i="2"/>
  <c r="H141" i="2"/>
  <c r="J141" i="2"/>
  <c r="I139" i="2" l="1"/>
  <c r="M139" i="2"/>
  <c r="N139" i="2" s="1"/>
  <c r="K139" i="2"/>
  <c r="D142" i="3"/>
  <c r="L142" i="3"/>
  <c r="A143" i="3"/>
  <c r="J142" i="3"/>
  <c r="F142" i="3"/>
  <c r="G142" i="3" s="1"/>
  <c r="H142" i="3"/>
  <c r="C140" i="3"/>
  <c r="B141" i="3"/>
  <c r="E140" i="3"/>
  <c r="I139" i="3"/>
  <c r="M139" i="3"/>
  <c r="N139" i="3" s="1"/>
  <c r="B141" i="2"/>
  <c r="C140" i="2"/>
  <c r="D140" i="2"/>
  <c r="E140" i="2" s="1"/>
  <c r="J142" i="2"/>
  <c r="L142" i="2"/>
  <c r="F142" i="2"/>
  <c r="G142" i="2" s="1"/>
  <c r="A143" i="2"/>
  <c r="H142" i="2"/>
  <c r="I140" i="2" l="1"/>
  <c r="M140" i="2"/>
  <c r="N140" i="2" s="1"/>
  <c r="J143" i="3"/>
  <c r="H143" i="3"/>
  <c r="A144" i="3"/>
  <c r="L143" i="3"/>
  <c r="F143" i="3"/>
  <c r="G143" i="3" s="1"/>
  <c r="D143" i="3"/>
  <c r="B142" i="3"/>
  <c r="C141" i="3"/>
  <c r="E141" i="3"/>
  <c r="K140" i="2"/>
  <c r="F143" i="2"/>
  <c r="G143" i="2" s="1"/>
  <c r="A144" i="2"/>
  <c r="H143" i="2"/>
  <c r="J143" i="2"/>
  <c r="L143" i="2"/>
  <c r="C141" i="2"/>
  <c r="B142" i="2"/>
  <c r="D141" i="2"/>
  <c r="E141" i="2" s="1"/>
  <c r="I140" i="3"/>
  <c r="M140" i="3"/>
  <c r="N140" i="3" s="1"/>
  <c r="I141" i="2" l="1"/>
  <c r="M141" i="2"/>
  <c r="N141" i="2" s="1"/>
  <c r="I141" i="3"/>
  <c r="M141" i="3"/>
  <c r="N141" i="3" s="1"/>
  <c r="L144" i="2"/>
  <c r="F144" i="2"/>
  <c r="G144" i="2" s="1"/>
  <c r="H144" i="2"/>
  <c r="J144" i="2"/>
  <c r="A145" i="2"/>
  <c r="C142" i="2"/>
  <c r="B143" i="2"/>
  <c r="D142" i="2"/>
  <c r="E142" i="2" s="1"/>
  <c r="F144" i="3"/>
  <c r="G144" i="3" s="1"/>
  <c r="A145" i="3"/>
  <c r="D144" i="3"/>
  <c r="L144" i="3"/>
  <c r="J144" i="3"/>
  <c r="H144" i="3"/>
  <c r="K141" i="2"/>
  <c r="C142" i="3"/>
  <c r="B143" i="3"/>
  <c r="E142" i="3"/>
  <c r="I142" i="2" l="1"/>
  <c r="M142" i="2"/>
  <c r="N142" i="2" s="1"/>
  <c r="B144" i="3"/>
  <c r="C143" i="3"/>
  <c r="E143" i="3"/>
  <c r="K142" i="2"/>
  <c r="B144" i="2"/>
  <c r="C143" i="2"/>
  <c r="D143" i="2"/>
  <c r="E143" i="2" s="1"/>
  <c r="I142" i="3"/>
  <c r="M142" i="3"/>
  <c r="N142" i="3" s="1"/>
  <c r="L145" i="3"/>
  <c r="J145" i="3"/>
  <c r="D145" i="3"/>
  <c r="F145" i="3"/>
  <c r="G145" i="3" s="1"/>
  <c r="A146" i="3"/>
  <c r="H145" i="3"/>
  <c r="H145" i="2"/>
  <c r="J145" i="2"/>
  <c r="L145" i="2"/>
  <c r="F145" i="2"/>
  <c r="G145" i="2" s="1"/>
  <c r="A146" i="2"/>
  <c r="I143" i="2" l="1"/>
  <c r="M143" i="2"/>
  <c r="N143" i="2" s="1"/>
  <c r="H146" i="3"/>
  <c r="F146" i="3"/>
  <c r="G146" i="3" s="1"/>
  <c r="D146" i="3"/>
  <c r="J146" i="3"/>
  <c r="A147" i="3"/>
  <c r="L146" i="3"/>
  <c r="C144" i="2"/>
  <c r="B145" i="2"/>
  <c r="D144" i="2"/>
  <c r="E144" i="2" s="1"/>
  <c r="B145" i="3"/>
  <c r="C144" i="3"/>
  <c r="E144" i="3"/>
  <c r="A147" i="2"/>
  <c r="F146" i="2"/>
  <c r="G146" i="2" s="1"/>
  <c r="L146" i="2"/>
  <c r="J146" i="2"/>
  <c r="H146" i="2"/>
  <c r="K143" i="2"/>
  <c r="I143" i="3"/>
  <c r="M143" i="3"/>
  <c r="N143" i="3" s="1"/>
  <c r="I144" i="2" l="1"/>
  <c r="M144" i="2"/>
  <c r="N144" i="2" s="1"/>
  <c r="I144" i="3"/>
  <c r="M144" i="3"/>
  <c r="N144" i="3" s="1"/>
  <c r="K144" i="2"/>
  <c r="J147" i="2"/>
  <c r="L147" i="2"/>
  <c r="A148" i="2"/>
  <c r="H147" i="2"/>
  <c r="F147" i="2"/>
  <c r="G147" i="2" s="1"/>
  <c r="D147" i="3"/>
  <c r="L147" i="3"/>
  <c r="A148" i="3"/>
  <c r="H147" i="3"/>
  <c r="J147" i="3"/>
  <c r="F147" i="3"/>
  <c r="G147" i="3" s="1"/>
  <c r="C145" i="3"/>
  <c r="B146" i="3"/>
  <c r="E145" i="3"/>
  <c r="C145" i="2"/>
  <c r="B146" i="2"/>
  <c r="D145" i="2"/>
  <c r="E145" i="2"/>
  <c r="J148" i="3" l="1"/>
  <c r="H148" i="3"/>
  <c r="L148" i="3"/>
  <c r="F148" i="3"/>
  <c r="G148" i="3" s="1"/>
  <c r="D148" i="3"/>
  <c r="A149" i="3"/>
  <c r="C146" i="2"/>
  <c r="B147" i="2"/>
  <c r="D146" i="2"/>
  <c r="E146" i="2" s="1"/>
  <c r="I145" i="3"/>
  <c r="M145" i="3"/>
  <c r="N145" i="3" s="1"/>
  <c r="B147" i="3"/>
  <c r="C146" i="3"/>
  <c r="E146" i="3"/>
  <c r="I145" i="2"/>
  <c r="K145" i="2" s="1"/>
  <c r="M145" i="2"/>
  <c r="N145" i="2" s="1"/>
  <c r="F148" i="2"/>
  <c r="G148" i="2" s="1"/>
  <c r="A149" i="2"/>
  <c r="H148" i="2"/>
  <c r="J148" i="2"/>
  <c r="L148" i="2"/>
  <c r="I146" i="2" l="1"/>
  <c r="M146" i="2"/>
  <c r="N146" i="2" s="1"/>
  <c r="C147" i="2"/>
  <c r="B148" i="2"/>
  <c r="D147" i="2"/>
  <c r="E147" i="2" s="1"/>
  <c r="F149" i="3"/>
  <c r="G149" i="3" s="1"/>
  <c r="A150" i="3"/>
  <c r="D149" i="3"/>
  <c r="L149" i="3"/>
  <c r="J149" i="3"/>
  <c r="H149" i="3"/>
  <c r="C147" i="3"/>
  <c r="B148" i="3"/>
  <c r="E147" i="3"/>
  <c r="K146" i="2"/>
  <c r="I146" i="3"/>
  <c r="M146" i="3"/>
  <c r="N146" i="3" s="1"/>
  <c r="L149" i="2"/>
  <c r="F149" i="2"/>
  <c r="G149" i="2" s="1"/>
  <c r="H149" i="2"/>
  <c r="J149" i="2"/>
  <c r="A150" i="2"/>
  <c r="I147" i="2" l="1"/>
  <c r="M147" i="2"/>
  <c r="N147" i="2" s="1"/>
  <c r="H150" i="2"/>
  <c r="J150" i="2"/>
  <c r="F150" i="2"/>
  <c r="G150" i="2" s="1"/>
  <c r="L150" i="2"/>
  <c r="A151" i="2"/>
  <c r="K147" i="2"/>
  <c r="L150" i="3"/>
  <c r="J150" i="3"/>
  <c r="A151" i="3"/>
  <c r="D150" i="3"/>
  <c r="F150" i="3"/>
  <c r="G150" i="3" s="1"/>
  <c r="H150" i="3"/>
  <c r="I147" i="3"/>
  <c r="M147" i="3"/>
  <c r="N147" i="3" s="1"/>
  <c r="C148" i="3"/>
  <c r="B149" i="3"/>
  <c r="E148" i="3"/>
  <c r="B149" i="2"/>
  <c r="C148" i="2"/>
  <c r="D148" i="2"/>
  <c r="E148" i="2" s="1"/>
  <c r="I148" i="2" l="1"/>
  <c r="M148" i="2"/>
  <c r="N148" i="2" s="1"/>
  <c r="A152" i="2"/>
  <c r="F151" i="2"/>
  <c r="G151" i="2" s="1"/>
  <c r="J151" i="2"/>
  <c r="H151" i="2"/>
  <c r="L151" i="2"/>
  <c r="C149" i="2"/>
  <c r="B150" i="2"/>
  <c r="D149" i="2"/>
  <c r="E149" i="2" s="1"/>
  <c r="I148" i="3"/>
  <c r="M148" i="3"/>
  <c r="N148" i="3" s="1"/>
  <c r="H151" i="3"/>
  <c r="F151" i="3"/>
  <c r="G151" i="3" s="1"/>
  <c r="A152" i="3"/>
  <c r="D151" i="3"/>
  <c r="L151" i="3"/>
  <c r="J151" i="3"/>
  <c r="B150" i="3"/>
  <c r="C149" i="3"/>
  <c r="E149" i="3"/>
  <c r="K148" i="2"/>
  <c r="I149" i="2" l="1"/>
  <c r="M149" i="2"/>
  <c r="N149" i="2" s="1"/>
  <c r="K149" i="2"/>
  <c r="J152" i="2"/>
  <c r="L152" i="2"/>
  <c r="A153" i="2"/>
  <c r="H152" i="2"/>
  <c r="F152" i="2"/>
  <c r="G152" i="2" s="1"/>
  <c r="D152" i="3"/>
  <c r="L152" i="3"/>
  <c r="A153" i="3"/>
  <c r="F152" i="3"/>
  <c r="G152" i="3" s="1"/>
  <c r="H152" i="3"/>
  <c r="J152" i="3"/>
  <c r="I149" i="3"/>
  <c r="M149" i="3"/>
  <c r="N149" i="3" s="1"/>
  <c r="C150" i="3"/>
  <c r="B151" i="3"/>
  <c r="E150" i="3"/>
  <c r="B151" i="2"/>
  <c r="C150" i="2"/>
  <c r="D150" i="2"/>
  <c r="E150" i="2"/>
  <c r="C151" i="2" l="1"/>
  <c r="B152" i="2"/>
  <c r="D151" i="2"/>
  <c r="E151" i="2" s="1"/>
  <c r="I150" i="3"/>
  <c r="M150" i="3"/>
  <c r="N150" i="3" s="1"/>
  <c r="I150" i="2"/>
  <c r="K150" i="2" s="1"/>
  <c r="M150" i="2"/>
  <c r="N150" i="2" s="1"/>
  <c r="F153" i="2"/>
  <c r="G153" i="2" s="1"/>
  <c r="A154" i="2"/>
  <c r="H153" i="2"/>
  <c r="L153" i="2"/>
  <c r="J153" i="2"/>
  <c r="J153" i="3"/>
  <c r="H153" i="3"/>
  <c r="F153" i="3"/>
  <c r="G153" i="3" s="1"/>
  <c r="L153" i="3"/>
  <c r="A154" i="3"/>
  <c r="D153" i="3"/>
  <c r="B152" i="3"/>
  <c r="C151" i="3"/>
  <c r="E151" i="3"/>
  <c r="I151" i="2" l="1"/>
  <c r="K151" i="2" s="1"/>
  <c r="M151" i="2"/>
  <c r="N151" i="2" s="1"/>
  <c r="I151" i="3"/>
  <c r="M151" i="3"/>
  <c r="N151" i="3" s="1"/>
  <c r="F154" i="3"/>
  <c r="G154" i="3" s="1"/>
  <c r="A155" i="3"/>
  <c r="D154" i="3"/>
  <c r="J154" i="3"/>
  <c r="L154" i="3"/>
  <c r="H154" i="3"/>
  <c r="C152" i="3"/>
  <c r="B153" i="3"/>
  <c r="E152" i="3"/>
  <c r="B153" i="2"/>
  <c r="C152" i="2"/>
  <c r="D152" i="2"/>
  <c r="E152" i="2" s="1"/>
  <c r="L154" i="2"/>
  <c r="F154" i="2"/>
  <c r="G154" i="2" s="1"/>
  <c r="A155" i="2"/>
  <c r="J154" i="2"/>
  <c r="H154" i="2"/>
  <c r="I152" i="2" l="1"/>
  <c r="M152" i="2"/>
  <c r="N152" i="2" s="1"/>
  <c r="K152" i="2"/>
  <c r="B154" i="2"/>
  <c r="C153" i="2"/>
  <c r="D153" i="2"/>
  <c r="E153" i="2" s="1"/>
  <c r="I152" i="3"/>
  <c r="M152" i="3"/>
  <c r="N152" i="3" s="1"/>
  <c r="H155" i="2"/>
  <c r="J155" i="2"/>
  <c r="F155" i="2"/>
  <c r="G155" i="2" s="1"/>
  <c r="A156" i="2"/>
  <c r="L155" i="2"/>
  <c r="B154" i="3"/>
  <c r="C153" i="3"/>
  <c r="E153" i="3"/>
  <c r="L155" i="3"/>
  <c r="J155" i="3"/>
  <c r="A156" i="3"/>
  <c r="H155" i="3"/>
  <c r="D155" i="3"/>
  <c r="F155" i="3"/>
  <c r="G155" i="3" s="1"/>
  <c r="I153" i="2" l="1"/>
  <c r="M153" i="2"/>
  <c r="N153" i="2" s="1"/>
  <c r="K153" i="2"/>
  <c r="B155" i="3"/>
  <c r="C154" i="3"/>
  <c r="E154" i="3"/>
  <c r="H156" i="3"/>
  <c r="F156" i="3"/>
  <c r="G156" i="3" s="1"/>
  <c r="A157" i="3"/>
  <c r="L156" i="3"/>
  <c r="J156" i="3"/>
  <c r="D156" i="3"/>
  <c r="I153" i="3"/>
  <c r="M153" i="3"/>
  <c r="N153" i="3" s="1"/>
  <c r="A157" i="2"/>
  <c r="F156" i="2"/>
  <c r="G156" i="2" s="1"/>
  <c r="H156" i="2"/>
  <c r="J156" i="2"/>
  <c r="L156" i="2"/>
  <c r="C154" i="2"/>
  <c r="B155" i="2"/>
  <c r="D154" i="2"/>
  <c r="E154" i="2" s="1"/>
  <c r="D157" i="3" l="1"/>
  <c r="L157" i="3"/>
  <c r="A158" i="3"/>
  <c r="F157" i="3"/>
  <c r="G157" i="3" s="1"/>
  <c r="J157" i="3"/>
  <c r="H157" i="3"/>
  <c r="I154" i="2"/>
  <c r="K154" i="2" s="1"/>
  <c r="M154" i="2"/>
  <c r="N154" i="2" s="1"/>
  <c r="B156" i="2"/>
  <c r="C155" i="2"/>
  <c r="D155" i="2"/>
  <c r="E155" i="2" s="1"/>
  <c r="J157" i="2"/>
  <c r="L157" i="2"/>
  <c r="F157" i="2"/>
  <c r="G157" i="2" s="1"/>
  <c r="H157" i="2"/>
  <c r="A158" i="2"/>
  <c r="I154" i="3"/>
  <c r="M154" i="3"/>
  <c r="N154" i="3" s="1"/>
  <c r="C155" i="3"/>
  <c r="B156" i="3"/>
  <c r="E155" i="3"/>
  <c r="I155" i="2" l="1"/>
  <c r="K155" i="2" s="1"/>
  <c r="M155" i="2"/>
  <c r="N155" i="2" s="1"/>
  <c r="I155" i="3"/>
  <c r="M155" i="3"/>
  <c r="N155" i="3" s="1"/>
  <c r="J158" i="3"/>
  <c r="H158" i="3"/>
  <c r="D158" i="3"/>
  <c r="F158" i="3"/>
  <c r="G158" i="3" s="1"/>
  <c r="L158" i="3"/>
  <c r="A159" i="3"/>
  <c r="B157" i="3"/>
  <c r="C156" i="3"/>
  <c r="E156" i="3"/>
  <c r="F158" i="2"/>
  <c r="G158" i="2" s="1"/>
  <c r="A159" i="2"/>
  <c r="H158" i="2"/>
  <c r="L158" i="2"/>
  <c r="J158" i="2"/>
  <c r="C156" i="2"/>
  <c r="B157" i="2"/>
  <c r="D156" i="2"/>
  <c r="E156" i="2"/>
  <c r="C157" i="3" l="1"/>
  <c r="B158" i="3"/>
  <c r="E157" i="3"/>
  <c r="F159" i="3"/>
  <c r="G159" i="3" s="1"/>
  <c r="A160" i="3"/>
  <c r="D159" i="3"/>
  <c r="H159" i="3"/>
  <c r="J159" i="3"/>
  <c r="L159" i="3"/>
  <c r="I156" i="2"/>
  <c r="K156" i="2" s="1"/>
  <c r="M156" i="2"/>
  <c r="N156" i="2" s="1"/>
  <c r="L159" i="2"/>
  <c r="J159" i="2"/>
  <c r="A160" i="2"/>
  <c r="H159" i="2"/>
  <c r="F159" i="2"/>
  <c r="G159" i="2" s="1"/>
  <c r="B158" i="2"/>
  <c r="C157" i="2"/>
  <c r="D157" i="2"/>
  <c r="E157" i="2" s="1"/>
  <c r="I156" i="3"/>
  <c r="M156" i="3"/>
  <c r="N156" i="3" s="1"/>
  <c r="I157" i="2" l="1"/>
  <c r="K157" i="2" s="1"/>
  <c r="M157" i="2"/>
  <c r="N157" i="2" s="1"/>
  <c r="H160" i="2"/>
  <c r="J160" i="2"/>
  <c r="A161" i="2"/>
  <c r="L160" i="2"/>
  <c r="F160" i="2"/>
  <c r="G160" i="2" s="1"/>
  <c r="B159" i="2"/>
  <c r="C158" i="2"/>
  <c r="D158" i="2"/>
  <c r="E158" i="2" s="1"/>
  <c r="C158" i="3"/>
  <c r="B159" i="3"/>
  <c r="E158" i="3"/>
  <c r="L160" i="3"/>
  <c r="J160" i="3"/>
  <c r="H160" i="3"/>
  <c r="A161" i="3"/>
  <c r="F160" i="3"/>
  <c r="G160" i="3" s="1"/>
  <c r="D160" i="3"/>
  <c r="I157" i="3"/>
  <c r="M157" i="3"/>
  <c r="N157" i="3" s="1"/>
  <c r="I158" i="3" l="1"/>
  <c r="M158" i="3"/>
  <c r="N158" i="3" s="1"/>
  <c r="A162" i="2"/>
  <c r="F161" i="2"/>
  <c r="G161" i="2" s="1"/>
  <c r="H161" i="2"/>
  <c r="J161" i="2"/>
  <c r="L161" i="2"/>
  <c r="B160" i="3"/>
  <c r="C159" i="3"/>
  <c r="E159" i="3"/>
  <c r="I158" i="2"/>
  <c r="K158" i="2" s="1"/>
  <c r="M158" i="2"/>
  <c r="N158" i="2" s="1"/>
  <c r="H161" i="3"/>
  <c r="F161" i="3"/>
  <c r="G161" i="3" s="1"/>
  <c r="L161" i="3"/>
  <c r="A162" i="3"/>
  <c r="J161" i="3"/>
  <c r="D161" i="3"/>
  <c r="C159" i="2"/>
  <c r="B160" i="2"/>
  <c r="D159" i="2"/>
  <c r="E159" i="2" s="1"/>
  <c r="I159" i="2" l="1"/>
  <c r="M159" i="2"/>
  <c r="N159" i="2" s="1"/>
  <c r="K159" i="2"/>
  <c r="J162" i="2"/>
  <c r="L162" i="2"/>
  <c r="F162" i="2"/>
  <c r="G162" i="2" s="1"/>
  <c r="H162" i="2"/>
  <c r="A163" i="2"/>
  <c r="C160" i="2"/>
  <c r="B161" i="2"/>
  <c r="D160" i="2"/>
  <c r="E160" i="2" s="1"/>
  <c r="I159" i="3"/>
  <c r="M159" i="3"/>
  <c r="N159" i="3" s="1"/>
  <c r="C160" i="3"/>
  <c r="B161" i="3"/>
  <c r="E160" i="3"/>
  <c r="J162" i="3"/>
  <c r="A163" i="3"/>
  <c r="D162" i="3"/>
  <c r="L162" i="3"/>
  <c r="F162" i="3"/>
  <c r="G162" i="3" s="1"/>
  <c r="H162" i="3"/>
  <c r="I160" i="2" l="1"/>
  <c r="M160" i="2"/>
  <c r="N160" i="2" s="1"/>
  <c r="B162" i="3"/>
  <c r="C161" i="3"/>
  <c r="E161" i="3"/>
  <c r="C161" i="2"/>
  <c r="B162" i="2"/>
  <c r="D161" i="2"/>
  <c r="E161" i="2" s="1"/>
  <c r="K160" i="2"/>
  <c r="I160" i="3"/>
  <c r="M160" i="3"/>
  <c r="N160" i="3" s="1"/>
  <c r="F163" i="3"/>
  <c r="G163" i="3" s="1"/>
  <c r="L163" i="3"/>
  <c r="J163" i="3"/>
  <c r="D163" i="3"/>
  <c r="A164" i="3"/>
  <c r="H163" i="3"/>
  <c r="F163" i="2"/>
  <c r="G163" i="2" s="1"/>
  <c r="A164" i="2"/>
  <c r="H163" i="2"/>
  <c r="J163" i="2"/>
  <c r="L163" i="2"/>
  <c r="I161" i="2" l="1"/>
  <c r="M161" i="2"/>
  <c r="N161" i="2" s="1"/>
  <c r="K161" i="2"/>
  <c r="C162" i="3"/>
  <c r="B163" i="3"/>
  <c r="E162" i="3"/>
  <c r="L164" i="3"/>
  <c r="H164" i="3"/>
  <c r="J164" i="3"/>
  <c r="F164" i="3"/>
  <c r="G164" i="3" s="1"/>
  <c r="D164" i="3"/>
  <c r="A165" i="3"/>
  <c r="L164" i="2"/>
  <c r="A165" i="2"/>
  <c r="H164" i="2"/>
  <c r="J164" i="2"/>
  <c r="F164" i="2"/>
  <c r="G164" i="2" s="1"/>
  <c r="C162" i="2"/>
  <c r="B163" i="2"/>
  <c r="D162" i="2"/>
  <c r="E162" i="2" s="1"/>
  <c r="I161" i="3"/>
  <c r="M161" i="3"/>
  <c r="N161" i="3" s="1"/>
  <c r="I162" i="2" l="1"/>
  <c r="M162" i="2"/>
  <c r="N162" i="2" s="1"/>
  <c r="H165" i="2"/>
  <c r="J165" i="2"/>
  <c r="A166" i="2"/>
  <c r="L165" i="2"/>
  <c r="F165" i="2"/>
  <c r="G165" i="2" s="1"/>
  <c r="K162" i="2"/>
  <c r="I162" i="3"/>
  <c r="M162" i="3"/>
  <c r="N162" i="3" s="1"/>
  <c r="B164" i="3"/>
  <c r="C163" i="3"/>
  <c r="E163" i="3"/>
  <c r="B164" i="2"/>
  <c r="C163" i="2"/>
  <c r="D163" i="2"/>
  <c r="E163" i="2" s="1"/>
  <c r="H165" i="3"/>
  <c r="F165" i="3"/>
  <c r="G165" i="3" s="1"/>
  <c r="A166" i="3"/>
  <c r="D165" i="3"/>
  <c r="L165" i="3"/>
  <c r="J165" i="3"/>
  <c r="I163" i="2" l="1"/>
  <c r="M163" i="2"/>
  <c r="N163" i="2" s="1"/>
  <c r="A167" i="2"/>
  <c r="F166" i="2"/>
  <c r="G166" i="2" s="1"/>
  <c r="L166" i="2"/>
  <c r="J166" i="2"/>
  <c r="H166" i="2"/>
  <c r="C164" i="2"/>
  <c r="B165" i="2"/>
  <c r="D164" i="2"/>
  <c r="E164" i="2" s="1"/>
  <c r="B165" i="3"/>
  <c r="C164" i="3"/>
  <c r="E164" i="3"/>
  <c r="I163" i="3"/>
  <c r="M163" i="3"/>
  <c r="N163" i="3" s="1"/>
  <c r="D166" i="3"/>
  <c r="A167" i="3"/>
  <c r="L166" i="3"/>
  <c r="F166" i="3"/>
  <c r="G166" i="3" s="1"/>
  <c r="J166" i="3"/>
  <c r="H166" i="3"/>
  <c r="K163" i="2"/>
  <c r="I164" i="2" l="1"/>
  <c r="M164" i="2"/>
  <c r="N164" i="2" s="1"/>
  <c r="I164" i="3"/>
  <c r="M164" i="3"/>
  <c r="N164" i="3" s="1"/>
  <c r="B166" i="3"/>
  <c r="C165" i="3"/>
  <c r="E165" i="3"/>
  <c r="K164" i="2"/>
  <c r="J167" i="2"/>
  <c r="L167" i="2"/>
  <c r="F167" i="2"/>
  <c r="G167" i="2" s="1"/>
  <c r="A168" i="2"/>
  <c r="H167" i="2"/>
  <c r="B166" i="2"/>
  <c r="C165" i="2"/>
  <c r="D165" i="2"/>
  <c r="E165" i="2" s="1"/>
  <c r="J167" i="3"/>
  <c r="L167" i="3"/>
  <c r="D167" i="3"/>
  <c r="A168" i="3"/>
  <c r="H167" i="3"/>
  <c r="F167" i="3"/>
  <c r="G167" i="3" s="1"/>
  <c r="I165" i="2" l="1"/>
  <c r="M165" i="2"/>
  <c r="N165" i="2" s="1"/>
  <c r="K165" i="2"/>
  <c r="I165" i="3"/>
  <c r="M165" i="3"/>
  <c r="N165" i="3" s="1"/>
  <c r="F168" i="3"/>
  <c r="G168" i="3" s="1"/>
  <c r="H168" i="3"/>
  <c r="J168" i="3"/>
  <c r="D168" i="3"/>
  <c r="L168" i="3"/>
  <c r="A169" i="3"/>
  <c r="C166" i="3"/>
  <c r="B167" i="3"/>
  <c r="E166" i="3"/>
  <c r="C166" i="2"/>
  <c r="B167" i="2"/>
  <c r="D166" i="2"/>
  <c r="E166" i="2" s="1"/>
  <c r="F168" i="2"/>
  <c r="G168" i="2" s="1"/>
  <c r="A169" i="2"/>
  <c r="H168" i="2"/>
  <c r="J168" i="2"/>
  <c r="L168" i="2"/>
  <c r="I166" i="2" l="1"/>
  <c r="M166" i="2"/>
  <c r="N166" i="2" s="1"/>
  <c r="B168" i="2"/>
  <c r="C167" i="2"/>
  <c r="D167" i="2"/>
  <c r="E167" i="2" s="1"/>
  <c r="I166" i="3"/>
  <c r="M166" i="3"/>
  <c r="N166" i="3" s="1"/>
  <c r="C167" i="3"/>
  <c r="B168" i="3"/>
  <c r="E167" i="3"/>
  <c r="K166" i="2"/>
  <c r="L169" i="2"/>
  <c r="H169" i="2"/>
  <c r="J169" i="2"/>
  <c r="F169" i="2"/>
  <c r="G169" i="2" s="1"/>
  <c r="A170" i="2"/>
  <c r="L169" i="3"/>
  <c r="F169" i="3"/>
  <c r="G169" i="3" s="1"/>
  <c r="A170" i="3"/>
  <c r="D169" i="3"/>
  <c r="J169" i="3"/>
  <c r="H169" i="3"/>
  <c r="I167" i="2" l="1"/>
  <c r="M167" i="2"/>
  <c r="N167" i="2" s="1"/>
  <c r="B169" i="2"/>
  <c r="C168" i="2"/>
  <c r="D168" i="2"/>
  <c r="E168" i="2" s="1"/>
  <c r="H170" i="3"/>
  <c r="L170" i="3"/>
  <c r="A171" i="3"/>
  <c r="D170" i="3"/>
  <c r="F170" i="3"/>
  <c r="G170" i="3" s="1"/>
  <c r="J170" i="3"/>
  <c r="H170" i="2"/>
  <c r="J170" i="2"/>
  <c r="F170" i="2"/>
  <c r="G170" i="2" s="1"/>
  <c r="L170" i="2"/>
  <c r="A171" i="2"/>
  <c r="B169" i="3"/>
  <c r="C168" i="3"/>
  <c r="E168" i="3"/>
  <c r="K167" i="2"/>
  <c r="I167" i="3"/>
  <c r="M167" i="3"/>
  <c r="N167" i="3" s="1"/>
  <c r="I168" i="2" l="1"/>
  <c r="M168" i="2"/>
  <c r="N168" i="2" s="1"/>
  <c r="D171" i="3"/>
  <c r="J171" i="3"/>
  <c r="L171" i="3"/>
  <c r="F171" i="3"/>
  <c r="G171" i="3" s="1"/>
  <c r="A172" i="3"/>
  <c r="H171" i="3"/>
  <c r="C169" i="2"/>
  <c r="B170" i="2"/>
  <c r="D169" i="2"/>
  <c r="E169" i="2"/>
  <c r="K168" i="2"/>
  <c r="I168" i="3"/>
  <c r="M168" i="3"/>
  <c r="N168" i="3" s="1"/>
  <c r="B170" i="3"/>
  <c r="C169" i="3"/>
  <c r="E169" i="3"/>
  <c r="A172" i="2"/>
  <c r="F171" i="2"/>
  <c r="G171" i="2" s="1"/>
  <c r="L171" i="2"/>
  <c r="J171" i="2"/>
  <c r="H171" i="2"/>
  <c r="J172" i="3" l="1"/>
  <c r="H172" i="3"/>
  <c r="F172" i="3"/>
  <c r="G172" i="3" s="1"/>
  <c r="D172" i="3"/>
  <c r="L172" i="3"/>
  <c r="A173" i="3"/>
  <c r="I169" i="3"/>
  <c r="M169" i="3"/>
  <c r="N169" i="3" s="1"/>
  <c r="I169" i="2"/>
  <c r="K169" i="2" s="1"/>
  <c r="M169" i="2"/>
  <c r="N169" i="2" s="1"/>
  <c r="C170" i="3"/>
  <c r="B171" i="3"/>
  <c r="E170" i="3"/>
  <c r="B171" i="2"/>
  <c r="C170" i="2"/>
  <c r="D170" i="2"/>
  <c r="E170" i="2"/>
  <c r="J172" i="2"/>
  <c r="L172" i="2"/>
  <c r="A173" i="2"/>
  <c r="H172" i="2"/>
  <c r="F172" i="2"/>
  <c r="G172" i="2" s="1"/>
  <c r="I170" i="2" l="1"/>
  <c r="K170" i="2" s="1"/>
  <c r="M170" i="2"/>
  <c r="N170" i="2" s="1"/>
  <c r="I170" i="3"/>
  <c r="M170" i="3"/>
  <c r="N170" i="3" s="1"/>
  <c r="F173" i="2"/>
  <c r="G173" i="2" s="1"/>
  <c r="A174" i="2"/>
  <c r="H173" i="2"/>
  <c r="J173" i="2"/>
  <c r="L173" i="2"/>
  <c r="F173" i="3"/>
  <c r="G173" i="3" s="1"/>
  <c r="A174" i="3"/>
  <c r="D173" i="3"/>
  <c r="J173" i="3"/>
  <c r="L173" i="3"/>
  <c r="H173" i="3"/>
  <c r="C171" i="2"/>
  <c r="B172" i="2"/>
  <c r="D171" i="2"/>
  <c r="E171" i="2" s="1"/>
  <c r="C171" i="3"/>
  <c r="B172" i="3"/>
  <c r="E171" i="3"/>
  <c r="I171" i="2" l="1"/>
  <c r="M171" i="2"/>
  <c r="N171" i="2" s="1"/>
  <c r="K171" i="2"/>
  <c r="I171" i="3"/>
  <c r="M171" i="3"/>
  <c r="N171" i="3" s="1"/>
  <c r="C172" i="3"/>
  <c r="B173" i="3"/>
  <c r="E172" i="3"/>
  <c r="L174" i="2"/>
  <c r="F174" i="2"/>
  <c r="G174" i="2" s="1"/>
  <c r="H174" i="2"/>
  <c r="J174" i="2"/>
  <c r="A175" i="2"/>
  <c r="L174" i="3"/>
  <c r="A175" i="3"/>
  <c r="D174" i="3"/>
  <c r="J174" i="3"/>
  <c r="H174" i="3"/>
  <c r="F174" i="3"/>
  <c r="G174" i="3" s="1"/>
  <c r="C172" i="2"/>
  <c r="B173" i="2"/>
  <c r="D172" i="2"/>
  <c r="E172" i="2" s="1"/>
  <c r="I172" i="2" l="1"/>
  <c r="M172" i="2"/>
  <c r="N172" i="2" s="1"/>
  <c r="I172" i="3"/>
  <c r="M172" i="3"/>
  <c r="N172" i="3" s="1"/>
  <c r="B174" i="3"/>
  <c r="C173" i="3"/>
  <c r="E173" i="3"/>
  <c r="B174" i="2"/>
  <c r="C173" i="2"/>
  <c r="E173" i="2"/>
  <c r="D173" i="2"/>
  <c r="H175" i="2"/>
  <c r="J175" i="2"/>
  <c r="F175" i="2"/>
  <c r="G175" i="2" s="1"/>
  <c r="L175" i="2"/>
  <c r="A176" i="2"/>
  <c r="K172" i="2"/>
  <c r="H175" i="3"/>
  <c r="F175" i="3"/>
  <c r="G175" i="3" s="1"/>
  <c r="L175" i="3"/>
  <c r="J175" i="3"/>
  <c r="D175" i="3"/>
  <c r="A176" i="3"/>
  <c r="I173" i="2" l="1"/>
  <c r="M173" i="2"/>
  <c r="N173" i="2" s="1"/>
  <c r="A177" i="2"/>
  <c r="F176" i="2"/>
  <c r="G176" i="2" s="1"/>
  <c r="J176" i="2"/>
  <c r="L176" i="2"/>
  <c r="H176" i="2"/>
  <c r="I173" i="3"/>
  <c r="M173" i="3"/>
  <c r="N173" i="3" s="1"/>
  <c r="K173" i="2"/>
  <c r="D176" i="3"/>
  <c r="L176" i="3"/>
  <c r="J176" i="3"/>
  <c r="H176" i="3"/>
  <c r="F176" i="3"/>
  <c r="G176" i="3" s="1"/>
  <c r="A177" i="3"/>
  <c r="C174" i="2"/>
  <c r="B175" i="2"/>
  <c r="D174" i="2"/>
  <c r="E174" i="2" s="1"/>
  <c r="C174" i="3"/>
  <c r="B175" i="3"/>
  <c r="E174" i="3"/>
  <c r="I174" i="2" l="1"/>
  <c r="M174" i="2"/>
  <c r="N174" i="2" s="1"/>
  <c r="C175" i="2"/>
  <c r="B176" i="2"/>
  <c r="D175" i="2"/>
  <c r="E175" i="2"/>
  <c r="K174" i="2"/>
  <c r="J177" i="2"/>
  <c r="L177" i="2"/>
  <c r="A178" i="2"/>
  <c r="H177" i="2"/>
  <c r="F177" i="2"/>
  <c r="G177" i="2" s="1"/>
  <c r="B176" i="3"/>
  <c r="C175" i="3"/>
  <c r="E175" i="3"/>
  <c r="I174" i="3"/>
  <c r="M174" i="3"/>
  <c r="N174" i="3" s="1"/>
  <c r="J177" i="3"/>
  <c r="H177" i="3"/>
  <c r="F177" i="3"/>
  <c r="G177" i="3" s="1"/>
  <c r="A178" i="3"/>
  <c r="D177" i="3"/>
  <c r="L177" i="3"/>
  <c r="F178" i="2" l="1"/>
  <c r="G178" i="2" s="1"/>
  <c r="A179" i="2"/>
  <c r="H178" i="2"/>
  <c r="L178" i="2"/>
  <c r="J178" i="2"/>
  <c r="I175" i="3"/>
  <c r="M175" i="3"/>
  <c r="N175" i="3" s="1"/>
  <c r="I175" i="2"/>
  <c r="K175" i="2" s="1"/>
  <c r="M175" i="2"/>
  <c r="N175" i="2" s="1"/>
  <c r="C176" i="3"/>
  <c r="B177" i="3"/>
  <c r="E176" i="3"/>
  <c r="F178" i="3"/>
  <c r="G178" i="3" s="1"/>
  <c r="D178" i="3"/>
  <c r="H178" i="3"/>
  <c r="A179" i="3"/>
  <c r="J178" i="3"/>
  <c r="L178" i="3"/>
  <c r="C176" i="2"/>
  <c r="B177" i="2"/>
  <c r="D176" i="2"/>
  <c r="E176" i="2" s="1"/>
  <c r="B178" i="2" l="1"/>
  <c r="C177" i="2"/>
  <c r="D177" i="2"/>
  <c r="E177" i="2"/>
  <c r="B178" i="3"/>
  <c r="C177" i="3"/>
  <c r="E177" i="3"/>
  <c r="I176" i="3"/>
  <c r="M176" i="3"/>
  <c r="N176" i="3" s="1"/>
  <c r="L179" i="2"/>
  <c r="F179" i="2"/>
  <c r="G179" i="2" s="1"/>
  <c r="A180" i="2"/>
  <c r="J179" i="2"/>
  <c r="H179" i="2"/>
  <c r="I176" i="2"/>
  <c r="K176" i="2" s="1"/>
  <c r="M176" i="2"/>
  <c r="N176" i="2" s="1"/>
  <c r="L179" i="3"/>
  <c r="J179" i="3"/>
  <c r="F179" i="3"/>
  <c r="G179" i="3" s="1"/>
  <c r="D179" i="3"/>
  <c r="H179" i="3"/>
  <c r="A180" i="3"/>
  <c r="B179" i="3" l="1"/>
  <c r="C178" i="3"/>
  <c r="E178" i="3"/>
  <c r="I177" i="2"/>
  <c r="K177" i="2" s="1"/>
  <c r="M177" i="2"/>
  <c r="N177" i="2" s="1"/>
  <c r="B179" i="2"/>
  <c r="C178" i="2"/>
  <c r="D178" i="2"/>
  <c r="E178" i="2" s="1"/>
  <c r="I177" i="3"/>
  <c r="M177" i="3"/>
  <c r="N177" i="3" s="1"/>
  <c r="H180" i="3"/>
  <c r="F180" i="3"/>
  <c r="G180" i="3" s="1"/>
  <c r="D180" i="3"/>
  <c r="A181" i="3"/>
  <c r="L180" i="3"/>
  <c r="J180" i="3"/>
  <c r="H180" i="2"/>
  <c r="J180" i="2"/>
  <c r="F180" i="2"/>
  <c r="G180" i="2" s="1"/>
  <c r="A181" i="2"/>
  <c r="L180" i="2"/>
  <c r="I178" i="2" l="1"/>
  <c r="M178" i="2"/>
  <c r="N178" i="2" s="1"/>
  <c r="K178" i="2"/>
  <c r="A182" i="2"/>
  <c r="F181" i="2"/>
  <c r="G181" i="2" s="1"/>
  <c r="H181" i="2"/>
  <c r="J181" i="2"/>
  <c r="L181" i="2"/>
  <c r="C179" i="2"/>
  <c r="B180" i="2"/>
  <c r="D179" i="2"/>
  <c r="E179" i="2"/>
  <c r="D181" i="3"/>
  <c r="L181" i="3"/>
  <c r="A182" i="3"/>
  <c r="F181" i="3"/>
  <c r="G181" i="3" s="1"/>
  <c r="J181" i="3"/>
  <c r="H181" i="3"/>
  <c r="I178" i="3"/>
  <c r="M178" i="3"/>
  <c r="N178" i="3" s="1"/>
  <c r="B180" i="3"/>
  <c r="C179" i="3"/>
  <c r="E179" i="3"/>
  <c r="I179" i="2" l="1"/>
  <c r="M179" i="2"/>
  <c r="N179" i="2" s="1"/>
  <c r="C180" i="2"/>
  <c r="B181" i="2"/>
  <c r="D180" i="2"/>
  <c r="E180" i="2" s="1"/>
  <c r="K179" i="2"/>
  <c r="I179" i="3"/>
  <c r="M179" i="3"/>
  <c r="N179" i="3" s="1"/>
  <c r="J182" i="3"/>
  <c r="H182" i="3"/>
  <c r="L182" i="3"/>
  <c r="A183" i="3"/>
  <c r="F182" i="3"/>
  <c r="G182" i="3" s="1"/>
  <c r="D182" i="3"/>
  <c r="B181" i="3"/>
  <c r="C180" i="3"/>
  <c r="E180" i="3"/>
  <c r="J182" i="2"/>
  <c r="L182" i="2"/>
  <c r="F182" i="2"/>
  <c r="G182" i="2" s="1"/>
  <c r="H182" i="2"/>
  <c r="A183" i="2"/>
  <c r="I180" i="2" l="1"/>
  <c r="M180" i="2"/>
  <c r="N180" i="2" s="1"/>
  <c r="F183" i="2"/>
  <c r="G183" i="2" s="1"/>
  <c r="A184" i="2"/>
  <c r="H183" i="2"/>
  <c r="L183" i="2"/>
  <c r="J183" i="2"/>
  <c r="C181" i="2"/>
  <c r="B182" i="2"/>
  <c r="D181" i="2"/>
  <c r="E181" i="2" s="1"/>
  <c r="I180" i="3"/>
  <c r="M180" i="3"/>
  <c r="N180" i="3" s="1"/>
  <c r="B182" i="3"/>
  <c r="C181" i="3"/>
  <c r="E181" i="3"/>
  <c r="K180" i="2"/>
  <c r="F183" i="3"/>
  <c r="G183" i="3" s="1"/>
  <c r="D183" i="3"/>
  <c r="L183" i="3"/>
  <c r="J183" i="3"/>
  <c r="A184" i="3"/>
  <c r="H183" i="3"/>
  <c r="I181" i="2" l="1"/>
  <c r="M181" i="2"/>
  <c r="N181" i="2" s="1"/>
  <c r="K181" i="2"/>
  <c r="C182" i="3"/>
  <c r="B183" i="3"/>
  <c r="E182" i="3"/>
  <c r="L184" i="3"/>
  <c r="J184" i="3"/>
  <c r="H184" i="3"/>
  <c r="D184" i="3"/>
  <c r="A185" i="3"/>
  <c r="F184" i="3"/>
  <c r="G184" i="3" s="1"/>
  <c r="I181" i="3"/>
  <c r="M181" i="3"/>
  <c r="N181" i="3" s="1"/>
  <c r="L184" i="2"/>
  <c r="A185" i="2"/>
  <c r="J184" i="2"/>
  <c r="F184" i="2"/>
  <c r="G184" i="2" s="1"/>
  <c r="H184" i="2"/>
  <c r="C182" i="2"/>
  <c r="B183" i="2"/>
  <c r="D182" i="2"/>
  <c r="E182" i="2"/>
  <c r="I182" i="2" l="1"/>
  <c r="M182" i="2"/>
  <c r="N182" i="2" s="1"/>
  <c r="I182" i="3"/>
  <c r="M182" i="3"/>
  <c r="N182" i="3" s="1"/>
  <c r="B184" i="3"/>
  <c r="C183" i="3"/>
  <c r="E183" i="3"/>
  <c r="H185" i="2"/>
  <c r="J185" i="2"/>
  <c r="A186" i="2"/>
  <c r="L185" i="2"/>
  <c r="F185" i="2"/>
  <c r="G185" i="2" s="1"/>
  <c r="B184" i="2"/>
  <c r="C183" i="2"/>
  <c r="D183" i="2"/>
  <c r="E183" i="2" s="1"/>
  <c r="K182" i="2"/>
  <c r="H185" i="3"/>
  <c r="F185" i="3"/>
  <c r="G185" i="3" s="1"/>
  <c r="J185" i="3"/>
  <c r="D185" i="3"/>
  <c r="L185" i="3"/>
  <c r="A186" i="3"/>
  <c r="I183" i="2" l="1"/>
  <c r="M183" i="2"/>
  <c r="N183" i="2" s="1"/>
  <c r="A187" i="2"/>
  <c r="F186" i="2"/>
  <c r="G186" i="2" s="1"/>
  <c r="H186" i="2"/>
  <c r="L186" i="2"/>
  <c r="J186" i="2"/>
  <c r="C184" i="3"/>
  <c r="B185" i="3"/>
  <c r="E184" i="3"/>
  <c r="D186" i="3"/>
  <c r="L186" i="3"/>
  <c r="H186" i="3"/>
  <c r="F186" i="3"/>
  <c r="G186" i="3" s="1"/>
  <c r="A187" i="3"/>
  <c r="J186" i="3"/>
  <c r="I183" i="3"/>
  <c r="M183" i="3"/>
  <c r="N183" i="3" s="1"/>
  <c r="K183" i="2"/>
  <c r="C184" i="2"/>
  <c r="B185" i="2"/>
  <c r="D184" i="2"/>
  <c r="E184" i="2" s="1"/>
  <c r="I184" i="2" l="1"/>
  <c r="M184" i="2"/>
  <c r="N184" i="2" s="1"/>
  <c r="C185" i="2"/>
  <c r="B186" i="2"/>
  <c r="D185" i="2"/>
  <c r="E185" i="2"/>
  <c r="I184" i="3"/>
  <c r="M184" i="3"/>
  <c r="N184" i="3" s="1"/>
  <c r="J187" i="2"/>
  <c r="L187" i="2"/>
  <c r="F187" i="2"/>
  <c r="G187" i="2" s="1"/>
  <c r="H187" i="2"/>
  <c r="A188" i="2"/>
  <c r="K184" i="2"/>
  <c r="J187" i="3"/>
  <c r="H187" i="3"/>
  <c r="F187" i="3"/>
  <c r="G187" i="3" s="1"/>
  <c r="D187" i="3"/>
  <c r="A188" i="3"/>
  <c r="L187" i="3"/>
  <c r="B186" i="3"/>
  <c r="C185" i="3"/>
  <c r="E185" i="3"/>
  <c r="I185" i="3" l="1"/>
  <c r="M185" i="3"/>
  <c r="N185" i="3" s="1"/>
  <c r="I185" i="2"/>
  <c r="K185" i="2" s="1"/>
  <c r="M185" i="2"/>
  <c r="N185" i="2" s="1"/>
  <c r="F188" i="3"/>
  <c r="G188" i="3" s="1"/>
  <c r="D188" i="3"/>
  <c r="A189" i="3"/>
  <c r="H188" i="3"/>
  <c r="J188" i="3"/>
  <c r="L188" i="3"/>
  <c r="B187" i="3"/>
  <c r="C186" i="3"/>
  <c r="E186" i="3"/>
  <c r="F188" i="2"/>
  <c r="G188" i="2" s="1"/>
  <c r="A189" i="2"/>
  <c r="H188" i="2"/>
  <c r="J188" i="2"/>
  <c r="L188" i="2"/>
  <c r="C186" i="2"/>
  <c r="B187" i="2"/>
  <c r="D186" i="2"/>
  <c r="E186" i="2" s="1"/>
  <c r="L189" i="2" l="1"/>
  <c r="A190" i="2"/>
  <c r="J189" i="2"/>
  <c r="H189" i="2"/>
  <c r="F189" i="2"/>
  <c r="G189" i="2" s="1"/>
  <c r="L189" i="3"/>
  <c r="J189" i="3"/>
  <c r="D189" i="3"/>
  <c r="A190" i="3"/>
  <c r="H189" i="3"/>
  <c r="F189" i="3"/>
  <c r="G189" i="3" s="1"/>
  <c r="C187" i="2"/>
  <c r="B188" i="2"/>
  <c r="D187" i="2"/>
  <c r="E187" i="2" s="1"/>
  <c r="I186" i="2"/>
  <c r="K186" i="2" s="1"/>
  <c r="M186" i="2"/>
  <c r="N186" i="2" s="1"/>
  <c r="I186" i="3"/>
  <c r="M186" i="3"/>
  <c r="N186" i="3" s="1"/>
  <c r="B188" i="3"/>
  <c r="C187" i="3"/>
  <c r="E187" i="3"/>
  <c r="I187" i="3" l="1"/>
  <c r="M187" i="3"/>
  <c r="N187" i="3" s="1"/>
  <c r="B189" i="3"/>
  <c r="C188" i="3"/>
  <c r="E188" i="3"/>
  <c r="I187" i="2"/>
  <c r="K187" i="2" s="1"/>
  <c r="M187" i="2"/>
  <c r="N187" i="2" s="1"/>
  <c r="B189" i="2"/>
  <c r="C188" i="2"/>
  <c r="D188" i="2"/>
  <c r="E188" i="2" s="1"/>
  <c r="H190" i="2"/>
  <c r="J190" i="2"/>
  <c r="A191" i="2"/>
  <c r="L190" i="2"/>
  <c r="F190" i="2"/>
  <c r="G190" i="2" s="1"/>
  <c r="H190" i="3"/>
  <c r="F190" i="3"/>
  <c r="G190" i="3" s="1"/>
  <c r="L190" i="3"/>
  <c r="A191" i="3"/>
  <c r="D190" i="3"/>
  <c r="J190" i="3"/>
  <c r="D191" i="3" l="1"/>
  <c r="L191" i="3"/>
  <c r="J191" i="3"/>
  <c r="A192" i="3"/>
  <c r="F191" i="3"/>
  <c r="G191" i="3" s="1"/>
  <c r="H191" i="3"/>
  <c r="I188" i="3"/>
  <c r="M188" i="3"/>
  <c r="N188" i="3" s="1"/>
  <c r="A192" i="2"/>
  <c r="F191" i="2"/>
  <c r="G191" i="2" s="1"/>
  <c r="L191" i="2"/>
  <c r="H191" i="2"/>
  <c r="J191" i="2"/>
  <c r="I188" i="2"/>
  <c r="K188" i="2" s="1"/>
  <c r="M188" i="2"/>
  <c r="N188" i="2" s="1"/>
  <c r="C189" i="2"/>
  <c r="B190" i="2"/>
  <c r="D189" i="2"/>
  <c r="E189" i="2" s="1"/>
  <c r="B190" i="3"/>
  <c r="C189" i="3"/>
  <c r="E189" i="3"/>
  <c r="I189" i="3" l="1"/>
  <c r="M189" i="3"/>
  <c r="N189" i="3" s="1"/>
  <c r="J192" i="3"/>
  <c r="H192" i="3"/>
  <c r="L192" i="3"/>
  <c r="A193" i="3"/>
  <c r="D192" i="3"/>
  <c r="F192" i="3"/>
  <c r="G192" i="3" s="1"/>
  <c r="J192" i="2"/>
  <c r="L192" i="2"/>
  <c r="F192" i="2"/>
  <c r="G192" i="2" s="1"/>
  <c r="A193" i="2"/>
  <c r="H192" i="2"/>
  <c r="B191" i="3"/>
  <c r="C190" i="3"/>
  <c r="E190" i="3"/>
  <c r="I189" i="2"/>
  <c r="K189" i="2" s="1"/>
  <c r="M189" i="2"/>
  <c r="N189" i="2" s="1"/>
  <c r="B191" i="2"/>
  <c r="C190" i="2"/>
  <c r="D190" i="2"/>
  <c r="E190" i="2"/>
  <c r="B192" i="3" l="1"/>
  <c r="C191" i="3"/>
  <c r="E191" i="3"/>
  <c r="F193" i="3"/>
  <c r="G193" i="3" s="1"/>
  <c r="D193" i="3"/>
  <c r="J193" i="3"/>
  <c r="H193" i="3"/>
  <c r="L193" i="3"/>
  <c r="A194" i="3"/>
  <c r="C191" i="2"/>
  <c r="B192" i="2"/>
  <c r="D191" i="2"/>
  <c r="E191" i="2"/>
  <c r="I190" i="2"/>
  <c r="K190" i="2" s="1"/>
  <c r="M190" i="2"/>
  <c r="N190" i="2" s="1"/>
  <c r="F193" i="2"/>
  <c r="G193" i="2" s="1"/>
  <c r="A194" i="2"/>
  <c r="H193" i="2"/>
  <c r="J193" i="2"/>
  <c r="L193" i="2"/>
  <c r="I190" i="3"/>
  <c r="M190" i="3"/>
  <c r="N190" i="3" s="1"/>
  <c r="L194" i="2" l="1"/>
  <c r="F194" i="2"/>
  <c r="G194" i="2" s="1"/>
  <c r="H194" i="2"/>
  <c r="J194" i="2"/>
  <c r="A195" i="2"/>
  <c r="C192" i="2"/>
  <c r="B193" i="2"/>
  <c r="D192" i="2"/>
  <c r="E192" i="2" s="1"/>
  <c r="I191" i="3"/>
  <c r="M191" i="3"/>
  <c r="N191" i="3" s="1"/>
  <c r="L194" i="3"/>
  <c r="J194" i="3"/>
  <c r="H194" i="3"/>
  <c r="F194" i="3"/>
  <c r="G194" i="3" s="1"/>
  <c r="D194" i="3"/>
  <c r="A195" i="3"/>
  <c r="B193" i="3"/>
  <c r="C192" i="3"/>
  <c r="E192" i="3"/>
  <c r="I191" i="2"/>
  <c r="K191" i="2" s="1"/>
  <c r="M191" i="2"/>
  <c r="N191" i="2" s="1"/>
  <c r="I192" i="2" l="1"/>
  <c r="K192" i="2" s="1"/>
  <c r="M192" i="2"/>
  <c r="N192" i="2" s="1"/>
  <c r="H195" i="2"/>
  <c r="J195" i="2"/>
  <c r="L195" i="2"/>
  <c r="F195" i="2"/>
  <c r="G195" i="2" s="1"/>
  <c r="A196" i="2"/>
  <c r="B194" i="3"/>
  <c r="C193" i="3"/>
  <c r="E193" i="3"/>
  <c r="I192" i="3"/>
  <c r="M192" i="3"/>
  <c r="N192" i="3" s="1"/>
  <c r="H195" i="3"/>
  <c r="F195" i="3"/>
  <c r="G195" i="3" s="1"/>
  <c r="D195" i="3"/>
  <c r="L195" i="3"/>
  <c r="A196" i="3"/>
  <c r="J195" i="3"/>
  <c r="B194" i="2"/>
  <c r="C193" i="2"/>
  <c r="D193" i="2"/>
  <c r="E193" i="2" s="1"/>
  <c r="I193" i="2" l="1"/>
  <c r="M193" i="2"/>
  <c r="N193" i="2" s="1"/>
  <c r="K193" i="2"/>
  <c r="A197" i="2"/>
  <c r="F196" i="2"/>
  <c r="G196" i="2" s="1"/>
  <c r="L196" i="2"/>
  <c r="J196" i="2"/>
  <c r="H196" i="2"/>
  <c r="C194" i="2"/>
  <c r="B195" i="2"/>
  <c r="D194" i="2"/>
  <c r="E194" i="2"/>
  <c r="I193" i="3"/>
  <c r="M193" i="3"/>
  <c r="N193" i="3" s="1"/>
  <c r="D196" i="3"/>
  <c r="L196" i="3"/>
  <c r="F196" i="3"/>
  <c r="G196" i="3" s="1"/>
  <c r="A197" i="3"/>
  <c r="J196" i="3"/>
  <c r="H196" i="3"/>
  <c r="C194" i="3"/>
  <c r="B195" i="3"/>
  <c r="E194" i="3"/>
  <c r="I194" i="3" l="1"/>
  <c r="M194" i="3"/>
  <c r="N194" i="3" s="1"/>
  <c r="B196" i="2"/>
  <c r="C195" i="2"/>
  <c r="D195" i="2"/>
  <c r="E195" i="2" s="1"/>
  <c r="B196" i="3"/>
  <c r="C195" i="3"/>
  <c r="E195" i="3"/>
  <c r="J197" i="3"/>
  <c r="H197" i="3"/>
  <c r="D197" i="3"/>
  <c r="A198" i="3"/>
  <c r="F197" i="3"/>
  <c r="G197" i="3" s="1"/>
  <c r="L197" i="3"/>
  <c r="I194" i="2"/>
  <c r="K194" i="2" s="1"/>
  <c r="M194" i="2"/>
  <c r="N194" i="2" s="1"/>
  <c r="J197" i="2"/>
  <c r="L197" i="2"/>
  <c r="A198" i="2"/>
  <c r="H197" i="2"/>
  <c r="F197" i="2"/>
  <c r="G197" i="2" s="1"/>
  <c r="I195" i="2" l="1"/>
  <c r="K195" i="2" s="1"/>
  <c r="M195" i="2"/>
  <c r="N195" i="2" s="1"/>
  <c r="I195" i="3"/>
  <c r="M195" i="3"/>
  <c r="N195" i="3" s="1"/>
  <c r="B197" i="3"/>
  <c r="C196" i="3"/>
  <c r="E196" i="3"/>
  <c r="F198" i="2"/>
  <c r="G198" i="2" s="1"/>
  <c r="A199" i="2"/>
  <c r="H198" i="2"/>
  <c r="L198" i="2"/>
  <c r="J198" i="2"/>
  <c r="F198" i="3"/>
  <c r="G198" i="3" s="1"/>
  <c r="D198" i="3"/>
  <c r="A199" i="3"/>
  <c r="L198" i="3"/>
  <c r="J198" i="3"/>
  <c r="H198" i="3"/>
  <c r="C196" i="2"/>
  <c r="B197" i="2"/>
  <c r="D196" i="2"/>
  <c r="E196" i="2" s="1"/>
  <c r="I196" i="2" l="1"/>
  <c r="M196" i="2"/>
  <c r="N196" i="2" s="1"/>
  <c r="K196" i="2"/>
  <c r="L199" i="2"/>
  <c r="F199" i="2"/>
  <c r="G199" i="2" s="1"/>
  <c r="H199" i="2"/>
  <c r="A200" i="2"/>
  <c r="J199" i="2"/>
  <c r="L199" i="3"/>
  <c r="J199" i="3"/>
  <c r="A200" i="3"/>
  <c r="D199" i="3"/>
  <c r="H199" i="3"/>
  <c r="F199" i="3"/>
  <c r="G199" i="3" s="1"/>
  <c r="I196" i="3"/>
  <c r="M196" i="3"/>
  <c r="N196" i="3" s="1"/>
  <c r="C197" i="2"/>
  <c r="B198" i="2"/>
  <c r="D197" i="2"/>
  <c r="E197" i="2"/>
  <c r="B198" i="3"/>
  <c r="C197" i="3"/>
  <c r="E197" i="3"/>
  <c r="H200" i="3" l="1"/>
  <c r="F200" i="3"/>
  <c r="G200" i="3" s="1"/>
  <c r="L200" i="3"/>
  <c r="J200" i="3"/>
  <c r="D200" i="3"/>
  <c r="A201" i="3"/>
  <c r="B199" i="2"/>
  <c r="C198" i="2"/>
  <c r="D198" i="2"/>
  <c r="E198" i="2" s="1"/>
  <c r="H200" i="2"/>
  <c r="J200" i="2"/>
  <c r="F200" i="2"/>
  <c r="G200" i="2" s="1"/>
  <c r="L200" i="2"/>
  <c r="A201" i="2"/>
  <c r="I197" i="3"/>
  <c r="M197" i="3"/>
  <c r="N197" i="3" s="1"/>
  <c r="B199" i="3"/>
  <c r="C198" i="3"/>
  <c r="E198" i="3"/>
  <c r="I197" i="2"/>
  <c r="K197" i="2" s="1"/>
  <c r="M197" i="2"/>
  <c r="N197" i="2" s="1"/>
  <c r="I198" i="2" l="1"/>
  <c r="K198" i="2" s="1"/>
  <c r="M198" i="2"/>
  <c r="N198" i="2" s="1"/>
  <c r="A202" i="2"/>
  <c r="F201" i="2"/>
  <c r="G201" i="2" s="1"/>
  <c r="H201" i="2"/>
  <c r="J201" i="2"/>
  <c r="L201" i="2"/>
  <c r="C199" i="2"/>
  <c r="B200" i="2"/>
  <c r="D199" i="2"/>
  <c r="E199" i="2" s="1"/>
  <c r="D201" i="3"/>
  <c r="L201" i="3"/>
  <c r="J201" i="3"/>
  <c r="H201" i="3"/>
  <c r="A202" i="3"/>
  <c r="F201" i="3"/>
  <c r="G201" i="3" s="1"/>
  <c r="I198" i="3"/>
  <c r="M198" i="3"/>
  <c r="N198" i="3" s="1"/>
  <c r="C199" i="3"/>
  <c r="B200" i="3"/>
  <c r="E199" i="3"/>
  <c r="J202" i="3" l="1"/>
  <c r="H202" i="3"/>
  <c r="F202" i="3"/>
  <c r="G202" i="3" s="1"/>
  <c r="A203" i="3"/>
  <c r="D202" i="3"/>
  <c r="L202" i="3"/>
  <c r="I199" i="3"/>
  <c r="M199" i="3"/>
  <c r="N199" i="3" s="1"/>
  <c r="I199" i="2"/>
  <c r="K199" i="2" s="1"/>
  <c r="M199" i="2"/>
  <c r="N199" i="2" s="1"/>
  <c r="B201" i="3"/>
  <c r="C200" i="3"/>
  <c r="E200" i="3"/>
  <c r="J202" i="2"/>
  <c r="L202" i="2"/>
  <c r="A203" i="2"/>
  <c r="H202" i="2"/>
  <c r="F202" i="2"/>
  <c r="G202" i="2" s="1"/>
  <c r="B201" i="2"/>
  <c r="C200" i="2"/>
  <c r="D200" i="2"/>
  <c r="E200" i="2" s="1"/>
  <c r="I200" i="2" l="1"/>
  <c r="K200" i="2" s="1"/>
  <c r="M200" i="2"/>
  <c r="N200" i="2" s="1"/>
  <c r="F203" i="3"/>
  <c r="G203" i="3" s="1"/>
  <c r="D203" i="3"/>
  <c r="H203" i="3"/>
  <c r="J203" i="3"/>
  <c r="A204" i="3"/>
  <c r="L203" i="3"/>
  <c r="I200" i="3"/>
  <c r="M200" i="3"/>
  <c r="N200" i="3" s="1"/>
  <c r="C201" i="2"/>
  <c r="B202" i="2"/>
  <c r="D201" i="2"/>
  <c r="E201" i="2" s="1"/>
  <c r="F203" i="2"/>
  <c r="G203" i="2" s="1"/>
  <c r="A204" i="2"/>
  <c r="H203" i="2"/>
  <c r="L203" i="2"/>
  <c r="J203" i="2"/>
  <c r="B202" i="3"/>
  <c r="C201" i="3"/>
  <c r="E201" i="3"/>
  <c r="L204" i="3" l="1"/>
  <c r="J204" i="3"/>
  <c r="F204" i="3"/>
  <c r="G204" i="3" s="1"/>
  <c r="D204" i="3"/>
  <c r="A205" i="3"/>
  <c r="H204" i="3"/>
  <c r="I201" i="2"/>
  <c r="K201" i="2" s="1"/>
  <c r="M201" i="2"/>
  <c r="N201" i="2" s="1"/>
  <c r="I201" i="3"/>
  <c r="M201" i="3"/>
  <c r="N201" i="3" s="1"/>
  <c r="B203" i="3"/>
  <c r="C202" i="3"/>
  <c r="E202" i="3"/>
  <c r="L204" i="2"/>
  <c r="F204" i="2"/>
  <c r="G204" i="2" s="1"/>
  <c r="J204" i="2"/>
  <c r="H204" i="2"/>
  <c r="A205" i="2"/>
  <c r="B203" i="2"/>
  <c r="C202" i="2"/>
  <c r="D202" i="2"/>
  <c r="E202" i="2" s="1"/>
  <c r="I202" i="2" l="1"/>
  <c r="K202" i="2" s="1"/>
  <c r="M202" i="2"/>
  <c r="N202" i="2" s="1"/>
  <c r="I202" i="3"/>
  <c r="M202" i="3"/>
  <c r="N202" i="3" s="1"/>
  <c r="B204" i="2"/>
  <c r="C203" i="2"/>
  <c r="D203" i="2"/>
  <c r="E203" i="2" s="1"/>
  <c r="H205" i="3"/>
  <c r="F205" i="3"/>
  <c r="G205" i="3" s="1"/>
  <c r="D205" i="3"/>
  <c r="A206" i="3"/>
  <c r="J205" i="3"/>
  <c r="L205" i="3"/>
  <c r="H205" i="2"/>
  <c r="J205" i="2"/>
  <c r="F205" i="2"/>
  <c r="G205" i="2" s="1"/>
  <c r="A206" i="2"/>
  <c r="L205" i="2"/>
  <c r="B204" i="3"/>
  <c r="C203" i="3"/>
  <c r="E203" i="3"/>
  <c r="B205" i="3" l="1"/>
  <c r="C204" i="3"/>
  <c r="E204" i="3"/>
  <c r="I203" i="3"/>
  <c r="M203" i="3"/>
  <c r="N203" i="3" s="1"/>
  <c r="C204" i="2"/>
  <c r="B205" i="2"/>
  <c r="D204" i="2"/>
  <c r="E204" i="2" s="1"/>
  <c r="A207" i="2"/>
  <c r="F206" i="2"/>
  <c r="G206" i="2" s="1"/>
  <c r="H206" i="2"/>
  <c r="J206" i="2"/>
  <c r="L206" i="2"/>
  <c r="I203" i="2"/>
  <c r="K203" i="2" s="1"/>
  <c r="M203" i="2"/>
  <c r="N203" i="2" s="1"/>
  <c r="D206" i="3"/>
  <c r="L206" i="3"/>
  <c r="A207" i="3"/>
  <c r="F206" i="3"/>
  <c r="G206" i="3" s="1"/>
  <c r="H206" i="3"/>
  <c r="J206" i="3"/>
  <c r="C205" i="2" l="1"/>
  <c r="B206" i="2"/>
  <c r="D205" i="2"/>
  <c r="E205" i="2" s="1"/>
  <c r="J207" i="3"/>
  <c r="H207" i="3"/>
  <c r="L207" i="3"/>
  <c r="A208" i="3"/>
  <c r="D207" i="3"/>
  <c r="F207" i="3"/>
  <c r="G207" i="3" s="1"/>
  <c r="I204" i="2"/>
  <c r="K204" i="2" s="1"/>
  <c r="M204" i="2"/>
  <c r="N204" i="2" s="1"/>
  <c r="I204" i="3"/>
  <c r="M204" i="3"/>
  <c r="N204" i="3" s="1"/>
  <c r="B206" i="3"/>
  <c r="C205" i="3"/>
  <c r="E205" i="3"/>
  <c r="J207" i="2"/>
  <c r="L207" i="2"/>
  <c r="H207" i="2"/>
  <c r="F207" i="2"/>
  <c r="G207" i="2" s="1"/>
  <c r="A208" i="2"/>
  <c r="F208" i="3" l="1"/>
  <c r="G208" i="3" s="1"/>
  <c r="D208" i="3"/>
  <c r="L208" i="3"/>
  <c r="J208" i="3"/>
  <c r="A209" i="3"/>
  <c r="H208" i="3"/>
  <c r="C206" i="2"/>
  <c r="B207" i="2"/>
  <c r="D206" i="2"/>
  <c r="E206" i="2" s="1"/>
  <c r="I205" i="3"/>
  <c r="M205" i="3"/>
  <c r="N205" i="3" s="1"/>
  <c r="I205" i="2"/>
  <c r="K205" i="2" s="1"/>
  <c r="M205" i="2"/>
  <c r="N205" i="2" s="1"/>
  <c r="B207" i="3"/>
  <c r="C206" i="3"/>
  <c r="E206" i="3"/>
  <c r="F208" i="2"/>
  <c r="G208" i="2" s="1"/>
  <c r="A209" i="2"/>
  <c r="L208" i="2"/>
  <c r="J208" i="2"/>
  <c r="D208" i="2"/>
  <c r="I206" i="2" l="1"/>
  <c r="M206" i="2"/>
  <c r="N206" i="2" s="1"/>
  <c r="K206" i="2"/>
  <c r="I206" i="3"/>
  <c r="M206" i="3"/>
  <c r="N206" i="3" s="1"/>
  <c r="C207" i="3"/>
  <c r="B208" i="3"/>
  <c r="E207" i="3"/>
  <c r="L209" i="3"/>
  <c r="J209" i="3"/>
  <c r="H209" i="3"/>
  <c r="D209" i="3"/>
  <c r="F209" i="3"/>
  <c r="G209" i="3" s="1"/>
  <c r="A210" i="3"/>
  <c r="L209" i="2"/>
  <c r="D209" i="2"/>
  <c r="A210" i="2"/>
  <c r="J209" i="2"/>
  <c r="H209" i="2"/>
  <c r="F209" i="2"/>
  <c r="G209" i="2" s="1"/>
  <c r="B208" i="2"/>
  <c r="C207" i="2"/>
  <c r="D207" i="2"/>
  <c r="E207" i="2" s="1"/>
  <c r="I207" i="2" l="1"/>
  <c r="M207" i="2"/>
  <c r="N207" i="2" s="1"/>
  <c r="B209" i="2"/>
  <c r="C208" i="2"/>
  <c r="E208" i="2"/>
  <c r="K207" i="2"/>
  <c r="H210" i="2"/>
  <c r="J210" i="2"/>
  <c r="A211" i="2"/>
  <c r="D210" i="2"/>
  <c r="L210" i="2"/>
  <c r="F210" i="2"/>
  <c r="G210" i="2" s="1"/>
  <c r="I207" i="3"/>
  <c r="M207" i="3"/>
  <c r="N207" i="3" s="1"/>
  <c r="B209" i="3"/>
  <c r="C208" i="3"/>
  <c r="E208" i="3"/>
  <c r="H210" i="3"/>
  <c r="F210" i="3"/>
  <c r="G210" i="3" s="1"/>
  <c r="J210" i="3"/>
  <c r="L210" i="3"/>
  <c r="D210" i="3"/>
  <c r="A211" i="3"/>
  <c r="M208" i="2" l="1"/>
  <c r="N208" i="2" s="1"/>
  <c r="D211" i="3"/>
  <c r="L211" i="3"/>
  <c r="H211" i="3"/>
  <c r="J211" i="3"/>
  <c r="A212" i="3"/>
  <c r="F211" i="3"/>
  <c r="G211" i="3" s="1"/>
  <c r="C209" i="3"/>
  <c r="B210" i="3"/>
  <c r="E209" i="3"/>
  <c r="C32" i="1"/>
  <c r="I208" i="3"/>
  <c r="M208" i="3"/>
  <c r="N208" i="3" s="1"/>
  <c r="A212" i="2"/>
  <c r="D211" i="2"/>
  <c r="F211" i="2"/>
  <c r="G211" i="2" s="1"/>
  <c r="H211" i="2"/>
  <c r="J211" i="2"/>
  <c r="L211" i="2"/>
  <c r="C209" i="2"/>
  <c r="B210" i="2"/>
  <c r="E209" i="2"/>
  <c r="J212" i="2" l="1"/>
  <c r="L212" i="2"/>
  <c r="F212" i="2"/>
  <c r="G212" i="2" s="1"/>
  <c r="D212" i="2"/>
  <c r="H212" i="2"/>
  <c r="A213" i="2"/>
  <c r="I209" i="2"/>
  <c r="M209" i="2"/>
  <c r="N209" i="2" s="1"/>
  <c r="J212" i="3"/>
  <c r="H212" i="3"/>
  <c r="F212" i="3"/>
  <c r="G212" i="3" s="1"/>
  <c r="L212" i="3"/>
  <c r="D212" i="3"/>
  <c r="A213" i="3"/>
  <c r="C210" i="2"/>
  <c r="B211" i="2"/>
  <c r="E210" i="2"/>
  <c r="B211" i="3"/>
  <c r="C210" i="3"/>
  <c r="E210" i="3"/>
  <c r="I209" i="3"/>
  <c r="M209" i="3"/>
  <c r="N209" i="3" s="1"/>
  <c r="C211" i="2" l="1"/>
  <c r="B212" i="2"/>
  <c r="E211" i="2"/>
  <c r="C211" i="3"/>
  <c r="B212" i="3"/>
  <c r="E211" i="3"/>
  <c r="F213" i="3"/>
  <c r="G213" i="3" s="1"/>
  <c r="A214" i="3"/>
  <c r="D213" i="3"/>
  <c r="J213" i="3"/>
  <c r="H213" i="3"/>
  <c r="L213" i="3"/>
  <c r="F213" i="2"/>
  <c r="G213" i="2" s="1"/>
  <c r="A214" i="2"/>
  <c r="H213" i="2"/>
  <c r="J213" i="2"/>
  <c r="D213" i="2"/>
  <c r="L213" i="2"/>
  <c r="I210" i="3"/>
  <c r="M210" i="3"/>
  <c r="N210" i="3" s="1"/>
  <c r="I210" i="2"/>
  <c r="M210" i="2"/>
  <c r="N210" i="2" s="1"/>
  <c r="L214" i="3" l="1"/>
  <c r="J214" i="3"/>
  <c r="H214" i="3"/>
  <c r="D214" i="3"/>
  <c r="A215" i="3"/>
  <c r="F214" i="3"/>
  <c r="G214" i="3" s="1"/>
  <c r="L214" i="2"/>
  <c r="D214" i="2"/>
  <c r="A215" i="2"/>
  <c r="J214" i="2"/>
  <c r="H214" i="2"/>
  <c r="F214" i="2"/>
  <c r="G214" i="2" s="1"/>
  <c r="C212" i="3"/>
  <c r="B213" i="3"/>
  <c r="E212" i="3"/>
  <c r="I211" i="2"/>
  <c r="M211" i="2"/>
  <c r="N211" i="2" s="1"/>
  <c r="I211" i="3"/>
  <c r="M211" i="3"/>
  <c r="N211" i="3" s="1"/>
  <c r="B213" i="2"/>
  <c r="C212" i="2"/>
  <c r="E212" i="2"/>
  <c r="B214" i="3" l="1"/>
  <c r="C213" i="3"/>
  <c r="E213" i="3"/>
  <c r="H215" i="3"/>
  <c r="F215" i="3"/>
  <c r="G215" i="3" s="1"/>
  <c r="J215" i="3"/>
  <c r="L215" i="3"/>
  <c r="A216" i="3"/>
  <c r="D215" i="3"/>
  <c r="I212" i="3"/>
  <c r="M212" i="3"/>
  <c r="N212" i="3" s="1"/>
  <c r="I212" i="2"/>
  <c r="M212" i="2"/>
  <c r="N212" i="2" s="1"/>
  <c r="H215" i="2"/>
  <c r="J215" i="2"/>
  <c r="A216" i="2"/>
  <c r="L215" i="2"/>
  <c r="D215" i="2"/>
  <c r="F215" i="2"/>
  <c r="G215" i="2" s="1"/>
  <c r="B214" i="2"/>
  <c r="C213" i="2"/>
  <c r="E213" i="2"/>
  <c r="D216" i="3" l="1"/>
  <c r="L216" i="3"/>
  <c r="J216" i="3"/>
  <c r="H216" i="3"/>
  <c r="A217" i="3"/>
  <c r="F216" i="3"/>
  <c r="G216" i="3" s="1"/>
  <c r="A217" i="2"/>
  <c r="D216" i="2"/>
  <c r="F216" i="2"/>
  <c r="G216" i="2" s="1"/>
  <c r="L216" i="2"/>
  <c r="J216" i="2"/>
  <c r="H216" i="2"/>
  <c r="I213" i="2"/>
  <c r="M213" i="2"/>
  <c r="N213" i="2" s="1"/>
  <c r="C214" i="2"/>
  <c r="B215" i="2"/>
  <c r="E214" i="2"/>
  <c r="I213" i="3"/>
  <c r="M213" i="3"/>
  <c r="N213" i="3" s="1"/>
  <c r="C214" i="3"/>
  <c r="B215" i="3"/>
  <c r="E214" i="3"/>
  <c r="B216" i="2" l="1"/>
  <c r="C215" i="2"/>
  <c r="E215" i="2"/>
  <c r="J217" i="3"/>
  <c r="H217" i="3"/>
  <c r="L217" i="3"/>
  <c r="F217" i="3"/>
  <c r="G217" i="3" s="1"/>
  <c r="D217" i="3"/>
  <c r="A218" i="3"/>
  <c r="B216" i="3"/>
  <c r="C215" i="3"/>
  <c r="E215" i="3"/>
  <c r="J217" i="2"/>
  <c r="L217" i="2"/>
  <c r="D217" i="2"/>
  <c r="F217" i="2"/>
  <c r="G217" i="2" s="1"/>
  <c r="A218" i="2"/>
  <c r="H217" i="2"/>
  <c r="I214" i="3"/>
  <c r="M214" i="3"/>
  <c r="N214" i="3" s="1"/>
  <c r="I214" i="2"/>
  <c r="M214" i="2"/>
  <c r="N214" i="2" s="1"/>
  <c r="F218" i="2" l="1"/>
  <c r="G218" i="2" s="1"/>
  <c r="A219" i="2"/>
  <c r="H218" i="2"/>
  <c r="D218" i="2"/>
  <c r="J218" i="2"/>
  <c r="L218" i="2"/>
  <c r="I215" i="3"/>
  <c r="M215" i="3"/>
  <c r="N215" i="3" s="1"/>
  <c r="C216" i="3"/>
  <c r="B217" i="3"/>
  <c r="E216" i="3"/>
  <c r="I215" i="2"/>
  <c r="M215" i="2"/>
  <c r="N215" i="2" s="1"/>
  <c r="F218" i="3"/>
  <c r="G218" i="3" s="1"/>
  <c r="A219" i="3"/>
  <c r="D218" i="3"/>
  <c r="J218" i="3"/>
  <c r="L218" i="3"/>
  <c r="H218" i="3"/>
  <c r="C216" i="2"/>
  <c r="B217" i="2"/>
  <c r="E216" i="2"/>
  <c r="I216" i="2" l="1"/>
  <c r="M216" i="2"/>
  <c r="N216" i="2" s="1"/>
  <c r="B218" i="2"/>
  <c r="C217" i="2"/>
  <c r="E217" i="2"/>
  <c r="L219" i="3"/>
  <c r="J219" i="3"/>
  <c r="H219" i="3"/>
  <c r="D219" i="3"/>
  <c r="F219" i="3"/>
  <c r="G219" i="3" s="1"/>
  <c r="A220" i="3"/>
  <c r="C217" i="3"/>
  <c r="B218" i="3"/>
  <c r="E217" i="3"/>
  <c r="L219" i="2"/>
  <c r="D219" i="2"/>
  <c r="H219" i="2"/>
  <c r="F219" i="2"/>
  <c r="G219" i="2" s="1"/>
  <c r="J219" i="2"/>
  <c r="A220" i="2"/>
  <c r="I216" i="3"/>
  <c r="M216" i="3"/>
  <c r="N216" i="3" s="1"/>
  <c r="I217" i="3" l="1"/>
  <c r="M217" i="3"/>
  <c r="N217" i="3" s="1"/>
  <c r="B219" i="3"/>
  <c r="C218" i="3"/>
  <c r="E218" i="3"/>
  <c r="I217" i="2"/>
  <c r="M217" i="2"/>
  <c r="N217" i="2" s="1"/>
  <c r="H220" i="2"/>
  <c r="J220" i="2"/>
  <c r="L220" i="2"/>
  <c r="F220" i="2"/>
  <c r="G220" i="2" s="1"/>
  <c r="D220" i="2"/>
  <c r="A221" i="2"/>
  <c r="H220" i="3"/>
  <c r="F220" i="3"/>
  <c r="G220" i="3" s="1"/>
  <c r="L220" i="3"/>
  <c r="J220" i="3"/>
  <c r="A221" i="3"/>
  <c r="D220" i="3"/>
  <c r="B219" i="2"/>
  <c r="C218" i="2"/>
  <c r="E218" i="2"/>
  <c r="A222" i="2" l="1"/>
  <c r="D221" i="2"/>
  <c r="F221" i="2"/>
  <c r="G221" i="2" s="1"/>
  <c r="L221" i="2"/>
  <c r="J221" i="2"/>
  <c r="H221" i="2"/>
  <c r="C219" i="3"/>
  <c r="B220" i="3"/>
  <c r="E219" i="3"/>
  <c r="I218" i="2"/>
  <c r="M218" i="2"/>
  <c r="N218" i="2" s="1"/>
  <c r="I218" i="3"/>
  <c r="M218" i="3"/>
  <c r="N218" i="3" s="1"/>
  <c r="C219" i="2"/>
  <c r="B220" i="2"/>
  <c r="E219" i="2"/>
  <c r="D221" i="3"/>
  <c r="L221" i="3"/>
  <c r="J221" i="3"/>
  <c r="A222" i="3"/>
  <c r="H221" i="3"/>
  <c r="F221" i="3"/>
  <c r="G221" i="3" s="1"/>
  <c r="B221" i="3" l="1"/>
  <c r="C220" i="3"/>
  <c r="E220" i="3"/>
  <c r="I219" i="2"/>
  <c r="M219" i="2"/>
  <c r="N219" i="2" s="1"/>
  <c r="J222" i="3"/>
  <c r="H222" i="3"/>
  <c r="L222" i="3"/>
  <c r="F222" i="3"/>
  <c r="G222" i="3" s="1"/>
  <c r="D222" i="3"/>
  <c r="A223" i="3"/>
  <c r="B221" i="2"/>
  <c r="C220" i="2"/>
  <c r="E220" i="2"/>
  <c r="I219" i="3"/>
  <c r="M219" i="3"/>
  <c r="N219" i="3" s="1"/>
  <c r="J222" i="2"/>
  <c r="L222" i="2"/>
  <c r="A223" i="2"/>
  <c r="D222" i="2"/>
  <c r="F222" i="2"/>
  <c r="G222" i="2" s="1"/>
  <c r="H222" i="2"/>
  <c r="I220" i="2" l="1"/>
  <c r="M220" i="2"/>
  <c r="N220" i="2" s="1"/>
  <c r="I220" i="3"/>
  <c r="M220" i="3"/>
  <c r="N220" i="3" s="1"/>
  <c r="C221" i="2"/>
  <c r="B222" i="2"/>
  <c r="E221" i="2"/>
  <c r="F223" i="3"/>
  <c r="G223" i="3" s="1"/>
  <c r="A224" i="3"/>
  <c r="D223" i="3"/>
  <c r="L223" i="3"/>
  <c r="J223" i="3"/>
  <c r="H223" i="3"/>
  <c r="A224" i="2"/>
  <c r="F223" i="2"/>
  <c r="G223" i="2" s="1"/>
  <c r="H223" i="2"/>
  <c r="D223" i="2"/>
  <c r="L223" i="2"/>
  <c r="J223" i="2"/>
  <c r="C221" i="3"/>
  <c r="B222" i="3"/>
  <c r="E221" i="3"/>
  <c r="I221" i="2" l="1"/>
  <c r="M221" i="2"/>
  <c r="N221" i="2" s="1"/>
  <c r="L224" i="3"/>
  <c r="J224" i="3"/>
  <c r="A225" i="3"/>
  <c r="F224" i="3"/>
  <c r="G224" i="3" s="1"/>
  <c r="D224" i="3"/>
  <c r="H224" i="3"/>
  <c r="I221" i="3"/>
  <c r="M221" i="3"/>
  <c r="N221" i="3" s="1"/>
  <c r="D224" i="2"/>
  <c r="A225" i="2"/>
  <c r="H224" i="2"/>
  <c r="F224" i="2"/>
  <c r="G224" i="2" s="1"/>
  <c r="J224" i="2"/>
  <c r="L224" i="2"/>
  <c r="C222" i="2"/>
  <c r="B223" i="2"/>
  <c r="E222" i="2"/>
  <c r="B223" i="3"/>
  <c r="C222" i="3"/>
  <c r="E222" i="3"/>
  <c r="I222" i="3" l="1"/>
  <c r="M222" i="3"/>
  <c r="N222" i="3" s="1"/>
  <c r="H225" i="3"/>
  <c r="F225" i="3"/>
  <c r="G225" i="3" s="1"/>
  <c r="L225" i="3"/>
  <c r="A226" i="3"/>
  <c r="J225" i="3"/>
  <c r="D225" i="3"/>
  <c r="L225" i="2"/>
  <c r="A226" i="2"/>
  <c r="J225" i="2"/>
  <c r="H225" i="2"/>
  <c r="F225" i="2"/>
  <c r="G225" i="2" s="1"/>
  <c r="D225" i="2"/>
  <c r="B224" i="3"/>
  <c r="C223" i="3"/>
  <c r="E223" i="3"/>
  <c r="I222" i="2"/>
  <c r="M222" i="2"/>
  <c r="N222" i="2" s="1"/>
  <c r="B224" i="2"/>
  <c r="C223" i="2"/>
  <c r="E223" i="2"/>
  <c r="C224" i="3" l="1"/>
  <c r="B225" i="3"/>
  <c r="E224" i="3"/>
  <c r="D226" i="3"/>
  <c r="L226" i="3"/>
  <c r="A227" i="3"/>
  <c r="J226" i="3"/>
  <c r="F226" i="3"/>
  <c r="G226" i="3" s="1"/>
  <c r="H226" i="3"/>
  <c r="A227" i="2"/>
  <c r="L226" i="2"/>
  <c r="J226" i="2"/>
  <c r="D226" i="2"/>
  <c r="F226" i="2"/>
  <c r="G226" i="2" s="1"/>
  <c r="H226" i="2"/>
  <c r="B225" i="2"/>
  <c r="C224" i="2"/>
  <c r="E224" i="2"/>
  <c r="I223" i="2"/>
  <c r="M223" i="2"/>
  <c r="N223" i="2" s="1"/>
  <c r="I223" i="3"/>
  <c r="M223" i="3"/>
  <c r="N223" i="3" s="1"/>
  <c r="C225" i="2" l="1"/>
  <c r="B226" i="2"/>
  <c r="E225" i="2"/>
  <c r="I224" i="3"/>
  <c r="M224" i="3"/>
  <c r="N224" i="3" s="1"/>
  <c r="I224" i="2"/>
  <c r="M224" i="2"/>
  <c r="N224" i="2" s="1"/>
  <c r="L227" i="2"/>
  <c r="J227" i="2"/>
  <c r="H227" i="2"/>
  <c r="F227" i="2"/>
  <c r="G227" i="2" s="1"/>
  <c r="D227" i="2"/>
  <c r="A228" i="2"/>
  <c r="B226" i="3"/>
  <c r="C225" i="3"/>
  <c r="E225" i="3"/>
  <c r="J227" i="3"/>
  <c r="H227" i="3"/>
  <c r="L227" i="3"/>
  <c r="A228" i="3"/>
  <c r="F227" i="3"/>
  <c r="G227" i="3" s="1"/>
  <c r="D227" i="3"/>
  <c r="I225" i="3" l="1"/>
  <c r="M225" i="3"/>
  <c r="N225" i="3" s="1"/>
  <c r="F228" i="3"/>
  <c r="G228" i="3" s="1"/>
  <c r="A229" i="3"/>
  <c r="D228" i="3"/>
  <c r="L228" i="3"/>
  <c r="H228" i="3"/>
  <c r="J228" i="3"/>
  <c r="C226" i="3"/>
  <c r="B227" i="3"/>
  <c r="E226" i="3"/>
  <c r="A229" i="2"/>
  <c r="J228" i="2"/>
  <c r="H228" i="2"/>
  <c r="L228" i="2"/>
  <c r="F228" i="2"/>
  <c r="G228" i="2" s="1"/>
  <c r="D228" i="2"/>
  <c r="C226" i="2"/>
  <c r="B227" i="2"/>
  <c r="E226" i="2"/>
  <c r="I225" i="2"/>
  <c r="M225" i="2"/>
  <c r="N225" i="2" s="1"/>
  <c r="H229" i="2" l="1"/>
  <c r="F229" i="2"/>
  <c r="G229" i="2" s="1"/>
  <c r="A230" i="2"/>
  <c r="L229" i="2"/>
  <c r="J229" i="2"/>
  <c r="D229" i="2"/>
  <c r="C227" i="2"/>
  <c r="B228" i="2"/>
  <c r="E227" i="2"/>
  <c r="I226" i="2"/>
  <c r="M226" i="2"/>
  <c r="N226" i="2" s="1"/>
  <c r="B228" i="3"/>
  <c r="C227" i="3"/>
  <c r="E227" i="3"/>
  <c r="L229" i="3"/>
  <c r="J229" i="3"/>
  <c r="A230" i="3"/>
  <c r="F229" i="3"/>
  <c r="G229" i="3" s="1"/>
  <c r="D229" i="3"/>
  <c r="H229" i="3"/>
  <c r="I226" i="3"/>
  <c r="M226" i="3"/>
  <c r="N226" i="3" s="1"/>
  <c r="B229" i="2" l="1"/>
  <c r="C228" i="2"/>
  <c r="E228" i="2"/>
  <c r="B229" i="3"/>
  <c r="C228" i="3"/>
  <c r="E228" i="3"/>
  <c r="I227" i="3"/>
  <c r="M227" i="3"/>
  <c r="N227" i="3" s="1"/>
  <c r="F230" i="2"/>
  <c r="G230" i="2" s="1"/>
  <c r="D230" i="2"/>
  <c r="H230" i="2"/>
  <c r="J230" i="2"/>
  <c r="A231" i="2"/>
  <c r="L230" i="2"/>
  <c r="H230" i="3"/>
  <c r="F230" i="3"/>
  <c r="G230" i="3" s="1"/>
  <c r="L230" i="3"/>
  <c r="A231" i="3"/>
  <c r="J230" i="3"/>
  <c r="D230" i="3"/>
  <c r="I227" i="2"/>
  <c r="M227" i="2"/>
  <c r="N227" i="2" s="1"/>
  <c r="I228" i="2" l="1"/>
  <c r="M228" i="2"/>
  <c r="N228" i="2" s="1"/>
  <c r="I228" i="3"/>
  <c r="M228" i="3"/>
  <c r="N228" i="3" s="1"/>
  <c r="B230" i="3"/>
  <c r="C229" i="3"/>
  <c r="E229" i="3"/>
  <c r="A232" i="2"/>
  <c r="F231" i="2"/>
  <c r="G231" i="2" s="1"/>
  <c r="D231" i="2"/>
  <c r="L231" i="2"/>
  <c r="J231" i="2"/>
  <c r="H231" i="2"/>
  <c r="D231" i="3"/>
  <c r="L231" i="3"/>
  <c r="A232" i="3"/>
  <c r="F231" i="3"/>
  <c r="G231" i="3" s="1"/>
  <c r="J231" i="3"/>
  <c r="H231" i="3"/>
  <c r="C229" i="2"/>
  <c r="B230" i="2"/>
  <c r="E229" i="2"/>
  <c r="J232" i="3" l="1"/>
  <c r="H232" i="3"/>
  <c r="A233" i="3"/>
  <c r="L232" i="3"/>
  <c r="F232" i="3"/>
  <c r="G232" i="3" s="1"/>
  <c r="D232" i="3"/>
  <c r="I229" i="3"/>
  <c r="M229" i="3"/>
  <c r="N229" i="3" s="1"/>
  <c r="I229" i="2"/>
  <c r="M229" i="2"/>
  <c r="N229" i="2" s="1"/>
  <c r="B231" i="3"/>
  <c r="C230" i="3"/>
  <c r="E230" i="3"/>
  <c r="D232" i="2"/>
  <c r="A233" i="2"/>
  <c r="J232" i="2"/>
  <c r="H232" i="2"/>
  <c r="L232" i="2"/>
  <c r="F232" i="2"/>
  <c r="G232" i="2" s="1"/>
  <c r="B231" i="2"/>
  <c r="C230" i="2"/>
  <c r="E230" i="2"/>
  <c r="I230" i="3" l="1"/>
  <c r="M230" i="3"/>
  <c r="N230" i="3" s="1"/>
  <c r="F233" i="3"/>
  <c r="G233" i="3" s="1"/>
  <c r="A234" i="3"/>
  <c r="D233" i="3"/>
  <c r="L233" i="3"/>
  <c r="H233" i="3"/>
  <c r="J233" i="3"/>
  <c r="I230" i="2"/>
  <c r="M230" i="2"/>
  <c r="N230" i="2" s="1"/>
  <c r="C231" i="2"/>
  <c r="B232" i="2"/>
  <c r="E231" i="2"/>
  <c r="A234" i="2"/>
  <c r="L233" i="2"/>
  <c r="H233" i="2"/>
  <c r="F233" i="2"/>
  <c r="G233" i="2" s="1"/>
  <c r="D233" i="2"/>
  <c r="J233" i="2"/>
  <c r="C231" i="3"/>
  <c r="B232" i="3"/>
  <c r="E231" i="3"/>
  <c r="L234" i="2" l="1"/>
  <c r="J234" i="2"/>
  <c r="A235" i="2"/>
  <c r="H234" i="2"/>
  <c r="F234" i="2"/>
  <c r="G234" i="2" s="1"/>
  <c r="D234" i="2"/>
  <c r="I231" i="3"/>
  <c r="M231" i="3"/>
  <c r="N231" i="3" s="1"/>
  <c r="B233" i="3"/>
  <c r="C232" i="3"/>
  <c r="E232" i="3"/>
  <c r="L234" i="3"/>
  <c r="J234" i="3"/>
  <c r="A235" i="3"/>
  <c r="D234" i="3"/>
  <c r="H234" i="3"/>
  <c r="F234" i="3"/>
  <c r="G234" i="3" s="1"/>
  <c r="I231" i="2"/>
  <c r="M231" i="2"/>
  <c r="N231" i="2" s="1"/>
  <c r="B233" i="2"/>
  <c r="C232" i="2"/>
  <c r="E232" i="2"/>
  <c r="I232" i="2" l="1"/>
  <c r="M232" i="2"/>
  <c r="N232" i="2" s="1"/>
  <c r="H235" i="3"/>
  <c r="F235" i="3"/>
  <c r="G235" i="3" s="1"/>
  <c r="A236" i="3"/>
  <c r="L235" i="3"/>
  <c r="D235" i="3"/>
  <c r="J235" i="3"/>
  <c r="B234" i="2"/>
  <c r="C233" i="2"/>
  <c r="E233" i="2"/>
  <c r="L235" i="2"/>
  <c r="J235" i="2"/>
  <c r="A236" i="2"/>
  <c r="H235" i="2"/>
  <c r="F235" i="2"/>
  <c r="G235" i="2" s="1"/>
  <c r="D235" i="2"/>
  <c r="I232" i="3"/>
  <c r="M232" i="3"/>
  <c r="N232" i="3" s="1"/>
  <c r="B234" i="3"/>
  <c r="C233" i="3"/>
  <c r="E233" i="3"/>
  <c r="I233" i="2" l="1"/>
  <c r="M233" i="2"/>
  <c r="N233" i="2" s="1"/>
  <c r="A237" i="2"/>
  <c r="J236" i="2"/>
  <c r="H236" i="2"/>
  <c r="F236" i="2"/>
  <c r="G236" i="2" s="1"/>
  <c r="D236" i="2"/>
  <c r="L236" i="2"/>
  <c r="I233" i="3"/>
  <c r="M233" i="3"/>
  <c r="N233" i="3" s="1"/>
  <c r="D236" i="3"/>
  <c r="L236" i="3"/>
  <c r="A237" i="3"/>
  <c r="F236" i="3"/>
  <c r="G236" i="3" s="1"/>
  <c r="H236" i="3"/>
  <c r="J236" i="3"/>
  <c r="B235" i="3"/>
  <c r="C234" i="3"/>
  <c r="E234" i="3"/>
  <c r="C234" i="2"/>
  <c r="B235" i="2"/>
  <c r="E234" i="2"/>
  <c r="B236" i="2" l="1"/>
  <c r="C235" i="2"/>
  <c r="E235" i="2"/>
  <c r="H237" i="2"/>
  <c r="F237" i="2"/>
  <c r="G237" i="2" s="1"/>
  <c r="J237" i="2"/>
  <c r="L237" i="2"/>
  <c r="A238" i="2"/>
  <c r="D237" i="2"/>
  <c r="I234" i="3"/>
  <c r="M234" i="3"/>
  <c r="N234" i="3" s="1"/>
  <c r="I234" i="2"/>
  <c r="M234" i="2"/>
  <c r="N234" i="2" s="1"/>
  <c r="J237" i="3"/>
  <c r="H237" i="3"/>
  <c r="A238" i="3"/>
  <c r="D237" i="3"/>
  <c r="L237" i="3"/>
  <c r="F237" i="3"/>
  <c r="G237" i="3" s="1"/>
  <c r="B236" i="3"/>
  <c r="C235" i="3"/>
  <c r="E235" i="3"/>
  <c r="A239" i="2" l="1"/>
  <c r="H238" i="2"/>
  <c r="F238" i="2"/>
  <c r="G238" i="2" s="1"/>
  <c r="D238" i="2"/>
  <c r="L238" i="2"/>
  <c r="J238" i="2"/>
  <c r="I235" i="2"/>
  <c r="M235" i="2"/>
  <c r="N235" i="2" s="1"/>
  <c r="F238" i="3"/>
  <c r="G238" i="3" s="1"/>
  <c r="A239" i="3"/>
  <c r="D238" i="3"/>
  <c r="J238" i="3"/>
  <c r="L238" i="3"/>
  <c r="H238" i="3"/>
  <c r="I235" i="3"/>
  <c r="M235" i="3"/>
  <c r="N235" i="3" s="1"/>
  <c r="C236" i="3"/>
  <c r="B237" i="3"/>
  <c r="E236" i="3"/>
  <c r="C236" i="2"/>
  <c r="B237" i="2"/>
  <c r="E236" i="2"/>
  <c r="I236" i="3" l="1"/>
  <c r="M236" i="3"/>
  <c r="N236" i="3" s="1"/>
  <c r="C237" i="2"/>
  <c r="B238" i="2"/>
  <c r="E237" i="2"/>
  <c r="B238" i="3"/>
  <c r="C237" i="3"/>
  <c r="E237" i="3"/>
  <c r="L239" i="3"/>
  <c r="J239" i="3"/>
  <c r="D239" i="3"/>
  <c r="A240" i="3"/>
  <c r="H239" i="3"/>
  <c r="F239" i="3"/>
  <c r="G239" i="3" s="1"/>
  <c r="I236" i="2"/>
  <c r="M236" i="2"/>
  <c r="N236" i="2" s="1"/>
  <c r="F239" i="2"/>
  <c r="G239" i="2" s="1"/>
  <c r="D239" i="2"/>
  <c r="H239" i="2"/>
  <c r="L239" i="2"/>
  <c r="A240" i="2"/>
  <c r="J239" i="2"/>
  <c r="I237" i="3" l="1"/>
  <c r="M237" i="3"/>
  <c r="N237" i="3" s="1"/>
  <c r="B239" i="3"/>
  <c r="C238" i="3"/>
  <c r="E238" i="3"/>
  <c r="H240" i="3"/>
  <c r="F240" i="3"/>
  <c r="G240" i="3" s="1"/>
  <c r="A241" i="3"/>
  <c r="D240" i="3"/>
  <c r="L240" i="3"/>
  <c r="J240" i="3"/>
  <c r="D240" i="2"/>
  <c r="A241" i="2"/>
  <c r="L240" i="2"/>
  <c r="J240" i="2"/>
  <c r="H240" i="2"/>
  <c r="F240" i="2"/>
  <c r="G240" i="2" s="1"/>
  <c r="I237" i="2"/>
  <c r="M237" i="2"/>
  <c r="N237" i="2" s="1"/>
  <c r="B239" i="2"/>
  <c r="C238" i="2"/>
  <c r="E238" i="2"/>
  <c r="A242" i="2" l="1"/>
  <c r="L241" i="2"/>
  <c r="D241" i="2"/>
  <c r="H241" i="2"/>
  <c r="J241" i="2"/>
  <c r="F241" i="2"/>
  <c r="G241" i="2" s="1"/>
  <c r="D241" i="3"/>
  <c r="L241" i="3"/>
  <c r="F241" i="3"/>
  <c r="G241" i="3" s="1"/>
  <c r="H241" i="3"/>
  <c r="A242" i="3"/>
  <c r="J241" i="3"/>
  <c r="I238" i="2"/>
  <c r="M238" i="2"/>
  <c r="N238" i="2" s="1"/>
  <c r="I238" i="3"/>
  <c r="M238" i="3"/>
  <c r="N238" i="3" s="1"/>
  <c r="C239" i="2"/>
  <c r="B240" i="2"/>
  <c r="E239" i="2"/>
  <c r="B240" i="3"/>
  <c r="C239" i="3"/>
  <c r="E239" i="3"/>
  <c r="I239" i="3" l="1"/>
  <c r="M239" i="3"/>
  <c r="N239" i="3" s="1"/>
  <c r="J242" i="3"/>
  <c r="H242" i="3"/>
  <c r="D242" i="3"/>
  <c r="A243" i="3"/>
  <c r="L242" i="3"/>
  <c r="F242" i="3"/>
  <c r="G242" i="3" s="1"/>
  <c r="I239" i="2"/>
  <c r="M239" i="2"/>
  <c r="N239" i="2" s="1"/>
  <c r="B241" i="3"/>
  <c r="C240" i="3"/>
  <c r="E240" i="3"/>
  <c r="B241" i="2"/>
  <c r="C240" i="2"/>
  <c r="E240" i="2"/>
  <c r="L242" i="2"/>
  <c r="A243" i="2"/>
  <c r="F242" i="2"/>
  <c r="G242" i="2" s="1"/>
  <c r="D242" i="2"/>
  <c r="J242" i="2"/>
  <c r="H242" i="2"/>
  <c r="I240" i="2" l="1"/>
  <c r="M240" i="2"/>
  <c r="N240" i="2" s="1"/>
  <c r="C241" i="3"/>
  <c r="B242" i="3"/>
  <c r="E241" i="3"/>
  <c r="C241" i="2"/>
  <c r="B242" i="2"/>
  <c r="E241" i="2"/>
  <c r="I240" i="3"/>
  <c r="M240" i="3"/>
  <c r="N240" i="3" s="1"/>
  <c r="F243" i="3"/>
  <c r="G243" i="3" s="1"/>
  <c r="A244" i="3"/>
  <c r="D243" i="3"/>
  <c r="H243" i="3"/>
  <c r="J243" i="3"/>
  <c r="L243" i="3"/>
  <c r="A244" i="2"/>
  <c r="L243" i="2"/>
  <c r="J243" i="2"/>
  <c r="H243" i="2"/>
  <c r="F243" i="2"/>
  <c r="G243" i="2" s="1"/>
  <c r="D243" i="2"/>
  <c r="J244" i="2" l="1"/>
  <c r="H244" i="2"/>
  <c r="L244" i="2"/>
  <c r="A245" i="2"/>
  <c r="F244" i="2"/>
  <c r="G244" i="2" s="1"/>
  <c r="D244" i="2"/>
  <c r="I241" i="2"/>
  <c r="M241" i="2"/>
  <c r="N241" i="2" s="1"/>
  <c r="C242" i="2"/>
  <c r="B243" i="2"/>
  <c r="E242" i="2"/>
  <c r="I241" i="3"/>
  <c r="M241" i="3"/>
  <c r="N241" i="3" s="1"/>
  <c r="B243" i="3"/>
  <c r="C242" i="3"/>
  <c r="E242" i="3"/>
  <c r="L244" i="3"/>
  <c r="J244" i="3"/>
  <c r="D244" i="3"/>
  <c r="F244" i="3"/>
  <c r="G244" i="3" s="1"/>
  <c r="H244" i="3"/>
  <c r="A245" i="3"/>
  <c r="I242" i="3" l="1"/>
  <c r="M242" i="3"/>
  <c r="N242" i="3" s="1"/>
  <c r="I242" i="2"/>
  <c r="M242" i="2"/>
  <c r="N242" i="2" s="1"/>
  <c r="B244" i="2"/>
  <c r="C243" i="2"/>
  <c r="E243" i="2"/>
  <c r="H245" i="3"/>
  <c r="F245" i="3"/>
  <c r="G245" i="3" s="1"/>
  <c r="D245" i="3"/>
  <c r="A246" i="3"/>
  <c r="J245" i="3"/>
  <c r="L245" i="3"/>
  <c r="B244" i="3"/>
  <c r="C243" i="3"/>
  <c r="E243" i="3"/>
  <c r="J245" i="2"/>
  <c r="H245" i="2"/>
  <c r="F245" i="2"/>
  <c r="G245" i="2" s="1"/>
  <c r="D245" i="2"/>
  <c r="A246" i="2"/>
  <c r="L245" i="2"/>
  <c r="I243" i="2" l="1"/>
  <c r="M243" i="2"/>
  <c r="N243" i="2" s="1"/>
  <c r="B245" i="3"/>
  <c r="C244" i="3"/>
  <c r="E244" i="3"/>
  <c r="A247" i="2"/>
  <c r="H246" i="2"/>
  <c r="F246" i="2"/>
  <c r="G246" i="2" s="1"/>
  <c r="L246" i="2"/>
  <c r="J246" i="2"/>
  <c r="D246" i="2"/>
  <c r="I243" i="3"/>
  <c r="M243" i="3"/>
  <c r="N243" i="3" s="1"/>
  <c r="C244" i="2"/>
  <c r="B245" i="2"/>
  <c r="E244" i="2"/>
  <c r="D246" i="3"/>
  <c r="L246" i="3"/>
  <c r="F246" i="3"/>
  <c r="G246" i="3" s="1"/>
  <c r="H246" i="3"/>
  <c r="J246" i="3"/>
  <c r="A247" i="3"/>
  <c r="I244" i="2" l="1"/>
  <c r="M244" i="2"/>
  <c r="N244" i="2" s="1"/>
  <c r="F247" i="2"/>
  <c r="G247" i="2" s="1"/>
  <c r="D247" i="2"/>
  <c r="A248" i="2"/>
  <c r="J247" i="2"/>
  <c r="H247" i="2"/>
  <c r="L247" i="2"/>
  <c r="I244" i="3"/>
  <c r="M244" i="3"/>
  <c r="N244" i="3" s="1"/>
  <c r="B246" i="3"/>
  <c r="C245" i="3"/>
  <c r="E245" i="3"/>
  <c r="C245" i="2"/>
  <c r="B246" i="2"/>
  <c r="E245" i="2"/>
  <c r="J247" i="3"/>
  <c r="H247" i="3"/>
  <c r="D247" i="3"/>
  <c r="F247" i="3"/>
  <c r="G247" i="3" s="1"/>
  <c r="A248" i="3"/>
  <c r="L247" i="3"/>
  <c r="I245" i="2" l="1"/>
  <c r="M245" i="2"/>
  <c r="N245" i="2" s="1"/>
  <c r="C246" i="2"/>
  <c r="B247" i="2"/>
  <c r="E246" i="2"/>
  <c r="F248" i="3"/>
  <c r="G248" i="3" s="1"/>
  <c r="A249" i="3"/>
  <c r="D248" i="3"/>
  <c r="H248" i="3"/>
  <c r="L248" i="3"/>
  <c r="J248" i="3"/>
  <c r="C246" i="3"/>
  <c r="B247" i="3"/>
  <c r="E246" i="3"/>
  <c r="A249" i="2"/>
  <c r="D248" i="2"/>
  <c r="F248" i="2"/>
  <c r="G248" i="2" s="1"/>
  <c r="H248" i="2"/>
  <c r="J248" i="2"/>
  <c r="L248" i="2"/>
  <c r="I245" i="3"/>
  <c r="M245" i="3"/>
  <c r="N245" i="3" s="1"/>
  <c r="L249" i="3" l="1"/>
  <c r="J249" i="3"/>
  <c r="F249" i="3"/>
  <c r="G249" i="3" s="1"/>
  <c r="D249" i="3"/>
  <c r="H249" i="3"/>
  <c r="A250" i="3"/>
  <c r="I246" i="2"/>
  <c r="M246" i="2"/>
  <c r="N246" i="2" s="1"/>
  <c r="I246" i="3"/>
  <c r="M246" i="3"/>
  <c r="N246" i="3" s="1"/>
  <c r="D249" i="2"/>
  <c r="A250" i="2"/>
  <c r="J249" i="2"/>
  <c r="H249" i="2"/>
  <c r="L249" i="2"/>
  <c r="F249" i="2"/>
  <c r="G249" i="2" s="1"/>
  <c r="B248" i="3"/>
  <c r="C247" i="3"/>
  <c r="E247" i="3"/>
  <c r="B248" i="2"/>
  <c r="C247" i="2"/>
  <c r="E247" i="2"/>
  <c r="I247" i="2" l="1"/>
  <c r="M247" i="2"/>
  <c r="N247" i="2" s="1"/>
  <c r="J250" i="2"/>
  <c r="A251" i="2"/>
  <c r="D250" i="2"/>
  <c r="L250" i="2"/>
  <c r="F250" i="2"/>
  <c r="G250" i="2" s="1"/>
  <c r="H250" i="2"/>
  <c r="I247" i="3"/>
  <c r="M247" i="3"/>
  <c r="N247" i="3" s="1"/>
  <c r="B249" i="2"/>
  <c r="C248" i="2"/>
  <c r="E248" i="2"/>
  <c r="H250" i="3"/>
  <c r="F250" i="3"/>
  <c r="G250" i="3" s="1"/>
  <c r="D250" i="3"/>
  <c r="A251" i="3"/>
  <c r="L250" i="3"/>
  <c r="J250" i="3"/>
  <c r="B249" i="3"/>
  <c r="C248" i="3"/>
  <c r="E248" i="3"/>
  <c r="I248" i="3" l="1"/>
  <c r="M248" i="3"/>
  <c r="N248" i="3" s="1"/>
  <c r="I248" i="2"/>
  <c r="M248" i="2"/>
  <c r="N248" i="2" s="1"/>
  <c r="D251" i="3"/>
  <c r="L251" i="3"/>
  <c r="F251" i="3"/>
  <c r="G251" i="3" s="1"/>
  <c r="H251" i="3"/>
  <c r="J251" i="3"/>
  <c r="A252" i="3"/>
  <c r="B250" i="3"/>
  <c r="C249" i="3"/>
  <c r="E249" i="3"/>
  <c r="A252" i="2"/>
  <c r="F251" i="2"/>
  <c r="G251" i="2" s="1"/>
  <c r="D251" i="2"/>
  <c r="H251" i="2"/>
  <c r="J251" i="2"/>
  <c r="L251" i="2"/>
  <c r="C249" i="2"/>
  <c r="B250" i="2"/>
  <c r="E249" i="2"/>
  <c r="I249" i="2" l="1"/>
  <c r="M249" i="2"/>
  <c r="N249" i="2" s="1"/>
  <c r="L252" i="2"/>
  <c r="D252" i="2"/>
  <c r="A253" i="2"/>
  <c r="J252" i="2"/>
  <c r="H252" i="2"/>
  <c r="F252" i="2"/>
  <c r="G252" i="2" s="1"/>
  <c r="B251" i="3"/>
  <c r="C250" i="3"/>
  <c r="E250" i="3"/>
  <c r="I249" i="3"/>
  <c r="M249" i="3"/>
  <c r="N249" i="3" s="1"/>
  <c r="B251" i="2"/>
  <c r="C250" i="2"/>
  <c r="E250" i="2"/>
  <c r="J252" i="3"/>
  <c r="H252" i="3"/>
  <c r="F252" i="3"/>
  <c r="G252" i="3" s="1"/>
  <c r="D252" i="3"/>
  <c r="A253" i="3"/>
  <c r="L252" i="3"/>
  <c r="C251" i="2" l="1"/>
  <c r="B252" i="2"/>
  <c r="E251" i="2"/>
  <c r="I250" i="3"/>
  <c r="M250" i="3"/>
  <c r="N250" i="3" s="1"/>
  <c r="I250" i="2"/>
  <c r="M250" i="2"/>
  <c r="N250" i="2" s="1"/>
  <c r="A254" i="2"/>
  <c r="H253" i="2"/>
  <c r="D253" i="2"/>
  <c r="F253" i="2"/>
  <c r="G253" i="2" s="1"/>
  <c r="L253" i="2"/>
  <c r="J253" i="2"/>
  <c r="F253" i="3"/>
  <c r="G253" i="3" s="1"/>
  <c r="A254" i="3"/>
  <c r="D253" i="3"/>
  <c r="H253" i="3"/>
  <c r="J253" i="3"/>
  <c r="L253" i="3"/>
  <c r="C251" i="3"/>
  <c r="B252" i="3"/>
  <c r="E251" i="3"/>
  <c r="I251" i="2" l="1"/>
  <c r="M251" i="2"/>
  <c r="N251" i="2" s="1"/>
  <c r="D254" i="2"/>
  <c r="F254" i="2"/>
  <c r="G254" i="2" s="1"/>
  <c r="L254" i="2"/>
  <c r="J254" i="2"/>
  <c r="H254" i="2"/>
  <c r="A255" i="2"/>
  <c r="L254" i="3"/>
  <c r="J254" i="3"/>
  <c r="F254" i="3"/>
  <c r="G254" i="3" s="1"/>
  <c r="H254" i="3"/>
  <c r="A255" i="3"/>
  <c r="D254" i="3"/>
  <c r="B253" i="2"/>
  <c r="C252" i="2"/>
  <c r="E252" i="2"/>
  <c r="I251" i="3"/>
  <c r="M251" i="3"/>
  <c r="N251" i="3" s="1"/>
  <c r="B253" i="3"/>
  <c r="C252" i="3"/>
  <c r="E252" i="3"/>
  <c r="C253" i="2" l="1"/>
  <c r="B254" i="2"/>
  <c r="E253" i="2"/>
  <c r="H255" i="2"/>
  <c r="J255" i="2"/>
  <c r="D255" i="2"/>
  <c r="A256" i="2"/>
  <c r="L255" i="2"/>
  <c r="F255" i="2"/>
  <c r="G255" i="2" s="1"/>
  <c r="B254" i="3"/>
  <c r="C253" i="3"/>
  <c r="E253" i="3"/>
  <c r="I252" i="3"/>
  <c r="M252" i="3"/>
  <c r="N252" i="3" s="1"/>
  <c r="H255" i="3"/>
  <c r="F255" i="3"/>
  <c r="G255" i="3" s="1"/>
  <c r="D255" i="3"/>
  <c r="J255" i="3"/>
  <c r="A256" i="3"/>
  <c r="L255" i="3"/>
  <c r="I252" i="2"/>
  <c r="M252" i="2"/>
  <c r="N252" i="2" s="1"/>
  <c r="A257" i="2" l="1"/>
  <c r="D256" i="2"/>
  <c r="F256" i="2"/>
  <c r="G256" i="2" s="1"/>
  <c r="H256" i="2"/>
  <c r="L256" i="2"/>
  <c r="J256" i="2"/>
  <c r="I253" i="2"/>
  <c r="M253" i="2"/>
  <c r="N253" i="2" s="1"/>
  <c r="D256" i="3"/>
  <c r="L256" i="3"/>
  <c r="H256" i="3"/>
  <c r="F256" i="3"/>
  <c r="G256" i="3" s="1"/>
  <c r="J256" i="3"/>
  <c r="A257" i="3"/>
  <c r="B255" i="3"/>
  <c r="C254" i="3"/>
  <c r="E254" i="3"/>
  <c r="C254" i="2"/>
  <c r="B255" i="2"/>
  <c r="E254" i="2"/>
  <c r="I253" i="3"/>
  <c r="M253" i="3"/>
  <c r="N253" i="3" s="1"/>
  <c r="B256" i="3" l="1"/>
  <c r="C255" i="3"/>
  <c r="E255" i="3"/>
  <c r="J257" i="3"/>
  <c r="H257" i="3"/>
  <c r="F257" i="3"/>
  <c r="G257" i="3" s="1"/>
  <c r="A258" i="3"/>
  <c r="L257" i="3"/>
  <c r="D257" i="3"/>
  <c r="I254" i="2"/>
  <c r="M254" i="2"/>
  <c r="N254" i="2" s="1"/>
  <c r="C255" i="2"/>
  <c r="B256" i="2"/>
  <c r="E255" i="2"/>
  <c r="I254" i="3"/>
  <c r="M254" i="3"/>
  <c r="N254" i="3" s="1"/>
  <c r="J257" i="2"/>
  <c r="L257" i="2"/>
  <c r="H257" i="2"/>
  <c r="F257" i="2"/>
  <c r="G257" i="2" s="1"/>
  <c r="A258" i="2"/>
  <c r="D257" i="2"/>
  <c r="I255" i="3" l="1"/>
  <c r="M255" i="3"/>
  <c r="N255" i="3" s="1"/>
  <c r="I255" i="2"/>
  <c r="M255" i="2"/>
  <c r="N255" i="2" s="1"/>
  <c r="F258" i="2"/>
  <c r="G258" i="2" s="1"/>
  <c r="A259" i="2"/>
  <c r="H258" i="2"/>
  <c r="L258" i="2"/>
  <c r="J258" i="2"/>
  <c r="D258" i="2"/>
  <c r="F258" i="3"/>
  <c r="G258" i="3" s="1"/>
  <c r="A259" i="3"/>
  <c r="D258" i="3"/>
  <c r="H258" i="3"/>
  <c r="J258" i="3"/>
  <c r="L258" i="3"/>
  <c r="C256" i="2"/>
  <c r="B257" i="2"/>
  <c r="E256" i="2"/>
  <c r="C256" i="3"/>
  <c r="B257" i="3"/>
  <c r="E256" i="3"/>
  <c r="I256" i="3" l="1"/>
  <c r="M256" i="3"/>
  <c r="N256" i="3" s="1"/>
  <c r="I256" i="2"/>
  <c r="M256" i="2"/>
  <c r="N256" i="2" s="1"/>
  <c r="B258" i="3"/>
  <c r="C257" i="3"/>
  <c r="E257" i="3"/>
  <c r="L259" i="3"/>
  <c r="J259" i="3"/>
  <c r="H259" i="3"/>
  <c r="F259" i="3"/>
  <c r="G259" i="3" s="1"/>
  <c r="A260" i="3"/>
  <c r="D259" i="3"/>
  <c r="L259" i="2"/>
  <c r="D259" i="2"/>
  <c r="A260" i="2"/>
  <c r="J259" i="2"/>
  <c r="H259" i="2"/>
  <c r="F259" i="2"/>
  <c r="G259" i="2" s="1"/>
  <c r="C257" i="2"/>
  <c r="B258" i="2"/>
  <c r="E257" i="2"/>
  <c r="H260" i="2" l="1"/>
  <c r="J260" i="2"/>
  <c r="A261" i="2"/>
  <c r="L260" i="2"/>
  <c r="F260" i="2"/>
  <c r="G260" i="2" s="1"/>
  <c r="D260" i="2"/>
  <c r="I257" i="2"/>
  <c r="M257" i="2"/>
  <c r="N257" i="2" s="1"/>
  <c r="B259" i="2"/>
  <c r="C258" i="2"/>
  <c r="E258" i="2"/>
  <c r="H260" i="3"/>
  <c r="F260" i="3"/>
  <c r="G260" i="3" s="1"/>
  <c r="J260" i="3"/>
  <c r="D260" i="3"/>
  <c r="A261" i="3"/>
  <c r="L260" i="3"/>
  <c r="I257" i="3"/>
  <c r="M257" i="3"/>
  <c r="N257" i="3" s="1"/>
  <c r="B259" i="3"/>
  <c r="C258" i="3"/>
  <c r="E258" i="3"/>
  <c r="I258" i="3" l="1"/>
  <c r="M258" i="3"/>
  <c r="N258" i="3" s="1"/>
  <c r="I258" i="2"/>
  <c r="M258" i="2"/>
  <c r="N258" i="2" s="1"/>
  <c r="A262" i="2"/>
  <c r="D261" i="2"/>
  <c r="F261" i="2"/>
  <c r="G261" i="2" s="1"/>
  <c r="J261" i="2"/>
  <c r="H261" i="2"/>
  <c r="L261" i="2"/>
  <c r="D261" i="3"/>
  <c r="L261" i="3"/>
  <c r="H261" i="3"/>
  <c r="J261" i="3"/>
  <c r="A262" i="3"/>
  <c r="F261" i="3"/>
  <c r="G261" i="3" s="1"/>
  <c r="B260" i="3"/>
  <c r="C259" i="3"/>
  <c r="E259" i="3"/>
  <c r="C259" i="2"/>
  <c r="B260" i="2"/>
  <c r="E259" i="2"/>
  <c r="I259" i="2" l="1"/>
  <c r="M259" i="2"/>
  <c r="N259" i="2" s="1"/>
  <c r="B261" i="2"/>
  <c r="C260" i="2"/>
  <c r="E260" i="2"/>
  <c r="J262" i="3"/>
  <c r="H262" i="3"/>
  <c r="F262" i="3"/>
  <c r="G262" i="3" s="1"/>
  <c r="L262" i="3"/>
  <c r="A263" i="3"/>
  <c r="D262" i="3"/>
  <c r="J262" i="2"/>
  <c r="L262" i="2"/>
  <c r="F262" i="2"/>
  <c r="G262" i="2" s="1"/>
  <c r="D262" i="2"/>
  <c r="H262" i="2"/>
  <c r="A263" i="2"/>
  <c r="I259" i="3"/>
  <c r="M259" i="3"/>
  <c r="N259" i="3" s="1"/>
  <c r="B261" i="3"/>
  <c r="C260" i="3"/>
  <c r="E260" i="3"/>
  <c r="I260" i="3" l="1"/>
  <c r="M260" i="3"/>
  <c r="N260" i="3" s="1"/>
  <c r="I260" i="2"/>
  <c r="M260" i="2"/>
  <c r="N260" i="2" s="1"/>
  <c r="C261" i="3"/>
  <c r="B262" i="3"/>
  <c r="E261" i="3"/>
  <c r="C261" i="2"/>
  <c r="B262" i="2"/>
  <c r="E261" i="2"/>
  <c r="F263" i="3"/>
  <c r="G263" i="3" s="1"/>
  <c r="A264" i="3"/>
  <c r="D263" i="3"/>
  <c r="J263" i="3"/>
  <c r="H263" i="3"/>
  <c r="L263" i="3"/>
  <c r="F263" i="2"/>
  <c r="G263" i="2" s="1"/>
  <c r="A264" i="2"/>
  <c r="H263" i="2"/>
  <c r="J263" i="2"/>
  <c r="D263" i="2"/>
  <c r="L263" i="2"/>
  <c r="I261" i="2" l="1"/>
  <c r="M261" i="2"/>
  <c r="N261" i="2" s="1"/>
  <c r="C262" i="2"/>
  <c r="B263" i="2"/>
  <c r="E262" i="2"/>
  <c r="L264" i="2"/>
  <c r="D264" i="2"/>
  <c r="J264" i="2"/>
  <c r="H264" i="2"/>
  <c r="A265" i="2"/>
  <c r="F264" i="2"/>
  <c r="G264" i="2" s="1"/>
  <c r="I261" i="3"/>
  <c r="M261" i="3"/>
  <c r="N261" i="3" s="1"/>
  <c r="B263" i="3"/>
  <c r="C262" i="3"/>
  <c r="E262" i="3"/>
  <c r="L264" i="3"/>
  <c r="J264" i="3"/>
  <c r="H264" i="3"/>
  <c r="A265" i="3"/>
  <c r="D264" i="3"/>
  <c r="F264" i="3"/>
  <c r="G264" i="3" s="1"/>
  <c r="B264" i="3" l="1"/>
  <c r="C263" i="3"/>
  <c r="E263" i="3"/>
  <c r="B264" i="2"/>
  <c r="C263" i="2"/>
  <c r="E263" i="2"/>
  <c r="H265" i="3"/>
  <c r="F265" i="3"/>
  <c r="G265" i="3" s="1"/>
  <c r="J265" i="3"/>
  <c r="L265" i="3"/>
  <c r="D265" i="3"/>
  <c r="A266" i="3"/>
  <c r="I262" i="3"/>
  <c r="M262" i="3"/>
  <c r="N262" i="3" s="1"/>
  <c r="I262" i="2"/>
  <c r="M262" i="2"/>
  <c r="N262" i="2" s="1"/>
  <c r="H265" i="2"/>
  <c r="J265" i="2"/>
  <c r="L265" i="2"/>
  <c r="A266" i="2"/>
  <c r="D265" i="2"/>
  <c r="F265" i="2"/>
  <c r="G265" i="2" s="1"/>
  <c r="I263" i="3" l="1"/>
  <c r="M263" i="3"/>
  <c r="N263" i="3" s="1"/>
  <c r="I263" i="2"/>
  <c r="M263" i="2"/>
  <c r="N263" i="2" s="1"/>
  <c r="C264" i="2"/>
  <c r="B265" i="2"/>
  <c r="E264" i="2"/>
  <c r="A267" i="2"/>
  <c r="D266" i="2"/>
  <c r="F266" i="2"/>
  <c r="G266" i="2" s="1"/>
  <c r="L266" i="2"/>
  <c r="J266" i="2"/>
  <c r="H266" i="2"/>
  <c r="D266" i="3"/>
  <c r="L266" i="3"/>
  <c r="J266" i="3"/>
  <c r="H266" i="3"/>
  <c r="A267" i="3"/>
  <c r="F266" i="3"/>
  <c r="G266" i="3" s="1"/>
  <c r="B265" i="3"/>
  <c r="C264" i="3"/>
  <c r="E264" i="3"/>
  <c r="I264" i="2" l="1"/>
  <c r="M264" i="2"/>
  <c r="N264" i="2" s="1"/>
  <c r="I264" i="3"/>
  <c r="M264" i="3"/>
  <c r="N264" i="3" s="1"/>
  <c r="C265" i="2"/>
  <c r="B266" i="2"/>
  <c r="E265" i="2"/>
  <c r="J267" i="2"/>
  <c r="L267" i="2"/>
  <c r="D267" i="2"/>
  <c r="A268" i="2"/>
  <c r="F267" i="2"/>
  <c r="G267" i="2" s="1"/>
  <c r="H267" i="2"/>
  <c r="B266" i="3"/>
  <c r="C265" i="3"/>
  <c r="E265" i="3"/>
  <c r="J267" i="3"/>
  <c r="H267" i="3"/>
  <c r="L267" i="3"/>
  <c r="D267" i="3"/>
  <c r="A268" i="3"/>
  <c r="F267" i="3"/>
  <c r="G267" i="3" s="1"/>
  <c r="I265" i="2" l="1"/>
  <c r="M265" i="2"/>
  <c r="N265" i="2" s="1"/>
  <c r="C266" i="3"/>
  <c r="B267" i="3"/>
  <c r="E266" i="3"/>
  <c r="F268" i="3"/>
  <c r="G268" i="3" s="1"/>
  <c r="A269" i="3"/>
  <c r="D268" i="3"/>
  <c r="J268" i="3"/>
  <c r="L268" i="3"/>
  <c r="H268" i="3"/>
  <c r="C266" i="2"/>
  <c r="B267" i="2"/>
  <c r="E266" i="2"/>
  <c r="F268" i="2"/>
  <c r="G268" i="2" s="1"/>
  <c r="A269" i="2"/>
  <c r="H268" i="2"/>
  <c r="D268" i="2"/>
  <c r="L268" i="2"/>
  <c r="J268" i="2"/>
  <c r="I265" i="3"/>
  <c r="M265" i="3"/>
  <c r="N265" i="3" s="1"/>
  <c r="L269" i="2" l="1"/>
  <c r="D269" i="2"/>
  <c r="H269" i="2"/>
  <c r="F269" i="2"/>
  <c r="G269" i="2" s="1"/>
  <c r="A270" i="2"/>
  <c r="J269" i="2"/>
  <c r="L269" i="3"/>
  <c r="J269" i="3"/>
  <c r="H269" i="3"/>
  <c r="A270" i="3"/>
  <c r="F269" i="3"/>
  <c r="G269" i="3" s="1"/>
  <c r="D269" i="3"/>
  <c r="I266" i="2"/>
  <c r="M266" i="2"/>
  <c r="N266" i="2" s="1"/>
  <c r="C267" i="2"/>
  <c r="B268" i="2"/>
  <c r="E267" i="2"/>
  <c r="I266" i="3"/>
  <c r="M266" i="3"/>
  <c r="N266" i="3" s="1"/>
  <c r="B268" i="3"/>
  <c r="C267" i="3"/>
  <c r="E267" i="3"/>
  <c r="H270" i="2" l="1"/>
  <c r="J270" i="2"/>
  <c r="L270" i="2"/>
  <c r="F270" i="2"/>
  <c r="G270" i="2" s="1"/>
  <c r="D270" i="2"/>
  <c r="A271" i="2"/>
  <c r="B269" i="2"/>
  <c r="C268" i="2"/>
  <c r="E268" i="2"/>
  <c r="I267" i="3"/>
  <c r="M267" i="3"/>
  <c r="N267" i="3" s="1"/>
  <c r="B269" i="3"/>
  <c r="C268" i="3"/>
  <c r="E268" i="3"/>
  <c r="H270" i="3"/>
  <c r="F270" i="3"/>
  <c r="G270" i="3" s="1"/>
  <c r="L270" i="3"/>
  <c r="J270" i="3"/>
  <c r="D270" i="3"/>
  <c r="A271" i="3"/>
  <c r="I267" i="2"/>
  <c r="M267" i="2"/>
  <c r="N267" i="2" s="1"/>
  <c r="C269" i="2" l="1"/>
  <c r="B270" i="2"/>
  <c r="E269" i="2"/>
  <c r="A272" i="2"/>
  <c r="D271" i="2"/>
  <c r="F271" i="2"/>
  <c r="G271" i="2" s="1"/>
  <c r="L271" i="2"/>
  <c r="J271" i="2"/>
  <c r="H271" i="2"/>
  <c r="I268" i="3"/>
  <c r="M268" i="3"/>
  <c r="N268" i="3" s="1"/>
  <c r="B270" i="3"/>
  <c r="C269" i="3"/>
  <c r="E269" i="3"/>
  <c r="D271" i="3"/>
  <c r="L271" i="3"/>
  <c r="J271" i="3"/>
  <c r="A272" i="3"/>
  <c r="H271" i="3"/>
  <c r="F271" i="3"/>
  <c r="G271" i="3" s="1"/>
  <c r="I268" i="2"/>
  <c r="M268" i="2"/>
  <c r="N268" i="2" s="1"/>
  <c r="B271" i="3" l="1"/>
  <c r="C270" i="3"/>
  <c r="E270" i="3"/>
  <c r="I269" i="2"/>
  <c r="M269" i="2"/>
  <c r="N269" i="2" s="1"/>
  <c r="C270" i="2"/>
  <c r="B271" i="2"/>
  <c r="E270" i="2"/>
  <c r="I269" i="3"/>
  <c r="M269" i="3"/>
  <c r="N269" i="3" s="1"/>
  <c r="J272" i="2"/>
  <c r="L272" i="2"/>
  <c r="A273" i="2"/>
  <c r="H272" i="2"/>
  <c r="F272" i="2"/>
  <c r="G272" i="2" s="1"/>
  <c r="D272" i="2"/>
  <c r="J272" i="3"/>
  <c r="H272" i="3"/>
  <c r="L272" i="3"/>
  <c r="D272" i="3"/>
  <c r="A273" i="3"/>
  <c r="F272" i="3"/>
  <c r="G272" i="3" s="1"/>
  <c r="I270" i="2" l="1"/>
  <c r="M270" i="2"/>
  <c r="N270" i="2" s="1"/>
  <c r="I270" i="3"/>
  <c r="M270" i="3"/>
  <c r="N270" i="3" s="1"/>
  <c r="C271" i="2"/>
  <c r="B272" i="2"/>
  <c r="E271" i="2"/>
  <c r="F273" i="3"/>
  <c r="G273" i="3" s="1"/>
  <c r="A274" i="3"/>
  <c r="D273" i="3"/>
  <c r="L273" i="3"/>
  <c r="J273" i="3"/>
  <c r="H273" i="3"/>
  <c r="F273" i="2"/>
  <c r="G273" i="2" s="1"/>
  <c r="A274" i="2"/>
  <c r="H273" i="2"/>
  <c r="L273" i="2"/>
  <c r="J273" i="2"/>
  <c r="D273" i="2"/>
  <c r="C271" i="3"/>
  <c r="B272" i="3"/>
  <c r="E271" i="3"/>
  <c r="L274" i="2" l="1"/>
  <c r="D274" i="2"/>
  <c r="F274" i="2"/>
  <c r="G274" i="2" s="1"/>
  <c r="J274" i="2"/>
  <c r="H274" i="2"/>
  <c r="A275" i="2"/>
  <c r="L274" i="3"/>
  <c r="J274" i="3"/>
  <c r="A275" i="3"/>
  <c r="D274" i="3"/>
  <c r="H274" i="3"/>
  <c r="F274" i="3"/>
  <c r="G274" i="3" s="1"/>
  <c r="I271" i="2"/>
  <c r="M271" i="2"/>
  <c r="N271" i="2" s="1"/>
  <c r="I271" i="3"/>
  <c r="M271" i="3"/>
  <c r="N271" i="3" s="1"/>
  <c r="B273" i="2"/>
  <c r="C272" i="2"/>
  <c r="E272" i="2"/>
  <c r="C272" i="3"/>
  <c r="B273" i="3"/>
  <c r="E272" i="3"/>
  <c r="H275" i="2" l="1"/>
  <c r="J275" i="2"/>
  <c r="F275" i="2"/>
  <c r="G275" i="2" s="1"/>
  <c r="D275" i="2"/>
  <c r="A276" i="2"/>
  <c r="L275" i="2"/>
  <c r="H275" i="3"/>
  <c r="F275" i="3"/>
  <c r="G275" i="3" s="1"/>
  <c r="L275" i="3"/>
  <c r="D275" i="3"/>
  <c r="A276" i="3"/>
  <c r="J275" i="3"/>
  <c r="I272" i="3"/>
  <c r="M272" i="3"/>
  <c r="N272" i="3" s="1"/>
  <c r="B274" i="3"/>
  <c r="C273" i="3"/>
  <c r="E273" i="3"/>
  <c r="I272" i="2"/>
  <c r="M272" i="2"/>
  <c r="N272" i="2" s="1"/>
  <c r="B274" i="2"/>
  <c r="C273" i="2"/>
  <c r="E273" i="2"/>
  <c r="B275" i="3" l="1"/>
  <c r="C274" i="3"/>
  <c r="E274" i="3"/>
  <c r="D276" i="3"/>
  <c r="L276" i="3"/>
  <c r="A277" i="3"/>
  <c r="J276" i="3"/>
  <c r="H276" i="3"/>
  <c r="F276" i="3"/>
  <c r="G276" i="3" s="1"/>
  <c r="C274" i="2"/>
  <c r="B275" i="2"/>
  <c r="E274" i="2"/>
  <c r="I273" i="2"/>
  <c r="M273" i="2"/>
  <c r="N273" i="2" s="1"/>
  <c r="A277" i="2"/>
  <c r="D276" i="2"/>
  <c r="F276" i="2"/>
  <c r="G276" i="2" s="1"/>
  <c r="J276" i="2"/>
  <c r="H276" i="2"/>
  <c r="L276" i="2"/>
  <c r="I273" i="3"/>
  <c r="M273" i="3"/>
  <c r="N273" i="3" s="1"/>
  <c r="B276" i="2" l="1"/>
  <c r="C275" i="2"/>
  <c r="E275" i="2"/>
  <c r="I274" i="3"/>
  <c r="M274" i="3"/>
  <c r="N274" i="3" s="1"/>
  <c r="J277" i="2"/>
  <c r="L277" i="2"/>
  <c r="H277" i="2"/>
  <c r="A278" i="2"/>
  <c r="F277" i="2"/>
  <c r="G277" i="2" s="1"/>
  <c r="D277" i="2"/>
  <c r="J277" i="3"/>
  <c r="H277" i="3"/>
  <c r="L277" i="3"/>
  <c r="A278" i="3"/>
  <c r="D277" i="3"/>
  <c r="F277" i="3"/>
  <c r="G277" i="3" s="1"/>
  <c r="I274" i="2"/>
  <c r="M274" i="2"/>
  <c r="N274" i="2" s="1"/>
  <c r="B276" i="3"/>
  <c r="C275" i="3"/>
  <c r="E275" i="3"/>
  <c r="I275" i="2" l="1"/>
  <c r="M275" i="2"/>
  <c r="N275" i="2" s="1"/>
  <c r="F278" i="2"/>
  <c r="G278" i="2" s="1"/>
  <c r="A279" i="2"/>
  <c r="H278" i="2"/>
  <c r="L278" i="2"/>
  <c r="J278" i="2"/>
  <c r="D278" i="2"/>
  <c r="I275" i="3"/>
  <c r="M275" i="3"/>
  <c r="N275" i="3" s="1"/>
  <c r="F278" i="3"/>
  <c r="G278" i="3" s="1"/>
  <c r="A279" i="3"/>
  <c r="D278" i="3"/>
  <c r="L278" i="3"/>
  <c r="J278" i="3"/>
  <c r="H278" i="3"/>
  <c r="C276" i="3"/>
  <c r="B277" i="3"/>
  <c r="E276" i="3"/>
  <c r="C276" i="2"/>
  <c r="B277" i="2"/>
  <c r="E276" i="2"/>
  <c r="C277" i="2" l="1"/>
  <c r="B278" i="2"/>
  <c r="E277" i="2"/>
  <c r="L279" i="3"/>
  <c r="J279" i="3"/>
  <c r="A280" i="3"/>
  <c r="D279" i="3"/>
  <c r="H279" i="3"/>
  <c r="F279" i="3"/>
  <c r="G279" i="3" s="1"/>
  <c r="L279" i="2"/>
  <c r="D279" i="2"/>
  <c r="A280" i="2"/>
  <c r="J279" i="2"/>
  <c r="F279" i="2"/>
  <c r="G279" i="2" s="1"/>
  <c r="H279" i="2"/>
  <c r="I276" i="2"/>
  <c r="M276" i="2"/>
  <c r="N276" i="2" s="1"/>
  <c r="I276" i="3"/>
  <c r="M276" i="3"/>
  <c r="N276" i="3" s="1"/>
  <c r="C277" i="3"/>
  <c r="B278" i="3"/>
  <c r="E277" i="3"/>
  <c r="I277" i="3" l="1"/>
  <c r="M277" i="3"/>
  <c r="N277" i="3" s="1"/>
  <c r="B279" i="3"/>
  <c r="C278" i="3"/>
  <c r="E278" i="3"/>
  <c r="H280" i="2"/>
  <c r="J280" i="2"/>
  <c r="D280" i="2"/>
  <c r="L280" i="2"/>
  <c r="F280" i="2"/>
  <c r="G280" i="2" s="1"/>
  <c r="A281" i="2"/>
  <c r="I277" i="2"/>
  <c r="M277" i="2"/>
  <c r="N277" i="2" s="1"/>
  <c r="H280" i="3"/>
  <c r="F280" i="3"/>
  <c r="G280" i="3" s="1"/>
  <c r="L280" i="3"/>
  <c r="A281" i="3"/>
  <c r="D280" i="3"/>
  <c r="J280" i="3"/>
  <c r="B279" i="2"/>
  <c r="C278" i="2"/>
  <c r="E278" i="2"/>
  <c r="I278" i="2" l="1"/>
  <c r="M278" i="2"/>
  <c r="N278" i="2" s="1"/>
  <c r="C279" i="2"/>
  <c r="B280" i="2"/>
  <c r="E279" i="2"/>
  <c r="B280" i="3"/>
  <c r="C279" i="3"/>
  <c r="E279" i="3"/>
  <c r="I278" i="3"/>
  <c r="M278" i="3"/>
  <c r="N278" i="3" s="1"/>
  <c r="D281" i="3"/>
  <c r="L281" i="3"/>
  <c r="A282" i="3"/>
  <c r="J281" i="3"/>
  <c r="F281" i="3"/>
  <c r="G281" i="3" s="1"/>
  <c r="H281" i="3"/>
  <c r="A282" i="2"/>
  <c r="D281" i="2"/>
  <c r="F281" i="2"/>
  <c r="G281" i="2" s="1"/>
  <c r="H281" i="2"/>
  <c r="J281" i="2"/>
  <c r="L281" i="2"/>
  <c r="I279" i="3" l="1"/>
  <c r="M279" i="3"/>
  <c r="N279" i="3" s="1"/>
  <c r="B281" i="3"/>
  <c r="C280" i="3"/>
  <c r="E280" i="3"/>
  <c r="J282" i="3"/>
  <c r="H282" i="3"/>
  <c r="A283" i="3"/>
  <c r="D282" i="3"/>
  <c r="F282" i="3"/>
  <c r="G282" i="3" s="1"/>
  <c r="L282" i="3"/>
  <c r="C280" i="2"/>
  <c r="B281" i="2"/>
  <c r="E280" i="2"/>
  <c r="J282" i="2"/>
  <c r="L282" i="2"/>
  <c r="H282" i="2"/>
  <c r="F282" i="2"/>
  <c r="G282" i="2" s="1"/>
  <c r="D282" i="2"/>
  <c r="A283" i="2"/>
  <c r="I279" i="2"/>
  <c r="M279" i="2"/>
  <c r="N279" i="2" s="1"/>
  <c r="I280" i="3" l="1"/>
  <c r="M280" i="3"/>
  <c r="N280" i="3" s="1"/>
  <c r="F283" i="2"/>
  <c r="G283" i="2" s="1"/>
  <c r="A284" i="2"/>
  <c r="H283" i="2"/>
  <c r="L283" i="2"/>
  <c r="J283" i="2"/>
  <c r="D283" i="2"/>
  <c r="C281" i="3"/>
  <c r="B282" i="3"/>
  <c r="E281" i="3"/>
  <c r="F283" i="3"/>
  <c r="G283" i="3" s="1"/>
  <c r="A284" i="3"/>
  <c r="D283" i="3"/>
  <c r="H283" i="3"/>
  <c r="L283" i="3"/>
  <c r="J283" i="3"/>
  <c r="I280" i="2"/>
  <c r="M280" i="2"/>
  <c r="N280" i="2" s="1"/>
  <c r="C281" i="2"/>
  <c r="B282" i="2"/>
  <c r="E281" i="2"/>
  <c r="C282" i="2" l="1"/>
  <c r="B283" i="2"/>
  <c r="E282" i="2"/>
  <c r="L284" i="3"/>
  <c r="J284" i="3"/>
  <c r="F284" i="3"/>
  <c r="G284" i="3" s="1"/>
  <c r="H284" i="3"/>
  <c r="D284" i="3"/>
  <c r="A285" i="3"/>
  <c r="I281" i="3"/>
  <c r="M281" i="3"/>
  <c r="N281" i="3" s="1"/>
  <c r="L284" i="2"/>
  <c r="D284" i="2"/>
  <c r="A285" i="2"/>
  <c r="J284" i="2"/>
  <c r="H284" i="2"/>
  <c r="F284" i="2"/>
  <c r="G284" i="2" s="1"/>
  <c r="C282" i="3"/>
  <c r="B283" i="3"/>
  <c r="E282" i="3"/>
  <c r="I281" i="2"/>
  <c r="M281" i="2"/>
  <c r="N281" i="2" s="1"/>
  <c r="H285" i="2" l="1"/>
  <c r="J285" i="2"/>
  <c r="A286" i="2"/>
  <c r="D285" i="2"/>
  <c r="L285" i="2"/>
  <c r="F285" i="2"/>
  <c r="G285" i="2" s="1"/>
  <c r="I282" i="3"/>
  <c r="M282" i="3"/>
  <c r="N282" i="3" s="1"/>
  <c r="B284" i="2"/>
  <c r="C283" i="2"/>
  <c r="E283" i="2"/>
  <c r="B284" i="3"/>
  <c r="C283" i="3"/>
  <c r="E283" i="3"/>
  <c r="I282" i="2"/>
  <c r="M282" i="2"/>
  <c r="N282" i="2" s="1"/>
  <c r="H285" i="3"/>
  <c r="F285" i="3"/>
  <c r="G285" i="3" s="1"/>
  <c r="J285" i="3"/>
  <c r="L285" i="3"/>
  <c r="A286" i="3"/>
  <c r="D285" i="3"/>
  <c r="I283" i="3" l="1"/>
  <c r="M283" i="3"/>
  <c r="N283" i="3" s="1"/>
  <c r="A287" i="2"/>
  <c r="D286" i="2"/>
  <c r="F286" i="2"/>
  <c r="G286" i="2" s="1"/>
  <c r="J286" i="2"/>
  <c r="H286" i="2"/>
  <c r="L286" i="2"/>
  <c r="C284" i="3"/>
  <c r="B285" i="3"/>
  <c r="E284" i="3"/>
  <c r="D286" i="3"/>
  <c r="L286" i="3"/>
  <c r="A287" i="3"/>
  <c r="J286" i="3"/>
  <c r="F286" i="3"/>
  <c r="G286" i="3" s="1"/>
  <c r="H286" i="3"/>
  <c r="I283" i="2"/>
  <c r="M283" i="2"/>
  <c r="N283" i="2" s="1"/>
  <c r="C284" i="2"/>
  <c r="B285" i="2"/>
  <c r="E284" i="2"/>
  <c r="J287" i="3" l="1"/>
  <c r="H287" i="3"/>
  <c r="A288" i="3"/>
  <c r="L287" i="3"/>
  <c r="D287" i="3"/>
  <c r="F287" i="3"/>
  <c r="G287" i="3" s="1"/>
  <c r="I284" i="2"/>
  <c r="M284" i="2"/>
  <c r="N284" i="2" s="1"/>
  <c r="B286" i="2"/>
  <c r="C285" i="2"/>
  <c r="E285" i="2"/>
  <c r="I284" i="3"/>
  <c r="M284" i="3"/>
  <c r="N284" i="3" s="1"/>
  <c r="J287" i="2"/>
  <c r="L287" i="2"/>
  <c r="F287" i="2"/>
  <c r="G287" i="2" s="1"/>
  <c r="D287" i="2"/>
  <c r="A288" i="2"/>
  <c r="H287" i="2"/>
  <c r="B286" i="3"/>
  <c r="C285" i="3"/>
  <c r="E285" i="3"/>
  <c r="I285" i="3" l="1"/>
  <c r="M285" i="3"/>
  <c r="N285" i="3" s="1"/>
  <c r="C286" i="3"/>
  <c r="B287" i="3"/>
  <c r="E286" i="3"/>
  <c r="I285" i="2"/>
  <c r="M285" i="2"/>
  <c r="N285" i="2" s="1"/>
  <c r="F288" i="3"/>
  <c r="G288" i="3" s="1"/>
  <c r="A289" i="3"/>
  <c r="D288" i="3"/>
  <c r="H288" i="3"/>
  <c r="J288" i="3"/>
  <c r="L288" i="3"/>
  <c r="F288" i="2"/>
  <c r="G288" i="2" s="1"/>
  <c r="A289" i="2"/>
  <c r="H288" i="2"/>
  <c r="J288" i="2"/>
  <c r="D288" i="2"/>
  <c r="L288" i="2"/>
  <c r="C286" i="2"/>
  <c r="B287" i="2"/>
  <c r="E286" i="2"/>
  <c r="L289" i="3" l="1"/>
  <c r="J289" i="3"/>
  <c r="D289" i="3"/>
  <c r="F289" i="3"/>
  <c r="G289" i="3" s="1"/>
  <c r="A290" i="3"/>
  <c r="H289" i="3"/>
  <c r="I286" i="2"/>
  <c r="M286" i="2"/>
  <c r="N286" i="2" s="1"/>
  <c r="B288" i="2"/>
  <c r="C287" i="2"/>
  <c r="E287" i="2"/>
  <c r="I286" i="3"/>
  <c r="M286" i="3"/>
  <c r="N286" i="3" s="1"/>
  <c r="B288" i="3"/>
  <c r="C287" i="3"/>
  <c r="E287" i="3"/>
  <c r="L289" i="2"/>
  <c r="D289" i="2"/>
  <c r="J289" i="2"/>
  <c r="H289" i="2"/>
  <c r="A290" i="2"/>
  <c r="F289" i="2"/>
  <c r="G289" i="2" s="1"/>
  <c r="I287" i="2" l="1"/>
  <c r="M287" i="2"/>
  <c r="N287" i="2" s="1"/>
  <c r="I287" i="3"/>
  <c r="M287" i="3"/>
  <c r="N287" i="3" s="1"/>
  <c r="H290" i="3"/>
  <c r="F290" i="3"/>
  <c r="G290" i="3" s="1"/>
  <c r="D290" i="3"/>
  <c r="J290" i="3"/>
  <c r="A291" i="3"/>
  <c r="L290" i="3"/>
  <c r="B289" i="3"/>
  <c r="C288" i="3"/>
  <c r="E288" i="3"/>
  <c r="H290" i="2"/>
  <c r="J290" i="2"/>
  <c r="L290" i="2"/>
  <c r="A291" i="2"/>
  <c r="F290" i="2"/>
  <c r="G290" i="2" s="1"/>
  <c r="D290" i="2"/>
  <c r="B289" i="2"/>
  <c r="C288" i="2"/>
  <c r="E288" i="2"/>
  <c r="I288" i="2" l="1"/>
  <c r="M288" i="2"/>
  <c r="N288" i="2" s="1"/>
  <c r="I288" i="3"/>
  <c r="M288" i="3"/>
  <c r="N288" i="3" s="1"/>
  <c r="D291" i="3"/>
  <c r="L291" i="3"/>
  <c r="A292" i="3"/>
  <c r="H291" i="3"/>
  <c r="J291" i="3"/>
  <c r="F291" i="3"/>
  <c r="G291" i="3" s="1"/>
  <c r="C289" i="2"/>
  <c r="B290" i="2"/>
  <c r="E289" i="2"/>
  <c r="A292" i="2"/>
  <c r="D291" i="2"/>
  <c r="F291" i="2"/>
  <c r="G291" i="2" s="1"/>
  <c r="L291" i="2"/>
  <c r="H291" i="2"/>
  <c r="J291" i="2"/>
  <c r="C289" i="3"/>
  <c r="B290" i="3"/>
  <c r="E289" i="3"/>
  <c r="J292" i="3" l="1"/>
  <c r="H292" i="3"/>
  <c r="L292" i="3"/>
  <c r="D292" i="3"/>
  <c r="F292" i="3"/>
  <c r="G292" i="3" s="1"/>
  <c r="A293" i="3"/>
  <c r="B291" i="2"/>
  <c r="C290" i="2"/>
  <c r="E290" i="2"/>
  <c r="J292" i="2"/>
  <c r="L292" i="2"/>
  <c r="D292" i="2"/>
  <c r="A293" i="2"/>
  <c r="H292" i="2"/>
  <c r="F292" i="2"/>
  <c r="G292" i="2" s="1"/>
  <c r="B291" i="3"/>
  <c r="C290" i="3"/>
  <c r="E290" i="3"/>
  <c r="I289" i="3"/>
  <c r="M289" i="3"/>
  <c r="N289" i="3" s="1"/>
  <c r="I289" i="2"/>
  <c r="M289" i="2"/>
  <c r="N289" i="2" s="1"/>
  <c r="C291" i="3" l="1"/>
  <c r="B292" i="3"/>
  <c r="E291" i="3"/>
  <c r="C291" i="2"/>
  <c r="B292" i="2"/>
  <c r="E291" i="2"/>
  <c r="F293" i="3"/>
  <c r="G293" i="3" s="1"/>
  <c r="A294" i="3"/>
  <c r="D293" i="3"/>
  <c r="L293" i="3"/>
  <c r="J293" i="3"/>
  <c r="H293" i="3"/>
  <c r="F293" i="2"/>
  <c r="G293" i="2" s="1"/>
  <c r="A294" i="2"/>
  <c r="H293" i="2"/>
  <c r="D293" i="2"/>
  <c r="J293" i="2"/>
  <c r="L293" i="2"/>
  <c r="I290" i="3"/>
  <c r="M290" i="3"/>
  <c r="N290" i="3" s="1"/>
  <c r="I290" i="2"/>
  <c r="M290" i="2"/>
  <c r="N290" i="2" s="1"/>
  <c r="I291" i="3" l="1"/>
  <c r="M291" i="3"/>
  <c r="N291" i="3" s="1"/>
  <c r="L294" i="3"/>
  <c r="J294" i="3"/>
  <c r="A295" i="3"/>
  <c r="D294" i="3"/>
  <c r="F294" i="3"/>
  <c r="G294" i="3" s="1"/>
  <c r="H294" i="3"/>
  <c r="L294" i="2"/>
  <c r="D294" i="2"/>
  <c r="H294" i="2"/>
  <c r="F294" i="2"/>
  <c r="G294" i="2" s="1"/>
  <c r="A295" i="2"/>
  <c r="J294" i="2"/>
  <c r="C292" i="3"/>
  <c r="B293" i="3"/>
  <c r="E292" i="3"/>
  <c r="I291" i="2"/>
  <c r="M291" i="2"/>
  <c r="N291" i="2" s="1"/>
  <c r="C292" i="2"/>
  <c r="B293" i="2"/>
  <c r="E292" i="2"/>
  <c r="H295" i="2" l="1"/>
  <c r="J295" i="2"/>
  <c r="L295" i="2"/>
  <c r="F295" i="2"/>
  <c r="G295" i="2" s="1"/>
  <c r="A296" i="2"/>
  <c r="D295" i="2"/>
  <c r="B294" i="3"/>
  <c r="C293" i="3"/>
  <c r="E293" i="3"/>
  <c r="I292" i="2"/>
  <c r="M292" i="2"/>
  <c r="N292" i="2" s="1"/>
  <c r="H295" i="3"/>
  <c r="F295" i="3"/>
  <c r="G295" i="3" s="1"/>
  <c r="A296" i="3"/>
  <c r="D295" i="3"/>
  <c r="L295" i="3"/>
  <c r="J295" i="3"/>
  <c r="B294" i="2"/>
  <c r="C293" i="2"/>
  <c r="E293" i="2"/>
  <c r="I292" i="3"/>
  <c r="M292" i="3"/>
  <c r="N292" i="3" s="1"/>
  <c r="A297" i="2" l="1"/>
  <c r="D296" i="2"/>
  <c r="F296" i="2"/>
  <c r="G296" i="2" s="1"/>
  <c r="L296" i="2"/>
  <c r="J296" i="2"/>
  <c r="H296" i="2"/>
  <c r="I293" i="2"/>
  <c r="M293" i="2"/>
  <c r="N293" i="2" s="1"/>
  <c r="C294" i="3"/>
  <c r="B295" i="3"/>
  <c r="E294" i="3"/>
  <c r="C294" i="2"/>
  <c r="B295" i="2"/>
  <c r="E294" i="2"/>
  <c r="D296" i="3"/>
  <c r="L296" i="3"/>
  <c r="A297" i="3"/>
  <c r="F296" i="3"/>
  <c r="G296" i="3" s="1"/>
  <c r="H296" i="3"/>
  <c r="J296" i="3"/>
  <c r="I293" i="3"/>
  <c r="M293" i="3"/>
  <c r="N293" i="3" s="1"/>
  <c r="J297" i="3" l="1"/>
  <c r="H297" i="3"/>
  <c r="F297" i="3"/>
  <c r="G297" i="3" s="1"/>
  <c r="L297" i="3"/>
  <c r="A298" i="3"/>
  <c r="D297" i="3"/>
  <c r="I294" i="2"/>
  <c r="M294" i="2"/>
  <c r="N294" i="2" s="1"/>
  <c r="C295" i="2"/>
  <c r="B296" i="2"/>
  <c r="E295" i="2"/>
  <c r="B296" i="3"/>
  <c r="C295" i="3"/>
  <c r="E295" i="3"/>
  <c r="I294" i="3"/>
  <c r="M294" i="3"/>
  <c r="N294" i="3" s="1"/>
  <c r="J297" i="2"/>
  <c r="L297" i="2"/>
  <c r="A298" i="2"/>
  <c r="H297" i="2"/>
  <c r="F297" i="2"/>
  <c r="G297" i="2" s="1"/>
  <c r="D297" i="2"/>
  <c r="F298" i="3" l="1"/>
  <c r="G298" i="3" s="1"/>
  <c r="A299" i="3"/>
  <c r="D298" i="3"/>
  <c r="J298" i="3"/>
  <c r="L298" i="3"/>
  <c r="H298" i="3"/>
  <c r="I295" i="2"/>
  <c r="M295" i="2"/>
  <c r="N295" i="2" s="1"/>
  <c r="I295" i="3"/>
  <c r="M295" i="3"/>
  <c r="N295" i="3" s="1"/>
  <c r="C296" i="2"/>
  <c r="B297" i="2"/>
  <c r="E296" i="2"/>
  <c r="C296" i="3"/>
  <c r="B297" i="3"/>
  <c r="E296" i="3"/>
  <c r="F298" i="2"/>
  <c r="G298" i="2" s="1"/>
  <c r="A299" i="2"/>
  <c r="H298" i="2"/>
  <c r="D298" i="2"/>
  <c r="J298" i="2"/>
  <c r="L298" i="2"/>
  <c r="B298" i="3" l="1"/>
  <c r="C297" i="3"/>
  <c r="E297" i="3"/>
  <c r="I296" i="2"/>
  <c r="M296" i="2"/>
  <c r="N296" i="2" s="1"/>
  <c r="L299" i="3"/>
  <c r="J299" i="3"/>
  <c r="A300" i="3"/>
  <c r="H299" i="3"/>
  <c r="D299" i="3"/>
  <c r="F299" i="3"/>
  <c r="G299" i="3" s="1"/>
  <c r="L299" i="2"/>
  <c r="D299" i="2"/>
  <c r="F299" i="2"/>
  <c r="G299" i="2" s="1"/>
  <c r="A300" i="2"/>
  <c r="J299" i="2"/>
  <c r="H299" i="2"/>
  <c r="I296" i="3"/>
  <c r="M296" i="3"/>
  <c r="N296" i="3" s="1"/>
  <c r="B298" i="2"/>
  <c r="C297" i="2"/>
  <c r="E297" i="2"/>
  <c r="B299" i="2" l="1"/>
  <c r="C298" i="2"/>
  <c r="E298" i="2"/>
  <c r="H300" i="2"/>
  <c r="J300" i="2"/>
  <c r="F300" i="2"/>
  <c r="G300" i="2" s="1"/>
  <c r="D300" i="2"/>
  <c r="L300" i="2"/>
  <c r="A301" i="2"/>
  <c r="H300" i="3"/>
  <c r="F300" i="3"/>
  <c r="G300" i="3" s="1"/>
  <c r="A301" i="3"/>
  <c r="D300" i="3"/>
  <c r="J300" i="3"/>
  <c r="L300" i="3"/>
  <c r="I297" i="2"/>
  <c r="M297" i="2"/>
  <c r="N297" i="2" s="1"/>
  <c r="I297" i="3"/>
  <c r="M297" i="3"/>
  <c r="N297" i="3" s="1"/>
  <c r="B299" i="3"/>
  <c r="C298" i="3"/>
  <c r="E298" i="3"/>
  <c r="C299" i="3" l="1"/>
  <c r="B300" i="3"/>
  <c r="E299" i="3"/>
  <c r="D301" i="3"/>
  <c r="L301" i="3"/>
  <c r="A302" i="3"/>
  <c r="F301" i="3"/>
  <c r="G301" i="3" s="1"/>
  <c r="J301" i="3"/>
  <c r="H301" i="3"/>
  <c r="I298" i="3"/>
  <c r="M298" i="3"/>
  <c r="N298" i="3" s="1"/>
  <c r="I298" i="2"/>
  <c r="M298" i="2"/>
  <c r="N298" i="2" s="1"/>
  <c r="A302" i="2"/>
  <c r="D301" i="2"/>
  <c r="F301" i="2"/>
  <c r="G301" i="2" s="1"/>
  <c r="J301" i="2"/>
  <c r="H301" i="2"/>
  <c r="L301" i="2"/>
  <c r="C299" i="2"/>
  <c r="B300" i="2"/>
  <c r="E299" i="2"/>
  <c r="C300" i="2" l="1"/>
  <c r="B301" i="2"/>
  <c r="E300" i="2"/>
  <c r="I299" i="3"/>
  <c r="M299" i="3"/>
  <c r="N299" i="3" s="1"/>
  <c r="J302" i="3"/>
  <c r="H302" i="3"/>
  <c r="D302" i="3"/>
  <c r="F302" i="3"/>
  <c r="G302" i="3" s="1"/>
  <c r="A303" i="3"/>
  <c r="L302" i="3"/>
  <c r="I299" i="2"/>
  <c r="M299" i="2"/>
  <c r="N299" i="2" s="1"/>
  <c r="J302" i="2"/>
  <c r="L302" i="2"/>
  <c r="H302" i="2"/>
  <c r="A303" i="2"/>
  <c r="F302" i="2"/>
  <c r="G302" i="2" s="1"/>
  <c r="D302" i="2"/>
  <c r="B301" i="3"/>
  <c r="C300" i="3"/>
  <c r="E300" i="3"/>
  <c r="C301" i="3" l="1"/>
  <c r="B302" i="3"/>
  <c r="E301" i="3"/>
  <c r="I300" i="2"/>
  <c r="M300" i="2"/>
  <c r="N300" i="2" s="1"/>
  <c r="C301" i="2"/>
  <c r="B302" i="2"/>
  <c r="E301" i="2"/>
  <c r="F303" i="2"/>
  <c r="G303" i="2" s="1"/>
  <c r="A304" i="2"/>
  <c r="H303" i="2"/>
  <c r="L303" i="2"/>
  <c r="D303" i="2"/>
  <c r="J303" i="2"/>
  <c r="I300" i="3"/>
  <c r="M300" i="3"/>
  <c r="N300" i="3" s="1"/>
  <c r="F303" i="3"/>
  <c r="G303" i="3" s="1"/>
  <c r="A304" i="3"/>
  <c r="D303" i="3"/>
  <c r="H303" i="3"/>
  <c r="J303" i="3"/>
  <c r="L303" i="3"/>
  <c r="I301" i="3" l="1"/>
  <c r="M301" i="3"/>
  <c r="N301" i="3" s="1"/>
  <c r="L304" i="3"/>
  <c r="J304" i="3"/>
  <c r="H304" i="3"/>
  <c r="D304" i="3"/>
  <c r="F304" i="3"/>
  <c r="G304" i="3" s="1"/>
  <c r="A305" i="3"/>
  <c r="I301" i="2"/>
  <c r="M301" i="2"/>
  <c r="N301" i="2" s="1"/>
  <c r="B303" i="2"/>
  <c r="C302" i="2"/>
  <c r="E302" i="2"/>
  <c r="C302" i="3"/>
  <c r="B303" i="3"/>
  <c r="E302" i="3"/>
  <c r="L304" i="2"/>
  <c r="D304" i="2"/>
  <c r="A305" i="2"/>
  <c r="J304" i="2"/>
  <c r="H304" i="2"/>
  <c r="F304" i="2"/>
  <c r="G304" i="2" s="1"/>
  <c r="H305" i="3" l="1"/>
  <c r="F305" i="3"/>
  <c r="G305" i="3" s="1"/>
  <c r="L305" i="3"/>
  <c r="A306" i="3"/>
  <c r="J305" i="3"/>
  <c r="D305" i="3"/>
  <c r="I302" i="3"/>
  <c r="M302" i="3"/>
  <c r="N302" i="3" s="1"/>
  <c r="B304" i="3"/>
  <c r="C303" i="3"/>
  <c r="E303" i="3"/>
  <c r="I302" i="2"/>
  <c r="M302" i="2"/>
  <c r="N302" i="2" s="1"/>
  <c r="B304" i="2"/>
  <c r="C303" i="2"/>
  <c r="E303" i="2"/>
  <c r="H305" i="2"/>
  <c r="J305" i="2"/>
  <c r="D305" i="2"/>
  <c r="A306" i="2"/>
  <c r="F305" i="2"/>
  <c r="G305" i="2" s="1"/>
  <c r="L305" i="2"/>
  <c r="I303" i="2" l="1"/>
  <c r="M303" i="2"/>
  <c r="N303" i="2" s="1"/>
  <c r="C304" i="2"/>
  <c r="B305" i="2"/>
  <c r="E304" i="2"/>
  <c r="D306" i="3"/>
  <c r="L306" i="3"/>
  <c r="A307" i="3"/>
  <c r="F306" i="3"/>
  <c r="G306" i="3" s="1"/>
  <c r="J306" i="3"/>
  <c r="H306" i="3"/>
  <c r="I303" i="3"/>
  <c r="M303" i="3"/>
  <c r="N303" i="3" s="1"/>
  <c r="A307" i="2"/>
  <c r="D306" i="2"/>
  <c r="F306" i="2"/>
  <c r="G306" i="2" s="1"/>
  <c r="H306" i="2"/>
  <c r="L306" i="2"/>
  <c r="J306" i="2"/>
  <c r="C304" i="3"/>
  <c r="B305" i="3"/>
  <c r="E304" i="3"/>
  <c r="I304" i="3" l="1"/>
  <c r="M304" i="3"/>
  <c r="N304" i="3" s="1"/>
  <c r="J307" i="3"/>
  <c r="H307" i="3"/>
  <c r="A308" i="3"/>
  <c r="D307" i="3"/>
  <c r="L307" i="3"/>
  <c r="F307" i="3"/>
  <c r="G307" i="3" s="1"/>
  <c r="C305" i="2"/>
  <c r="B306" i="2"/>
  <c r="E305" i="2"/>
  <c r="J307" i="2"/>
  <c r="L307" i="2"/>
  <c r="H307" i="2"/>
  <c r="F307" i="2"/>
  <c r="G307" i="2" s="1"/>
  <c r="A308" i="2"/>
  <c r="D307" i="2"/>
  <c r="B306" i="3"/>
  <c r="C305" i="3"/>
  <c r="E305" i="3"/>
  <c r="I304" i="2"/>
  <c r="M304" i="2"/>
  <c r="N304" i="2" s="1"/>
  <c r="I305" i="3" l="1"/>
  <c r="M305" i="3"/>
  <c r="N305" i="3" s="1"/>
  <c r="I305" i="2"/>
  <c r="M305" i="2"/>
  <c r="N305" i="2" s="1"/>
  <c r="F308" i="2"/>
  <c r="G308" i="2" s="1"/>
  <c r="A309" i="2"/>
  <c r="H308" i="2"/>
  <c r="L308" i="2"/>
  <c r="J308" i="2"/>
  <c r="D308" i="2"/>
  <c r="F308" i="3"/>
  <c r="G308" i="3" s="1"/>
  <c r="A309" i="3"/>
  <c r="D308" i="3"/>
  <c r="H308" i="3"/>
  <c r="J308" i="3"/>
  <c r="L308" i="3"/>
  <c r="C306" i="3"/>
  <c r="B307" i="3"/>
  <c r="E306" i="3"/>
  <c r="C306" i="2"/>
  <c r="B307" i="2"/>
  <c r="E306" i="2"/>
  <c r="I306" i="3" l="1"/>
  <c r="M306" i="3"/>
  <c r="N306" i="3" s="1"/>
  <c r="L309" i="3"/>
  <c r="J309" i="3"/>
  <c r="F309" i="3"/>
  <c r="G309" i="3" s="1"/>
  <c r="H309" i="3"/>
  <c r="A310" i="3"/>
  <c r="D309" i="3"/>
  <c r="C307" i="3"/>
  <c r="B308" i="3"/>
  <c r="E307" i="3"/>
  <c r="I306" i="2"/>
  <c r="M306" i="2"/>
  <c r="N306" i="2" s="1"/>
  <c r="L309" i="2"/>
  <c r="D309" i="2"/>
  <c r="A310" i="2"/>
  <c r="J309" i="2"/>
  <c r="H309" i="2"/>
  <c r="F309" i="2"/>
  <c r="G309" i="2" s="1"/>
  <c r="C307" i="2"/>
  <c r="B308" i="2"/>
  <c r="E307" i="2"/>
  <c r="H310" i="2" l="1"/>
  <c r="J310" i="2"/>
  <c r="A311" i="2"/>
  <c r="D310" i="2"/>
  <c r="F310" i="2"/>
  <c r="G310" i="2" s="1"/>
  <c r="L310" i="2"/>
  <c r="H310" i="3"/>
  <c r="F310" i="3"/>
  <c r="G310" i="3" s="1"/>
  <c r="J310" i="3"/>
  <c r="L310" i="3"/>
  <c r="A311" i="3"/>
  <c r="D310" i="3"/>
  <c r="I307" i="2"/>
  <c r="M307" i="2"/>
  <c r="N307" i="2" s="1"/>
  <c r="I307" i="3"/>
  <c r="M307" i="3"/>
  <c r="N307" i="3" s="1"/>
  <c r="B309" i="2"/>
  <c r="C308" i="2"/>
  <c r="E308" i="2"/>
  <c r="B309" i="3"/>
  <c r="C308" i="3"/>
  <c r="E308" i="3"/>
  <c r="C309" i="3" l="1"/>
  <c r="B310" i="3"/>
  <c r="E309" i="3"/>
  <c r="I308" i="3"/>
  <c r="M308" i="3"/>
  <c r="N308" i="3" s="1"/>
  <c r="D311" i="3"/>
  <c r="L311" i="3"/>
  <c r="A312" i="3"/>
  <c r="J311" i="3"/>
  <c r="H311" i="3"/>
  <c r="F311" i="3"/>
  <c r="G311" i="3" s="1"/>
  <c r="I308" i="2"/>
  <c r="M308" i="2"/>
  <c r="N308" i="2" s="1"/>
  <c r="A312" i="2"/>
  <c r="D311" i="2"/>
  <c r="F311" i="2"/>
  <c r="G311" i="2" s="1"/>
  <c r="L311" i="2"/>
  <c r="J311" i="2"/>
  <c r="H311" i="2"/>
  <c r="C309" i="2"/>
  <c r="B310" i="2"/>
  <c r="E309" i="2"/>
  <c r="B311" i="2" l="1"/>
  <c r="C310" i="2"/>
  <c r="E310" i="2"/>
  <c r="I309" i="3"/>
  <c r="M309" i="3"/>
  <c r="N309" i="3" s="1"/>
  <c r="B311" i="3"/>
  <c r="C310" i="3"/>
  <c r="E310" i="3"/>
  <c r="J312" i="3"/>
  <c r="H312" i="3"/>
  <c r="A313" i="3"/>
  <c r="D312" i="3"/>
  <c r="F312" i="3"/>
  <c r="G312" i="3" s="1"/>
  <c r="L312" i="3"/>
  <c r="I309" i="2"/>
  <c r="M309" i="2"/>
  <c r="N309" i="2" s="1"/>
  <c r="J312" i="2"/>
  <c r="L312" i="2"/>
  <c r="F312" i="2"/>
  <c r="G312" i="2" s="1"/>
  <c r="D312" i="2"/>
  <c r="H312" i="2"/>
  <c r="A313" i="2"/>
  <c r="I310" i="2" l="1"/>
  <c r="M310" i="2"/>
  <c r="N310" i="2" s="1"/>
  <c r="I310" i="3"/>
  <c r="M310" i="3"/>
  <c r="N310" i="3" s="1"/>
  <c r="F313" i="2"/>
  <c r="G313" i="2" s="1"/>
  <c r="A314" i="2"/>
  <c r="H313" i="2"/>
  <c r="J313" i="2"/>
  <c r="D313" i="2"/>
  <c r="L313" i="2"/>
  <c r="C311" i="3"/>
  <c r="B312" i="3"/>
  <c r="E311" i="3"/>
  <c r="F313" i="3"/>
  <c r="G313" i="3" s="1"/>
  <c r="A314" i="3"/>
  <c r="D313" i="3"/>
  <c r="L313" i="3"/>
  <c r="J313" i="3"/>
  <c r="H313" i="3"/>
  <c r="C311" i="2"/>
  <c r="B312" i="2"/>
  <c r="E311" i="2"/>
  <c r="I311" i="2" l="1"/>
  <c r="M311" i="2"/>
  <c r="N311" i="2" s="1"/>
  <c r="L314" i="2"/>
  <c r="D314" i="2"/>
  <c r="J314" i="2"/>
  <c r="H314" i="2"/>
  <c r="A315" i="2"/>
  <c r="F314" i="2"/>
  <c r="G314" i="2" s="1"/>
  <c r="C312" i="2"/>
  <c r="B313" i="2"/>
  <c r="E312" i="2"/>
  <c r="B313" i="3"/>
  <c r="C312" i="3"/>
  <c r="E312" i="3"/>
  <c r="I311" i="3"/>
  <c r="M311" i="3"/>
  <c r="N311" i="3" s="1"/>
  <c r="L314" i="3"/>
  <c r="J314" i="3"/>
  <c r="D314" i="3"/>
  <c r="F314" i="3"/>
  <c r="G314" i="3" s="1"/>
  <c r="A315" i="3"/>
  <c r="H314" i="3"/>
  <c r="H315" i="3" l="1"/>
  <c r="F315" i="3"/>
  <c r="G315" i="3" s="1"/>
  <c r="D315" i="3"/>
  <c r="J315" i="3"/>
  <c r="L315" i="3"/>
  <c r="A316" i="3"/>
  <c r="B314" i="3"/>
  <c r="C313" i="3"/>
  <c r="E313" i="3"/>
  <c r="I312" i="2"/>
  <c r="M312" i="2"/>
  <c r="N312" i="2" s="1"/>
  <c r="H315" i="2"/>
  <c r="J315" i="2"/>
  <c r="L315" i="2"/>
  <c r="A316" i="2"/>
  <c r="D315" i="2"/>
  <c r="F315" i="2"/>
  <c r="G315" i="2" s="1"/>
  <c r="I312" i="3"/>
  <c r="M312" i="3"/>
  <c r="N312" i="3" s="1"/>
  <c r="B314" i="2"/>
  <c r="C313" i="2"/>
  <c r="E313" i="2"/>
  <c r="J316" i="3" l="1"/>
  <c r="A317" i="3"/>
  <c r="D316" i="3"/>
  <c r="H316" i="3"/>
  <c r="F316" i="3"/>
  <c r="G316" i="3" s="1"/>
  <c r="L316" i="3"/>
  <c r="C314" i="2"/>
  <c r="B315" i="2"/>
  <c r="E314" i="2"/>
  <c r="A317" i="2"/>
  <c r="D316" i="2"/>
  <c r="F316" i="2"/>
  <c r="G316" i="2" s="1"/>
  <c r="L316" i="2"/>
  <c r="J316" i="2"/>
  <c r="H316" i="2"/>
  <c r="C314" i="3"/>
  <c r="B315" i="3"/>
  <c r="E314" i="3"/>
  <c r="I313" i="2"/>
  <c r="M313" i="2"/>
  <c r="N313" i="2" s="1"/>
  <c r="I313" i="3"/>
  <c r="M313" i="3"/>
  <c r="N313" i="3" s="1"/>
  <c r="C315" i="2" l="1"/>
  <c r="B316" i="2"/>
  <c r="E315" i="2"/>
  <c r="I314" i="3"/>
  <c r="M314" i="3"/>
  <c r="N314" i="3" s="1"/>
  <c r="J317" i="2"/>
  <c r="L317" i="2"/>
  <c r="D317" i="2"/>
  <c r="A318" i="2"/>
  <c r="F317" i="2"/>
  <c r="G317" i="2" s="1"/>
  <c r="H317" i="2"/>
  <c r="F317" i="3"/>
  <c r="G317" i="3" s="1"/>
  <c r="L317" i="3"/>
  <c r="J317" i="3"/>
  <c r="A318" i="3"/>
  <c r="H317" i="3"/>
  <c r="D317" i="3"/>
  <c r="B316" i="3"/>
  <c r="C315" i="3"/>
  <c r="E315" i="3"/>
  <c r="I314" i="2"/>
  <c r="M314" i="2"/>
  <c r="N314" i="2" s="1"/>
  <c r="I315" i="3" l="1"/>
  <c r="M315" i="3"/>
  <c r="N315" i="3" s="1"/>
  <c r="I315" i="2"/>
  <c r="M315" i="2"/>
  <c r="N315" i="2" s="1"/>
  <c r="C316" i="3"/>
  <c r="B317" i="3"/>
  <c r="E316" i="3"/>
  <c r="C316" i="2"/>
  <c r="B317" i="2"/>
  <c r="E316" i="2"/>
  <c r="F318" i="2"/>
  <c r="G318" i="2" s="1"/>
  <c r="A319" i="2"/>
  <c r="H318" i="2"/>
  <c r="D318" i="2"/>
  <c r="L318" i="2"/>
  <c r="J318" i="2"/>
  <c r="L318" i="3"/>
  <c r="H318" i="3"/>
  <c r="J318" i="3"/>
  <c r="A319" i="3"/>
  <c r="D318" i="3"/>
  <c r="F318" i="3"/>
  <c r="G318" i="3" s="1"/>
  <c r="C317" i="2" l="1"/>
  <c r="B318" i="2"/>
  <c r="E317" i="2"/>
  <c r="I316" i="2"/>
  <c r="M316" i="2"/>
  <c r="N316" i="2" s="1"/>
  <c r="I316" i="3"/>
  <c r="M316" i="3"/>
  <c r="N316" i="3" s="1"/>
  <c r="B318" i="3"/>
  <c r="C317" i="3"/>
  <c r="E317" i="3"/>
  <c r="L319" i="2"/>
  <c r="D319" i="2"/>
  <c r="H319" i="2"/>
  <c r="F319" i="2"/>
  <c r="G319" i="2" s="1"/>
  <c r="A320" i="2"/>
  <c r="J319" i="2"/>
  <c r="H319" i="3"/>
  <c r="F319" i="3"/>
  <c r="G319" i="3" s="1"/>
  <c r="A320" i="3"/>
  <c r="D319" i="3"/>
  <c r="L319" i="3"/>
  <c r="J319" i="3"/>
  <c r="I317" i="3" l="1"/>
  <c r="M317" i="3"/>
  <c r="N317" i="3" s="1"/>
  <c r="B319" i="3"/>
  <c r="C318" i="3"/>
  <c r="E318" i="3"/>
  <c r="H320" i="2"/>
  <c r="J320" i="2"/>
  <c r="L320" i="2"/>
  <c r="F320" i="2"/>
  <c r="G320" i="2" s="1"/>
  <c r="A321" i="2"/>
  <c r="D320" i="2"/>
  <c r="I317" i="2"/>
  <c r="M317" i="2"/>
  <c r="N317" i="2" s="1"/>
  <c r="D320" i="3"/>
  <c r="A321" i="3"/>
  <c r="L320" i="3"/>
  <c r="H320" i="3"/>
  <c r="J320" i="3"/>
  <c r="F320" i="3"/>
  <c r="G320" i="3" s="1"/>
  <c r="B319" i="2"/>
  <c r="C318" i="2"/>
  <c r="E318" i="2"/>
  <c r="I318" i="2" l="1"/>
  <c r="M318" i="2"/>
  <c r="N318" i="2" s="1"/>
  <c r="I318" i="3"/>
  <c r="M318" i="3"/>
  <c r="N318" i="3" s="1"/>
  <c r="A322" i="2"/>
  <c r="D321" i="2"/>
  <c r="F321" i="2"/>
  <c r="G321" i="2" s="1"/>
  <c r="L321" i="2"/>
  <c r="J321" i="2"/>
  <c r="H321" i="2"/>
  <c r="J321" i="3"/>
  <c r="L321" i="3"/>
  <c r="A322" i="3"/>
  <c r="H321" i="3"/>
  <c r="F321" i="3"/>
  <c r="G321" i="3" s="1"/>
  <c r="D321" i="3"/>
  <c r="C319" i="2"/>
  <c r="B320" i="2"/>
  <c r="E319" i="2"/>
  <c r="B320" i="3"/>
  <c r="C319" i="3"/>
  <c r="E319" i="3"/>
  <c r="I319" i="2" l="1"/>
  <c r="M319" i="2"/>
  <c r="N319" i="2" s="1"/>
  <c r="I319" i="3"/>
  <c r="M319" i="3"/>
  <c r="N319" i="3" s="1"/>
  <c r="F322" i="3"/>
  <c r="G322" i="3" s="1"/>
  <c r="H322" i="3"/>
  <c r="J322" i="3"/>
  <c r="A323" i="3"/>
  <c r="D322" i="3"/>
  <c r="L322" i="3"/>
  <c r="J322" i="2"/>
  <c r="L322" i="2"/>
  <c r="A323" i="2"/>
  <c r="D322" i="2"/>
  <c r="F322" i="2"/>
  <c r="G322" i="2" s="1"/>
  <c r="H322" i="2"/>
  <c r="C320" i="3"/>
  <c r="B321" i="3"/>
  <c r="E320" i="3"/>
  <c r="B321" i="2"/>
  <c r="C320" i="2"/>
  <c r="E320" i="2"/>
  <c r="I320" i="2" l="1"/>
  <c r="M320" i="2"/>
  <c r="N320" i="2" s="1"/>
  <c r="F323" i="2"/>
  <c r="G323" i="2" s="1"/>
  <c r="A324" i="2"/>
  <c r="H323" i="2"/>
  <c r="L323" i="2"/>
  <c r="J323" i="2"/>
  <c r="D323" i="2"/>
  <c r="C321" i="2"/>
  <c r="B322" i="2"/>
  <c r="E321" i="2"/>
  <c r="L323" i="3"/>
  <c r="F323" i="3"/>
  <c r="G323" i="3" s="1"/>
  <c r="A324" i="3"/>
  <c r="D323" i="3"/>
  <c r="H323" i="3"/>
  <c r="J323" i="3"/>
  <c r="B322" i="3"/>
  <c r="C321" i="3"/>
  <c r="E321" i="3"/>
  <c r="I320" i="3"/>
  <c r="M320" i="3"/>
  <c r="N320" i="3" s="1"/>
  <c r="I321" i="2" l="1"/>
  <c r="M321" i="2"/>
  <c r="N321" i="2" s="1"/>
  <c r="I321" i="3"/>
  <c r="M321" i="3"/>
  <c r="N321" i="3" s="1"/>
  <c r="B323" i="3"/>
  <c r="C322" i="3"/>
  <c r="E322" i="3"/>
  <c r="B323" i="2"/>
  <c r="C322" i="2"/>
  <c r="E322" i="2"/>
  <c r="H324" i="3"/>
  <c r="L324" i="3"/>
  <c r="A325" i="3"/>
  <c r="D324" i="3"/>
  <c r="F324" i="3"/>
  <c r="G324" i="3" s="1"/>
  <c r="J324" i="3"/>
  <c r="L324" i="2"/>
  <c r="D324" i="2"/>
  <c r="F324" i="2"/>
  <c r="G324" i="2" s="1"/>
  <c r="H324" i="2"/>
  <c r="J324" i="2"/>
  <c r="A325" i="2"/>
  <c r="I322" i="3" l="1"/>
  <c r="M322" i="3"/>
  <c r="N322" i="3" s="1"/>
  <c r="B324" i="3"/>
  <c r="C323" i="3"/>
  <c r="E323" i="3"/>
  <c r="D325" i="3"/>
  <c r="J325" i="3"/>
  <c r="L325" i="3"/>
  <c r="A326" i="3"/>
  <c r="H325" i="3"/>
  <c r="F325" i="3"/>
  <c r="G325" i="3" s="1"/>
  <c r="H325" i="2"/>
  <c r="J325" i="2"/>
  <c r="F325" i="2"/>
  <c r="G325" i="2" s="1"/>
  <c r="D325" i="2"/>
  <c r="A326" i="2"/>
  <c r="L325" i="2"/>
  <c r="I322" i="2"/>
  <c r="M322" i="2"/>
  <c r="N322" i="2" s="1"/>
  <c r="B324" i="2"/>
  <c r="C323" i="2"/>
  <c r="E323" i="2"/>
  <c r="I323" i="3" l="1"/>
  <c r="M323" i="3"/>
  <c r="N323" i="3" s="1"/>
  <c r="C324" i="2"/>
  <c r="B325" i="2"/>
  <c r="E324" i="2"/>
  <c r="A327" i="2"/>
  <c r="D326" i="2"/>
  <c r="F326" i="2"/>
  <c r="G326" i="2" s="1"/>
  <c r="J326" i="2"/>
  <c r="H326" i="2"/>
  <c r="L326" i="2"/>
  <c r="J326" i="3"/>
  <c r="H326" i="3"/>
  <c r="F326" i="3"/>
  <c r="G326" i="3" s="1"/>
  <c r="A327" i="3"/>
  <c r="L326" i="3"/>
  <c r="D326" i="3"/>
  <c r="I323" i="2"/>
  <c r="M323" i="2"/>
  <c r="N323" i="2" s="1"/>
  <c r="C324" i="3"/>
  <c r="B325" i="3"/>
  <c r="E324" i="3"/>
  <c r="J327" i="2" l="1"/>
  <c r="L327" i="2"/>
  <c r="H327" i="2"/>
  <c r="A328" i="2"/>
  <c r="D327" i="2"/>
  <c r="F327" i="2"/>
  <c r="G327" i="2" s="1"/>
  <c r="B326" i="3"/>
  <c r="C325" i="3"/>
  <c r="E325" i="3"/>
  <c r="F327" i="3"/>
  <c r="G327" i="3" s="1"/>
  <c r="A328" i="3"/>
  <c r="D327" i="3"/>
  <c r="H327" i="3"/>
  <c r="L327" i="3"/>
  <c r="J327" i="3"/>
  <c r="I324" i="2"/>
  <c r="M324" i="2"/>
  <c r="N324" i="2" s="1"/>
  <c r="C325" i="2"/>
  <c r="B326" i="2"/>
  <c r="E325" i="2"/>
  <c r="I324" i="3"/>
  <c r="M324" i="3"/>
  <c r="N324" i="3" s="1"/>
  <c r="F328" i="2" l="1"/>
  <c r="G328" i="2" s="1"/>
  <c r="A329" i="2"/>
  <c r="H328" i="2"/>
  <c r="L328" i="2"/>
  <c r="J328" i="2"/>
  <c r="D328" i="2"/>
  <c r="C326" i="2"/>
  <c r="B327" i="2"/>
  <c r="E326" i="2"/>
  <c r="B327" i="3"/>
  <c r="C326" i="3"/>
  <c r="E326" i="3"/>
  <c r="I325" i="2"/>
  <c r="M325" i="2"/>
  <c r="N325" i="2" s="1"/>
  <c r="L328" i="3"/>
  <c r="A329" i="3"/>
  <c r="D328" i="3"/>
  <c r="H328" i="3"/>
  <c r="F328" i="3"/>
  <c r="G328" i="3" s="1"/>
  <c r="J328" i="3"/>
  <c r="I325" i="3"/>
  <c r="M325" i="3"/>
  <c r="N325" i="3" s="1"/>
  <c r="H329" i="3" l="1"/>
  <c r="J329" i="3"/>
  <c r="L329" i="3"/>
  <c r="A330" i="3"/>
  <c r="D329" i="3"/>
  <c r="F329" i="3"/>
  <c r="G329" i="3" s="1"/>
  <c r="B328" i="3"/>
  <c r="C327" i="3"/>
  <c r="E327" i="3"/>
  <c r="L329" i="2"/>
  <c r="D329" i="2"/>
  <c r="A330" i="2"/>
  <c r="F329" i="2"/>
  <c r="G329" i="2" s="1"/>
  <c r="H329" i="2"/>
  <c r="J329" i="2"/>
  <c r="C327" i="2"/>
  <c r="B328" i="2"/>
  <c r="E327" i="2"/>
  <c r="I326" i="3"/>
  <c r="M326" i="3"/>
  <c r="N326" i="3" s="1"/>
  <c r="I326" i="2"/>
  <c r="M326" i="2"/>
  <c r="N326" i="2" s="1"/>
  <c r="D330" i="3" l="1"/>
  <c r="H330" i="3"/>
  <c r="F330" i="3"/>
  <c r="G330" i="3" s="1"/>
  <c r="A331" i="3"/>
  <c r="L330" i="3"/>
  <c r="J330" i="3"/>
  <c r="C328" i="3"/>
  <c r="B329" i="3"/>
  <c r="E328" i="3"/>
  <c r="H330" i="2"/>
  <c r="J330" i="2"/>
  <c r="D330" i="2"/>
  <c r="A331" i="2"/>
  <c r="L330" i="2"/>
  <c r="F330" i="2"/>
  <c r="G330" i="2" s="1"/>
  <c r="I327" i="2"/>
  <c r="M327" i="2"/>
  <c r="N327" i="2" s="1"/>
  <c r="B329" i="2"/>
  <c r="C328" i="2"/>
  <c r="E328" i="2"/>
  <c r="I327" i="3"/>
  <c r="M327" i="3"/>
  <c r="N327" i="3" s="1"/>
  <c r="I328" i="2" l="1"/>
  <c r="M328" i="2"/>
  <c r="N328" i="2" s="1"/>
  <c r="J331" i="3"/>
  <c r="H331" i="3"/>
  <c r="D331" i="3"/>
  <c r="A332" i="3"/>
  <c r="F331" i="3"/>
  <c r="G331" i="3" s="1"/>
  <c r="L331" i="3"/>
  <c r="C329" i="2"/>
  <c r="B330" i="2"/>
  <c r="E329" i="2"/>
  <c r="C329" i="3"/>
  <c r="B330" i="3"/>
  <c r="E329" i="3"/>
  <c r="A332" i="2"/>
  <c r="D331" i="2"/>
  <c r="F331" i="2"/>
  <c r="G331" i="2" s="1"/>
  <c r="H331" i="2"/>
  <c r="J331" i="2"/>
  <c r="L331" i="2"/>
  <c r="I328" i="3"/>
  <c r="M328" i="3"/>
  <c r="N328" i="3" s="1"/>
  <c r="I329" i="3" l="1"/>
  <c r="M329" i="3"/>
  <c r="N329" i="3" s="1"/>
  <c r="J332" i="2"/>
  <c r="L332" i="2"/>
  <c r="H332" i="2"/>
  <c r="F332" i="2"/>
  <c r="G332" i="2" s="1"/>
  <c r="A333" i="2"/>
  <c r="D332" i="2"/>
  <c r="F332" i="3"/>
  <c r="G332" i="3" s="1"/>
  <c r="D332" i="3"/>
  <c r="A333" i="3"/>
  <c r="J332" i="3"/>
  <c r="H332" i="3"/>
  <c r="L332" i="3"/>
  <c r="B331" i="3"/>
  <c r="C330" i="3"/>
  <c r="E330" i="3"/>
  <c r="C330" i="2"/>
  <c r="B331" i="2"/>
  <c r="E330" i="2"/>
  <c r="I329" i="2"/>
  <c r="M329" i="2"/>
  <c r="N329" i="2" s="1"/>
  <c r="B332" i="3" l="1"/>
  <c r="C331" i="3"/>
  <c r="E331" i="3"/>
  <c r="L333" i="3"/>
  <c r="J333" i="3"/>
  <c r="A334" i="3"/>
  <c r="D333" i="3"/>
  <c r="H333" i="3"/>
  <c r="F333" i="3"/>
  <c r="G333" i="3" s="1"/>
  <c r="C331" i="2"/>
  <c r="B332" i="2"/>
  <c r="E331" i="2"/>
  <c r="F333" i="2"/>
  <c r="G333" i="2" s="1"/>
  <c r="A334" i="2"/>
  <c r="H333" i="2"/>
  <c r="L333" i="2"/>
  <c r="J333" i="2"/>
  <c r="D333" i="2"/>
  <c r="I330" i="2"/>
  <c r="M330" i="2"/>
  <c r="N330" i="2" s="1"/>
  <c r="I330" i="3"/>
  <c r="M330" i="3"/>
  <c r="N330" i="3" s="1"/>
  <c r="I331" i="3" l="1"/>
  <c r="M331" i="3"/>
  <c r="N331" i="3" s="1"/>
  <c r="A335" i="2"/>
  <c r="D334" i="2"/>
  <c r="L334" i="2"/>
  <c r="J334" i="2"/>
  <c r="F334" i="2"/>
  <c r="G334" i="2" s="1"/>
  <c r="H334" i="2"/>
  <c r="I331" i="2"/>
  <c r="M331" i="2"/>
  <c r="N331" i="2" s="1"/>
  <c r="H334" i="3"/>
  <c r="F334" i="3"/>
  <c r="G334" i="3" s="1"/>
  <c r="L334" i="3"/>
  <c r="D334" i="3"/>
  <c r="A335" i="3"/>
  <c r="J334" i="3"/>
  <c r="B333" i="2"/>
  <c r="C332" i="2"/>
  <c r="E332" i="2"/>
  <c r="B333" i="3"/>
  <c r="C332" i="3"/>
  <c r="E332" i="3"/>
  <c r="I332" i="3" l="1"/>
  <c r="M332" i="3"/>
  <c r="N332" i="3" s="1"/>
  <c r="I332" i="2"/>
  <c r="M332" i="2"/>
  <c r="N332" i="2" s="1"/>
  <c r="D335" i="3"/>
  <c r="L335" i="3"/>
  <c r="J335" i="3"/>
  <c r="H335" i="3"/>
  <c r="F335" i="3"/>
  <c r="G335" i="3" s="1"/>
  <c r="A336" i="3"/>
  <c r="C333" i="3"/>
  <c r="B334" i="3"/>
  <c r="E333" i="3"/>
  <c r="L335" i="2"/>
  <c r="J335" i="2"/>
  <c r="D335" i="2"/>
  <c r="A336" i="2"/>
  <c r="H335" i="2"/>
  <c r="F335" i="2"/>
  <c r="G335" i="2" s="1"/>
  <c r="B334" i="2"/>
  <c r="C333" i="2"/>
  <c r="E333" i="2"/>
  <c r="C334" i="2" l="1"/>
  <c r="B335" i="2"/>
  <c r="E334" i="2"/>
  <c r="B335" i="3"/>
  <c r="C334" i="3"/>
  <c r="E334" i="3"/>
  <c r="I333" i="2"/>
  <c r="M333" i="2"/>
  <c r="N333" i="2" s="1"/>
  <c r="I333" i="3"/>
  <c r="M333" i="3"/>
  <c r="N333" i="3" s="1"/>
  <c r="A337" i="2"/>
  <c r="H336" i="2"/>
  <c r="J336" i="2"/>
  <c r="F336" i="2"/>
  <c r="G336" i="2" s="1"/>
  <c r="D336" i="2"/>
  <c r="L336" i="2"/>
  <c r="J336" i="3"/>
  <c r="H336" i="3"/>
  <c r="L336" i="3"/>
  <c r="A337" i="3"/>
  <c r="D336" i="3"/>
  <c r="F336" i="3"/>
  <c r="G336" i="3" s="1"/>
  <c r="I334" i="3" l="1"/>
  <c r="M334" i="3"/>
  <c r="N334" i="3" s="1"/>
  <c r="B336" i="3"/>
  <c r="C335" i="3"/>
  <c r="E335" i="3"/>
  <c r="F337" i="3"/>
  <c r="G337" i="3" s="1"/>
  <c r="D337" i="3"/>
  <c r="H337" i="3"/>
  <c r="J337" i="3"/>
  <c r="A338" i="3"/>
  <c r="L337" i="3"/>
  <c r="C335" i="2"/>
  <c r="B336" i="2"/>
  <c r="E335" i="2"/>
  <c r="I334" i="2"/>
  <c r="M334" i="2"/>
  <c r="N334" i="2" s="1"/>
  <c r="F337" i="2"/>
  <c r="G337" i="2" s="1"/>
  <c r="A338" i="2"/>
  <c r="D337" i="2"/>
  <c r="L337" i="2"/>
  <c r="J337" i="2"/>
  <c r="H337" i="2"/>
  <c r="I335" i="3" l="1"/>
  <c r="M335" i="3"/>
  <c r="N335" i="3" s="1"/>
  <c r="L338" i="3"/>
  <c r="J338" i="3"/>
  <c r="F338" i="3"/>
  <c r="G338" i="3" s="1"/>
  <c r="H338" i="3"/>
  <c r="D338" i="3"/>
  <c r="A339" i="3"/>
  <c r="I335" i="2"/>
  <c r="M335" i="2"/>
  <c r="N335" i="2" s="1"/>
  <c r="C336" i="2"/>
  <c r="B337" i="2"/>
  <c r="E336" i="2"/>
  <c r="B337" i="3"/>
  <c r="C336" i="3"/>
  <c r="E336" i="3"/>
  <c r="L338" i="2"/>
  <c r="A339" i="2"/>
  <c r="D338" i="2"/>
  <c r="J338" i="2"/>
  <c r="H338" i="2"/>
  <c r="F338" i="2"/>
  <c r="G338" i="2" s="1"/>
  <c r="H339" i="3" l="1"/>
  <c r="F339" i="3"/>
  <c r="G339" i="3" s="1"/>
  <c r="D339" i="3"/>
  <c r="A340" i="3"/>
  <c r="L339" i="3"/>
  <c r="J339" i="3"/>
  <c r="B338" i="3"/>
  <c r="C337" i="3"/>
  <c r="E337" i="3"/>
  <c r="I336" i="2"/>
  <c r="M336" i="2"/>
  <c r="N336" i="2" s="1"/>
  <c r="B338" i="2"/>
  <c r="C337" i="2"/>
  <c r="E337" i="2"/>
  <c r="I336" i="3"/>
  <c r="M336" i="3"/>
  <c r="N336" i="3" s="1"/>
  <c r="J339" i="2"/>
  <c r="L339" i="2"/>
  <c r="D339" i="2"/>
  <c r="F339" i="2"/>
  <c r="G339" i="2" s="1"/>
  <c r="H339" i="2"/>
  <c r="A340" i="2"/>
  <c r="H340" i="2" l="1"/>
  <c r="F340" i="2"/>
  <c r="G340" i="2" s="1"/>
  <c r="J340" i="2"/>
  <c r="D340" i="2"/>
  <c r="A341" i="2"/>
  <c r="L340" i="2"/>
  <c r="D340" i="3"/>
  <c r="L340" i="3"/>
  <c r="A341" i="3"/>
  <c r="F340" i="3"/>
  <c r="G340" i="3" s="1"/>
  <c r="J340" i="3"/>
  <c r="H340" i="3"/>
  <c r="I337" i="2"/>
  <c r="M337" i="2"/>
  <c r="N337" i="2" s="1"/>
  <c r="C338" i="3"/>
  <c r="B339" i="3"/>
  <c r="E338" i="3"/>
  <c r="C338" i="2"/>
  <c r="B339" i="2"/>
  <c r="E338" i="2"/>
  <c r="I337" i="3"/>
  <c r="M337" i="3"/>
  <c r="N337" i="3" s="1"/>
  <c r="I338" i="2" l="1"/>
  <c r="M338" i="2"/>
  <c r="N338" i="2" s="1"/>
  <c r="J341" i="3"/>
  <c r="H341" i="3"/>
  <c r="A342" i="3"/>
  <c r="D341" i="3"/>
  <c r="F341" i="3"/>
  <c r="G341" i="3" s="1"/>
  <c r="L341" i="3"/>
  <c r="B340" i="3"/>
  <c r="C339" i="3"/>
  <c r="E339" i="3"/>
  <c r="A342" i="2"/>
  <c r="F341" i="2"/>
  <c r="G341" i="2" s="1"/>
  <c r="D341" i="2"/>
  <c r="J341" i="2"/>
  <c r="H341" i="2"/>
  <c r="L341" i="2"/>
  <c r="C339" i="2"/>
  <c r="B340" i="2"/>
  <c r="E339" i="2"/>
  <c r="I338" i="3"/>
  <c r="M338" i="3"/>
  <c r="N338" i="3" s="1"/>
  <c r="L342" i="2" l="1"/>
  <c r="A343" i="2"/>
  <c r="D342" i="2"/>
  <c r="J342" i="2"/>
  <c r="F342" i="2"/>
  <c r="G342" i="2" s="1"/>
  <c r="H342" i="2"/>
  <c r="I339" i="3"/>
  <c r="M339" i="3"/>
  <c r="N339" i="3" s="1"/>
  <c r="F342" i="3"/>
  <c r="G342" i="3" s="1"/>
  <c r="D342" i="3"/>
  <c r="L342" i="3"/>
  <c r="A343" i="3"/>
  <c r="J342" i="3"/>
  <c r="H342" i="3"/>
  <c r="I339" i="2"/>
  <c r="M339" i="2"/>
  <c r="N339" i="2" s="1"/>
  <c r="C340" i="2"/>
  <c r="B341" i="2"/>
  <c r="E340" i="2"/>
  <c r="B341" i="3"/>
  <c r="C340" i="3"/>
  <c r="E340" i="3"/>
  <c r="C341" i="3" l="1"/>
  <c r="B342" i="3"/>
  <c r="E341" i="3"/>
  <c r="L343" i="2"/>
  <c r="J343" i="2"/>
  <c r="D343" i="2"/>
  <c r="A344" i="2"/>
  <c r="H343" i="2"/>
  <c r="F343" i="2"/>
  <c r="G343" i="2" s="1"/>
  <c r="L343" i="3"/>
  <c r="J343" i="3"/>
  <c r="D343" i="3"/>
  <c r="A344" i="3"/>
  <c r="H343" i="3"/>
  <c r="F343" i="3"/>
  <c r="G343" i="3" s="1"/>
  <c r="B342" i="2"/>
  <c r="C341" i="2"/>
  <c r="E341" i="2"/>
  <c r="I340" i="3"/>
  <c r="M340" i="3"/>
  <c r="N340" i="3" s="1"/>
  <c r="I340" i="2"/>
  <c r="M340" i="2"/>
  <c r="N340" i="2" s="1"/>
  <c r="C342" i="2" l="1"/>
  <c r="B343" i="2"/>
  <c r="E342" i="2"/>
  <c r="H344" i="3"/>
  <c r="F344" i="3"/>
  <c r="G344" i="3" s="1"/>
  <c r="J344" i="3"/>
  <c r="L344" i="3"/>
  <c r="D344" i="3"/>
  <c r="A345" i="3"/>
  <c r="I341" i="3"/>
  <c r="M341" i="3"/>
  <c r="N341" i="3" s="1"/>
  <c r="A345" i="2"/>
  <c r="J344" i="2"/>
  <c r="H344" i="2"/>
  <c r="F344" i="2"/>
  <c r="G344" i="2" s="1"/>
  <c r="D344" i="2"/>
  <c r="L344" i="2"/>
  <c r="I341" i="2"/>
  <c r="M341" i="2"/>
  <c r="N341" i="2" s="1"/>
  <c r="B343" i="3"/>
  <c r="C342" i="3"/>
  <c r="E342" i="3"/>
  <c r="I342" i="2" l="1"/>
  <c r="M342" i="2"/>
  <c r="N342" i="2" s="1"/>
  <c r="C343" i="3"/>
  <c r="B344" i="3"/>
  <c r="E343" i="3"/>
  <c r="C343" i="2"/>
  <c r="B344" i="2"/>
  <c r="E343" i="2"/>
  <c r="I342" i="3"/>
  <c r="M342" i="3"/>
  <c r="N342" i="3" s="1"/>
  <c r="H345" i="2"/>
  <c r="F345" i="2"/>
  <c r="G345" i="2" s="1"/>
  <c r="J345" i="2"/>
  <c r="A346" i="2"/>
  <c r="L345" i="2"/>
  <c r="D345" i="2"/>
  <c r="D345" i="3"/>
  <c r="L345" i="3"/>
  <c r="H345" i="3"/>
  <c r="J345" i="3"/>
  <c r="A346" i="3"/>
  <c r="F345" i="3"/>
  <c r="G345" i="3" s="1"/>
  <c r="C344" i="2" l="1"/>
  <c r="B345" i="2"/>
  <c r="E344" i="2"/>
  <c r="I343" i="3"/>
  <c r="M343" i="3"/>
  <c r="N343" i="3" s="1"/>
  <c r="I343" i="2"/>
  <c r="M343" i="2"/>
  <c r="N343" i="2" s="1"/>
  <c r="A347" i="2"/>
  <c r="H346" i="2"/>
  <c r="F346" i="2"/>
  <c r="G346" i="2" s="1"/>
  <c r="D346" i="2"/>
  <c r="L346" i="2"/>
  <c r="J346" i="2"/>
  <c r="B345" i="3"/>
  <c r="C344" i="3"/>
  <c r="E344" i="3"/>
  <c r="J346" i="3"/>
  <c r="H346" i="3"/>
  <c r="F346" i="3"/>
  <c r="G346" i="3" s="1"/>
  <c r="D346" i="3"/>
  <c r="L346" i="3"/>
  <c r="A347" i="3"/>
  <c r="B346" i="3" l="1"/>
  <c r="C345" i="3"/>
  <c r="E345" i="3"/>
  <c r="I344" i="2"/>
  <c r="M344" i="2"/>
  <c r="N344" i="2" s="1"/>
  <c r="F347" i="2"/>
  <c r="G347" i="2" s="1"/>
  <c r="D347" i="2"/>
  <c r="H347" i="2"/>
  <c r="J347" i="2"/>
  <c r="L347" i="2"/>
  <c r="A348" i="2"/>
  <c r="F347" i="3"/>
  <c r="G347" i="3" s="1"/>
  <c r="D347" i="3"/>
  <c r="H347" i="3"/>
  <c r="J347" i="3"/>
  <c r="A348" i="3"/>
  <c r="L347" i="3"/>
  <c r="B346" i="2"/>
  <c r="C345" i="2"/>
  <c r="E345" i="2"/>
  <c r="I344" i="3"/>
  <c r="M344" i="3"/>
  <c r="N344" i="3" s="1"/>
  <c r="L348" i="3" l="1"/>
  <c r="J348" i="3"/>
  <c r="D348" i="3"/>
  <c r="A349" i="3"/>
  <c r="F348" i="3"/>
  <c r="G348" i="3" s="1"/>
  <c r="H348" i="3"/>
  <c r="D348" i="2"/>
  <c r="A349" i="2"/>
  <c r="L348" i="2"/>
  <c r="J348" i="2"/>
  <c r="H348" i="2"/>
  <c r="F348" i="2"/>
  <c r="G348" i="2" s="1"/>
  <c r="I345" i="2"/>
  <c r="M345" i="2"/>
  <c r="N345" i="2" s="1"/>
  <c r="I345" i="3"/>
  <c r="M345" i="3"/>
  <c r="N345" i="3" s="1"/>
  <c r="B347" i="2"/>
  <c r="C346" i="2"/>
  <c r="E346" i="2"/>
  <c r="B347" i="3"/>
  <c r="C346" i="3"/>
  <c r="E346" i="3"/>
  <c r="A350" i="2" l="1"/>
  <c r="L349" i="2"/>
  <c r="D349" i="2"/>
  <c r="F349" i="2"/>
  <c r="G349" i="2" s="1"/>
  <c r="J349" i="2"/>
  <c r="H349" i="2"/>
  <c r="B348" i="3"/>
  <c r="C347" i="3"/>
  <c r="E347" i="3"/>
  <c r="I346" i="3"/>
  <c r="M346" i="3"/>
  <c r="N346" i="3" s="1"/>
  <c r="H349" i="3"/>
  <c r="F349" i="3"/>
  <c r="G349" i="3" s="1"/>
  <c r="A350" i="3"/>
  <c r="D349" i="3"/>
  <c r="L349" i="3"/>
  <c r="J349" i="3"/>
  <c r="I346" i="2"/>
  <c r="M346" i="2"/>
  <c r="N346" i="2" s="1"/>
  <c r="C347" i="2"/>
  <c r="B348" i="2"/>
  <c r="E347" i="2"/>
  <c r="B349" i="3" l="1"/>
  <c r="C348" i="3"/>
  <c r="E348" i="3"/>
  <c r="D350" i="3"/>
  <c r="L350" i="3"/>
  <c r="A351" i="3"/>
  <c r="H350" i="3"/>
  <c r="F350" i="3"/>
  <c r="G350" i="3" s="1"/>
  <c r="J350" i="3"/>
  <c r="B349" i="2"/>
  <c r="C348" i="2"/>
  <c r="E348" i="2"/>
  <c r="I347" i="2"/>
  <c r="M347" i="2"/>
  <c r="N347" i="2" s="1"/>
  <c r="I347" i="3"/>
  <c r="M347" i="3"/>
  <c r="N347" i="3" s="1"/>
  <c r="L350" i="2"/>
  <c r="A351" i="2"/>
  <c r="F350" i="2"/>
  <c r="G350" i="2" s="1"/>
  <c r="D350" i="2"/>
  <c r="H350" i="2"/>
  <c r="J350" i="2"/>
  <c r="J351" i="3" l="1"/>
  <c r="H351" i="3"/>
  <c r="L351" i="3"/>
  <c r="A352" i="3"/>
  <c r="D351" i="3"/>
  <c r="F351" i="3"/>
  <c r="G351" i="3" s="1"/>
  <c r="I348" i="2"/>
  <c r="M348" i="2"/>
  <c r="N348" i="2" s="1"/>
  <c r="I348" i="3"/>
  <c r="M348" i="3"/>
  <c r="N348" i="3" s="1"/>
  <c r="C349" i="2"/>
  <c r="B350" i="2"/>
  <c r="E349" i="2"/>
  <c r="A352" i="2"/>
  <c r="L351" i="2"/>
  <c r="J351" i="2"/>
  <c r="H351" i="2"/>
  <c r="F351" i="2"/>
  <c r="G351" i="2" s="1"/>
  <c r="D351" i="2"/>
  <c r="B350" i="3"/>
  <c r="C349" i="3"/>
  <c r="E349" i="3"/>
  <c r="I349" i="3" l="1"/>
  <c r="M349" i="3"/>
  <c r="N349" i="3" s="1"/>
  <c r="I349" i="2"/>
  <c r="M349" i="2"/>
  <c r="N349" i="2" s="1"/>
  <c r="B351" i="3"/>
  <c r="C350" i="3"/>
  <c r="E350" i="3"/>
  <c r="J352" i="2"/>
  <c r="H352" i="2"/>
  <c r="L352" i="2"/>
  <c r="D352" i="2"/>
  <c r="A353" i="2"/>
  <c r="F352" i="2"/>
  <c r="G352" i="2" s="1"/>
  <c r="F352" i="3"/>
  <c r="G352" i="3" s="1"/>
  <c r="D352" i="3"/>
  <c r="J352" i="3"/>
  <c r="L352" i="3"/>
  <c r="A353" i="3"/>
  <c r="H352" i="3"/>
  <c r="C350" i="2"/>
  <c r="B351" i="2"/>
  <c r="E350" i="2"/>
  <c r="L353" i="3" l="1"/>
  <c r="J353" i="3"/>
  <c r="H353" i="3"/>
  <c r="F353" i="3"/>
  <c r="G353" i="3" s="1"/>
  <c r="D353" i="3"/>
  <c r="A354" i="3"/>
  <c r="I350" i="3"/>
  <c r="M350" i="3"/>
  <c r="N350" i="3" s="1"/>
  <c r="I350" i="2"/>
  <c r="M350" i="2"/>
  <c r="N350" i="2" s="1"/>
  <c r="B352" i="2"/>
  <c r="C351" i="2"/>
  <c r="E351" i="2"/>
  <c r="B352" i="3"/>
  <c r="C351" i="3"/>
  <c r="E351" i="3"/>
  <c r="J353" i="2"/>
  <c r="H353" i="2"/>
  <c r="F353" i="2"/>
  <c r="G353" i="2" s="1"/>
  <c r="D353" i="2"/>
  <c r="L353" i="2"/>
  <c r="A354" i="2"/>
  <c r="I351" i="3" l="1"/>
  <c r="M351" i="3"/>
  <c r="N351" i="3" s="1"/>
  <c r="A355" i="2"/>
  <c r="H354" i="2"/>
  <c r="F354" i="2"/>
  <c r="G354" i="2" s="1"/>
  <c r="L354" i="2"/>
  <c r="J354" i="2"/>
  <c r="D354" i="2"/>
  <c r="B353" i="3"/>
  <c r="C352" i="3"/>
  <c r="E352" i="3"/>
  <c r="I351" i="2"/>
  <c r="M351" i="2"/>
  <c r="N351" i="2" s="1"/>
  <c r="H354" i="3"/>
  <c r="F354" i="3"/>
  <c r="G354" i="3" s="1"/>
  <c r="J354" i="3"/>
  <c r="A355" i="3"/>
  <c r="L354" i="3"/>
  <c r="D354" i="3"/>
  <c r="C352" i="2"/>
  <c r="B353" i="2"/>
  <c r="E352" i="2"/>
  <c r="C353" i="2" l="1"/>
  <c r="B354" i="2"/>
  <c r="E353" i="2"/>
  <c r="I352" i="3"/>
  <c r="M352" i="3"/>
  <c r="N352" i="3" s="1"/>
  <c r="F355" i="2"/>
  <c r="G355" i="2" s="1"/>
  <c r="D355" i="2"/>
  <c r="A356" i="2"/>
  <c r="L355" i="2"/>
  <c r="J355" i="2"/>
  <c r="H355" i="2"/>
  <c r="A356" i="3"/>
  <c r="D355" i="3"/>
  <c r="J355" i="3"/>
  <c r="H355" i="3"/>
  <c r="L355" i="3"/>
  <c r="F355" i="3"/>
  <c r="G355" i="3" s="1"/>
  <c r="I352" i="2"/>
  <c r="M352" i="2"/>
  <c r="N352" i="2" s="1"/>
  <c r="C353" i="3"/>
  <c r="B354" i="3"/>
  <c r="E353" i="3"/>
  <c r="I353" i="2" l="1"/>
  <c r="M353" i="2"/>
  <c r="N353" i="2" s="1"/>
  <c r="A357" i="2"/>
  <c r="D356" i="2"/>
  <c r="F356" i="2"/>
  <c r="G356" i="2" s="1"/>
  <c r="H356" i="2"/>
  <c r="J356" i="2"/>
  <c r="L356" i="2"/>
  <c r="C354" i="2"/>
  <c r="B355" i="2"/>
  <c r="E354" i="2"/>
  <c r="I353" i="3"/>
  <c r="M353" i="3"/>
  <c r="N353" i="3" s="1"/>
  <c r="B355" i="3"/>
  <c r="C354" i="3"/>
  <c r="E354" i="3"/>
  <c r="A357" i="3"/>
  <c r="L356" i="3"/>
  <c r="J356" i="3"/>
  <c r="H356" i="3"/>
  <c r="F356" i="3"/>
  <c r="G356" i="3" s="1"/>
  <c r="D356" i="3"/>
  <c r="A358" i="3" l="1"/>
  <c r="L357" i="3"/>
  <c r="J357" i="3"/>
  <c r="D357" i="3"/>
  <c r="F357" i="3"/>
  <c r="G357" i="3" s="1"/>
  <c r="H357" i="3"/>
  <c r="I354" i="2"/>
  <c r="M354" i="2"/>
  <c r="N354" i="2" s="1"/>
  <c r="D357" i="2"/>
  <c r="A358" i="2"/>
  <c r="L357" i="2"/>
  <c r="J357" i="2"/>
  <c r="H357" i="2"/>
  <c r="F357" i="2"/>
  <c r="G357" i="2" s="1"/>
  <c r="I354" i="3"/>
  <c r="M354" i="3"/>
  <c r="N354" i="3" s="1"/>
  <c r="C355" i="3"/>
  <c r="B356" i="3"/>
  <c r="E355" i="3"/>
  <c r="B356" i="2"/>
  <c r="C355" i="2"/>
  <c r="E355" i="2"/>
  <c r="I355" i="2" l="1"/>
  <c r="M355" i="2"/>
  <c r="N355" i="2" s="1"/>
  <c r="L358" i="2"/>
  <c r="A359" i="2"/>
  <c r="D358" i="2"/>
  <c r="J358" i="2"/>
  <c r="H358" i="2"/>
  <c r="F358" i="2"/>
  <c r="G358" i="2" s="1"/>
  <c r="B357" i="2"/>
  <c r="C356" i="2"/>
  <c r="E356" i="2"/>
  <c r="C356" i="3"/>
  <c r="B357" i="3"/>
  <c r="E356" i="3"/>
  <c r="I355" i="3"/>
  <c r="M355" i="3"/>
  <c r="N355" i="3" s="1"/>
  <c r="A359" i="3"/>
  <c r="L358" i="3"/>
  <c r="J358" i="3"/>
  <c r="H358" i="3"/>
  <c r="F358" i="3"/>
  <c r="G358" i="3" s="1"/>
  <c r="D358" i="3"/>
  <c r="I356" i="3" l="1"/>
  <c r="M356" i="3"/>
  <c r="N356" i="3" s="1"/>
  <c r="I356" i="2"/>
  <c r="M356" i="2"/>
  <c r="N356" i="2" s="1"/>
  <c r="A360" i="3"/>
  <c r="D359" i="3"/>
  <c r="J359" i="3"/>
  <c r="H359" i="3"/>
  <c r="F359" i="3"/>
  <c r="G359" i="3" s="1"/>
  <c r="L359" i="3"/>
  <c r="B358" i="3"/>
  <c r="C357" i="3"/>
  <c r="E357" i="3"/>
  <c r="A360" i="2"/>
  <c r="L359" i="2"/>
  <c r="J359" i="2"/>
  <c r="F359" i="2"/>
  <c r="G359" i="2" s="1"/>
  <c r="D359" i="2"/>
  <c r="H359" i="2"/>
  <c r="C357" i="2"/>
  <c r="B358" i="2"/>
  <c r="E357" i="2"/>
  <c r="C358" i="2" l="1"/>
  <c r="B359" i="2"/>
  <c r="E358" i="2"/>
  <c r="A361" i="3"/>
  <c r="D360" i="3"/>
  <c r="J360" i="3"/>
  <c r="H360" i="3"/>
  <c r="L360" i="3"/>
  <c r="F360" i="3"/>
  <c r="G360" i="3" s="1"/>
  <c r="I357" i="2"/>
  <c r="M357" i="2"/>
  <c r="N357" i="2" s="1"/>
  <c r="L360" i="2"/>
  <c r="J360" i="2"/>
  <c r="H360" i="2"/>
  <c r="A361" i="2"/>
  <c r="F360" i="2"/>
  <c r="G360" i="2" s="1"/>
  <c r="D360" i="2"/>
  <c r="I357" i="3"/>
  <c r="M357" i="3"/>
  <c r="N357" i="3" s="1"/>
  <c r="C358" i="3"/>
  <c r="B359" i="3"/>
  <c r="E358" i="3"/>
  <c r="I358" i="3" l="1"/>
  <c r="M358" i="3"/>
  <c r="N358" i="3" s="1"/>
  <c r="I358" i="2"/>
  <c r="M358" i="2"/>
  <c r="N358" i="2" s="1"/>
  <c r="B360" i="3"/>
  <c r="C359" i="3"/>
  <c r="E359" i="3"/>
  <c r="C359" i="2"/>
  <c r="B360" i="2"/>
  <c r="E359" i="2"/>
  <c r="A362" i="2"/>
  <c r="J361" i="2"/>
  <c r="H361" i="2"/>
  <c r="L361" i="2"/>
  <c r="F361" i="2"/>
  <c r="G361" i="2" s="1"/>
  <c r="D361" i="2"/>
  <c r="J361" i="3"/>
  <c r="D361" i="3"/>
  <c r="A362" i="3"/>
  <c r="L361" i="3"/>
  <c r="H361" i="3"/>
  <c r="F361" i="3"/>
  <c r="G361" i="3" s="1"/>
  <c r="I359" i="2" l="1"/>
  <c r="M359" i="2"/>
  <c r="N359" i="2" s="1"/>
  <c r="B361" i="2"/>
  <c r="C360" i="2"/>
  <c r="E360" i="2"/>
  <c r="I359" i="3"/>
  <c r="M359" i="3"/>
  <c r="N359" i="3" s="1"/>
  <c r="C360" i="3"/>
  <c r="B361" i="3"/>
  <c r="E360" i="3"/>
  <c r="A363" i="3"/>
  <c r="F362" i="3"/>
  <c r="G362" i="3" s="1"/>
  <c r="D362" i="3"/>
  <c r="H362" i="3"/>
  <c r="L362" i="3"/>
  <c r="J362" i="3"/>
  <c r="H362" i="2"/>
  <c r="F362" i="2"/>
  <c r="G362" i="2" s="1"/>
  <c r="D362" i="2"/>
  <c r="J362" i="2"/>
  <c r="L362" i="2"/>
  <c r="A363" i="2"/>
  <c r="I360" i="3" l="1"/>
  <c r="M360" i="3"/>
  <c r="N360" i="3" s="1"/>
  <c r="C361" i="3"/>
  <c r="B362" i="3"/>
  <c r="E361" i="3"/>
  <c r="F363" i="2"/>
  <c r="G363" i="2" s="1"/>
  <c r="D363" i="2"/>
  <c r="H363" i="2"/>
  <c r="L363" i="2"/>
  <c r="J363" i="2"/>
  <c r="A364" i="2"/>
  <c r="I360" i="2"/>
  <c r="M360" i="2"/>
  <c r="N360" i="2" s="1"/>
  <c r="B362" i="2"/>
  <c r="C361" i="2"/>
  <c r="E361" i="2"/>
  <c r="H363" i="3"/>
  <c r="F363" i="3"/>
  <c r="G363" i="3" s="1"/>
  <c r="D363" i="3"/>
  <c r="L363" i="3"/>
  <c r="J363" i="3"/>
  <c r="A364" i="3"/>
  <c r="C362" i="3" l="1"/>
  <c r="B363" i="3"/>
  <c r="E362" i="3"/>
  <c r="A365" i="3"/>
  <c r="J364" i="3"/>
  <c r="H364" i="3"/>
  <c r="F364" i="3"/>
  <c r="G364" i="3" s="1"/>
  <c r="D364" i="3"/>
  <c r="L364" i="3"/>
  <c r="A365" i="2"/>
  <c r="F364" i="2"/>
  <c r="G364" i="2" s="1"/>
  <c r="D364" i="2"/>
  <c r="L364" i="2"/>
  <c r="J364" i="2"/>
  <c r="H364" i="2"/>
  <c r="I361" i="2"/>
  <c r="M361" i="2"/>
  <c r="N361" i="2" s="1"/>
  <c r="C362" i="2"/>
  <c r="B363" i="2"/>
  <c r="E362" i="2"/>
  <c r="I361" i="3"/>
  <c r="M361" i="3"/>
  <c r="N361" i="3" s="1"/>
  <c r="A366" i="3" l="1"/>
  <c r="D365" i="3"/>
  <c r="J365" i="3"/>
  <c r="H365" i="3"/>
  <c r="F365" i="3"/>
  <c r="G365" i="3" s="1"/>
  <c r="L365" i="3"/>
  <c r="I362" i="3"/>
  <c r="M362" i="3"/>
  <c r="N362" i="3" s="1"/>
  <c r="I362" i="2"/>
  <c r="M362" i="2"/>
  <c r="N362" i="2" s="1"/>
  <c r="D365" i="2"/>
  <c r="A366" i="2"/>
  <c r="F365" i="2"/>
  <c r="G365" i="2" s="1"/>
  <c r="H365" i="2"/>
  <c r="L365" i="2"/>
  <c r="J365" i="2"/>
  <c r="C363" i="3"/>
  <c r="B364" i="3"/>
  <c r="E363" i="3"/>
  <c r="B364" i="2"/>
  <c r="C363" i="2"/>
  <c r="E363" i="2"/>
  <c r="C364" i="2" l="1"/>
  <c r="B365" i="2"/>
  <c r="E364" i="2"/>
  <c r="A367" i="2"/>
  <c r="L366" i="2"/>
  <c r="J366" i="2"/>
  <c r="H366" i="2"/>
  <c r="F366" i="2"/>
  <c r="G366" i="2" s="1"/>
  <c r="D366" i="2"/>
  <c r="C364" i="3"/>
  <c r="B365" i="3"/>
  <c r="E364" i="3"/>
  <c r="I363" i="2"/>
  <c r="M363" i="2"/>
  <c r="N363" i="2" s="1"/>
  <c r="I363" i="3"/>
  <c r="M363" i="3"/>
  <c r="N363" i="3" s="1"/>
  <c r="A367" i="3"/>
  <c r="L366" i="3"/>
  <c r="J366" i="3"/>
  <c r="H366" i="3"/>
  <c r="F366" i="3"/>
  <c r="G366" i="3" s="1"/>
  <c r="D366" i="3"/>
  <c r="I364" i="2" l="1"/>
  <c r="M364" i="2"/>
  <c r="N364" i="2" s="1"/>
  <c r="A368" i="3"/>
  <c r="L367" i="3"/>
  <c r="J367" i="3"/>
  <c r="H367" i="3"/>
  <c r="F367" i="3"/>
  <c r="G367" i="3" s="1"/>
  <c r="D367" i="3"/>
  <c r="I364" i="3"/>
  <c r="M364" i="3"/>
  <c r="N364" i="3" s="1"/>
  <c r="B366" i="2"/>
  <c r="C365" i="2"/>
  <c r="E365" i="2"/>
  <c r="L367" i="2"/>
  <c r="J367" i="2"/>
  <c r="A368" i="2"/>
  <c r="D367" i="2"/>
  <c r="H367" i="2"/>
  <c r="F367" i="2"/>
  <c r="G367" i="2" s="1"/>
  <c r="C365" i="3"/>
  <c r="B366" i="3"/>
  <c r="E365" i="3"/>
  <c r="I365" i="2" l="1"/>
  <c r="M365" i="2"/>
  <c r="N365" i="2" s="1"/>
  <c r="L368" i="3"/>
  <c r="A369" i="3"/>
  <c r="J368" i="3"/>
  <c r="H368" i="3"/>
  <c r="F368" i="3"/>
  <c r="G368" i="3" s="1"/>
  <c r="D368" i="3"/>
  <c r="L368" i="2"/>
  <c r="J368" i="2"/>
  <c r="D368" i="2"/>
  <c r="F368" i="2"/>
  <c r="G368" i="2" s="1"/>
  <c r="H368" i="2"/>
  <c r="A369" i="2"/>
  <c r="C366" i="3"/>
  <c r="B367" i="3"/>
  <c r="E366" i="3"/>
  <c r="I365" i="3"/>
  <c r="M365" i="3"/>
  <c r="N365" i="3" s="1"/>
  <c r="B367" i="2"/>
  <c r="C366" i="2"/>
  <c r="E366" i="2"/>
  <c r="A370" i="2" l="1"/>
  <c r="J369" i="2"/>
  <c r="H369" i="2"/>
  <c r="L369" i="2"/>
  <c r="F369" i="2"/>
  <c r="G369" i="2" s="1"/>
  <c r="D369" i="2"/>
  <c r="I366" i="2"/>
  <c r="M366" i="2"/>
  <c r="N366" i="2" s="1"/>
  <c r="H369" i="3"/>
  <c r="A370" i="3"/>
  <c r="D369" i="3"/>
  <c r="L369" i="3"/>
  <c r="J369" i="3"/>
  <c r="F369" i="3"/>
  <c r="G369" i="3" s="1"/>
  <c r="B368" i="3"/>
  <c r="C367" i="3"/>
  <c r="E367" i="3"/>
  <c r="C367" i="2"/>
  <c r="B368" i="2"/>
  <c r="E367" i="2"/>
  <c r="I366" i="3"/>
  <c r="M366" i="3"/>
  <c r="N366" i="3" s="1"/>
  <c r="C368" i="2" l="1"/>
  <c r="B369" i="2"/>
  <c r="E368" i="2"/>
  <c r="A371" i="3"/>
  <c r="D370" i="3"/>
  <c r="L370" i="3"/>
  <c r="J370" i="3"/>
  <c r="F370" i="3"/>
  <c r="G370" i="3" s="1"/>
  <c r="H370" i="3"/>
  <c r="C368" i="3"/>
  <c r="B369" i="3"/>
  <c r="E368" i="3"/>
  <c r="I367" i="2"/>
  <c r="M367" i="2"/>
  <c r="N367" i="2" s="1"/>
  <c r="I367" i="3"/>
  <c r="M367" i="3"/>
  <c r="N367" i="3" s="1"/>
  <c r="H370" i="2"/>
  <c r="F370" i="2"/>
  <c r="G370" i="2" s="1"/>
  <c r="J370" i="2"/>
  <c r="A371" i="2"/>
  <c r="L370" i="2"/>
  <c r="D370" i="2"/>
  <c r="C369" i="3" l="1"/>
  <c r="B370" i="3"/>
  <c r="E369" i="3"/>
  <c r="I368" i="2"/>
  <c r="M368" i="2"/>
  <c r="N368" i="2" s="1"/>
  <c r="J371" i="3"/>
  <c r="L371" i="3"/>
  <c r="H371" i="3"/>
  <c r="F371" i="3"/>
  <c r="G371" i="3" s="1"/>
  <c r="D371" i="3"/>
  <c r="A372" i="3"/>
  <c r="A372" i="2"/>
  <c r="H371" i="2"/>
  <c r="F371" i="2"/>
  <c r="G371" i="2" s="1"/>
  <c r="D371" i="2"/>
  <c r="J371" i="2"/>
  <c r="L371" i="2"/>
  <c r="C369" i="2"/>
  <c r="B370" i="2"/>
  <c r="E369" i="2"/>
  <c r="I368" i="3"/>
  <c r="M368" i="3"/>
  <c r="N368" i="3" s="1"/>
  <c r="F372" i="3" l="1"/>
  <c r="G372" i="3" s="1"/>
  <c r="A373" i="3"/>
  <c r="L372" i="3"/>
  <c r="J372" i="3"/>
  <c r="H372" i="3"/>
  <c r="D372" i="3"/>
  <c r="I369" i="3"/>
  <c r="M369" i="3"/>
  <c r="N369" i="3" s="1"/>
  <c r="C370" i="3"/>
  <c r="B371" i="3"/>
  <c r="E370" i="3"/>
  <c r="I369" i="2"/>
  <c r="M369" i="2"/>
  <c r="N369" i="2" s="1"/>
  <c r="F372" i="2"/>
  <c r="G372" i="2" s="1"/>
  <c r="D372" i="2"/>
  <c r="L372" i="2"/>
  <c r="J372" i="2"/>
  <c r="H372" i="2"/>
  <c r="A373" i="2"/>
  <c r="B371" i="2"/>
  <c r="C370" i="2"/>
  <c r="E370" i="2"/>
  <c r="A374" i="2" l="1"/>
  <c r="D373" i="2"/>
  <c r="F373" i="2"/>
  <c r="G373" i="2" s="1"/>
  <c r="L373" i="2"/>
  <c r="J373" i="2"/>
  <c r="H373" i="2"/>
  <c r="I370" i="3"/>
  <c r="M370" i="3"/>
  <c r="N370" i="3" s="1"/>
  <c r="I370" i="2"/>
  <c r="M370" i="2"/>
  <c r="N370" i="2" s="1"/>
  <c r="C371" i="2"/>
  <c r="B372" i="2"/>
  <c r="E371" i="2"/>
  <c r="C371" i="3"/>
  <c r="B372" i="3"/>
  <c r="E371" i="3"/>
  <c r="L373" i="3"/>
  <c r="A374" i="3"/>
  <c r="J373" i="3"/>
  <c r="D373" i="3"/>
  <c r="F373" i="3"/>
  <c r="G373" i="3" s="1"/>
  <c r="H373" i="3"/>
  <c r="I371" i="3" l="1"/>
  <c r="M371" i="3"/>
  <c r="N371" i="3" s="1"/>
  <c r="B373" i="3"/>
  <c r="C372" i="3"/>
  <c r="E372" i="3"/>
  <c r="I371" i="2"/>
  <c r="M371" i="2"/>
  <c r="N371" i="2" s="1"/>
  <c r="C372" i="2"/>
  <c r="B373" i="2"/>
  <c r="E372" i="2"/>
  <c r="H374" i="3"/>
  <c r="L374" i="3"/>
  <c r="F374" i="3"/>
  <c r="G374" i="3" s="1"/>
  <c r="D374" i="3"/>
  <c r="J374" i="3"/>
  <c r="A375" i="3"/>
  <c r="A375" i="2"/>
  <c r="F374" i="2"/>
  <c r="G374" i="2" s="1"/>
  <c r="D374" i="2"/>
  <c r="H374" i="2"/>
  <c r="J374" i="2"/>
  <c r="L374" i="2"/>
  <c r="D375" i="2" l="1"/>
  <c r="F375" i="2"/>
  <c r="G375" i="2" s="1"/>
  <c r="A376" i="2"/>
  <c r="L375" i="2"/>
  <c r="J375" i="2"/>
  <c r="H375" i="2"/>
  <c r="A376" i="3"/>
  <c r="D375" i="3"/>
  <c r="L375" i="3"/>
  <c r="J375" i="3"/>
  <c r="H375" i="3"/>
  <c r="F375" i="3"/>
  <c r="G375" i="3" s="1"/>
  <c r="I372" i="2"/>
  <c r="M372" i="2"/>
  <c r="N372" i="2" s="1"/>
  <c r="C373" i="2"/>
  <c r="B374" i="2"/>
  <c r="E373" i="2"/>
  <c r="I372" i="3"/>
  <c r="M372" i="3"/>
  <c r="N372" i="3" s="1"/>
  <c r="C373" i="3"/>
  <c r="B374" i="3"/>
  <c r="E373" i="3"/>
  <c r="C374" i="2" l="1"/>
  <c r="B375" i="2"/>
  <c r="E374" i="2"/>
  <c r="J376" i="3"/>
  <c r="A377" i="3"/>
  <c r="L376" i="3"/>
  <c r="D376" i="3"/>
  <c r="H376" i="3"/>
  <c r="F376" i="3"/>
  <c r="G376" i="3" s="1"/>
  <c r="C374" i="3"/>
  <c r="B375" i="3"/>
  <c r="E374" i="3"/>
  <c r="A377" i="2"/>
  <c r="D376" i="2"/>
  <c r="F376" i="2"/>
  <c r="G376" i="2" s="1"/>
  <c r="H376" i="2"/>
  <c r="L376" i="2"/>
  <c r="J376" i="2"/>
  <c r="I373" i="3"/>
  <c r="M373" i="3"/>
  <c r="N373" i="3" s="1"/>
  <c r="I373" i="2"/>
  <c r="M373" i="2"/>
  <c r="N373" i="2" s="1"/>
  <c r="F377" i="3" l="1"/>
  <c r="G377" i="3" s="1"/>
  <c r="A378" i="3"/>
  <c r="L377" i="3"/>
  <c r="H377" i="3"/>
  <c r="D377" i="3"/>
  <c r="J377" i="3"/>
  <c r="I374" i="2"/>
  <c r="M374" i="2"/>
  <c r="N374" i="2" s="1"/>
  <c r="C375" i="3"/>
  <c r="B376" i="3"/>
  <c r="E375" i="3"/>
  <c r="B376" i="2"/>
  <c r="C375" i="2"/>
  <c r="E375" i="2"/>
  <c r="D377" i="2"/>
  <c r="F377" i="2"/>
  <c r="G377" i="2" s="1"/>
  <c r="L377" i="2"/>
  <c r="J377" i="2"/>
  <c r="H377" i="2"/>
  <c r="A378" i="2"/>
  <c r="I374" i="3"/>
  <c r="M374" i="3"/>
  <c r="N374" i="3" s="1"/>
  <c r="I375" i="2" l="1"/>
  <c r="M375" i="2"/>
  <c r="N375" i="2" s="1"/>
  <c r="C376" i="2"/>
  <c r="B377" i="2"/>
  <c r="E376" i="2"/>
  <c r="I375" i="3"/>
  <c r="M375" i="3"/>
  <c r="N375" i="3" s="1"/>
  <c r="C376" i="3"/>
  <c r="B377" i="3"/>
  <c r="E376" i="3"/>
  <c r="L378" i="3"/>
  <c r="A379" i="3"/>
  <c r="J378" i="3"/>
  <c r="H378" i="3"/>
  <c r="F378" i="3"/>
  <c r="G378" i="3" s="1"/>
  <c r="D378" i="3"/>
  <c r="H378" i="2"/>
  <c r="D378" i="2"/>
  <c r="A379" i="2"/>
  <c r="F378" i="2"/>
  <c r="G378" i="2" s="1"/>
  <c r="J378" i="2"/>
  <c r="L378" i="2"/>
  <c r="I376" i="3" l="1"/>
  <c r="M376" i="3"/>
  <c r="N376" i="3" s="1"/>
  <c r="C377" i="2"/>
  <c r="B378" i="2"/>
  <c r="E377" i="2"/>
  <c r="B378" i="3"/>
  <c r="C377" i="3"/>
  <c r="E377" i="3"/>
  <c r="I376" i="2"/>
  <c r="M376" i="2"/>
  <c r="N376" i="2" s="1"/>
  <c r="H379" i="3"/>
  <c r="A380" i="3"/>
  <c r="L379" i="3"/>
  <c r="D379" i="3"/>
  <c r="J379" i="3"/>
  <c r="F379" i="3"/>
  <c r="G379" i="3" s="1"/>
  <c r="A380" i="2"/>
  <c r="D379" i="2"/>
  <c r="F379" i="2"/>
  <c r="G379" i="2" s="1"/>
  <c r="H379" i="2"/>
  <c r="J379" i="2"/>
  <c r="L379" i="2"/>
  <c r="D380" i="2" l="1"/>
  <c r="A381" i="2"/>
  <c r="F380" i="2"/>
  <c r="G380" i="2" s="1"/>
  <c r="L380" i="2"/>
  <c r="J380" i="2"/>
  <c r="H380" i="2"/>
  <c r="I377" i="3"/>
  <c r="M377" i="3"/>
  <c r="N377" i="3" s="1"/>
  <c r="B379" i="2"/>
  <c r="C378" i="2"/>
  <c r="E378" i="2"/>
  <c r="C378" i="3"/>
  <c r="B379" i="3"/>
  <c r="E378" i="3"/>
  <c r="I377" i="2"/>
  <c r="M377" i="2"/>
  <c r="N377" i="2" s="1"/>
  <c r="A381" i="3"/>
  <c r="D380" i="3"/>
  <c r="L380" i="3"/>
  <c r="F380" i="3"/>
  <c r="G380" i="3" s="1"/>
  <c r="H380" i="3"/>
  <c r="J380" i="3"/>
  <c r="I378" i="3" l="1"/>
  <c r="M378" i="3"/>
  <c r="N378" i="3" s="1"/>
  <c r="B380" i="3"/>
  <c r="C379" i="3"/>
  <c r="E379" i="3"/>
  <c r="I378" i="2"/>
  <c r="M378" i="2"/>
  <c r="N378" i="2" s="1"/>
  <c r="A382" i="2"/>
  <c r="D381" i="2"/>
  <c r="F381" i="2"/>
  <c r="G381" i="2" s="1"/>
  <c r="H381" i="2"/>
  <c r="J381" i="2"/>
  <c r="L381" i="2"/>
  <c r="J381" i="3"/>
  <c r="A382" i="3"/>
  <c r="L381" i="3"/>
  <c r="H381" i="3"/>
  <c r="F381" i="3"/>
  <c r="G381" i="3" s="1"/>
  <c r="D381" i="3"/>
  <c r="C379" i="2"/>
  <c r="B380" i="2"/>
  <c r="E379" i="2"/>
  <c r="A383" i="2" l="1"/>
  <c r="D382" i="2"/>
  <c r="F382" i="2"/>
  <c r="G382" i="2" s="1"/>
  <c r="J382" i="2"/>
  <c r="H382" i="2"/>
  <c r="L382" i="2"/>
  <c r="F382" i="3"/>
  <c r="G382" i="3" s="1"/>
  <c r="A383" i="3"/>
  <c r="L382" i="3"/>
  <c r="J382" i="3"/>
  <c r="H382" i="3"/>
  <c r="D382" i="3"/>
  <c r="I379" i="3"/>
  <c r="M379" i="3"/>
  <c r="N379" i="3" s="1"/>
  <c r="C380" i="3"/>
  <c r="B381" i="3"/>
  <c r="E380" i="3"/>
  <c r="I379" i="2"/>
  <c r="M379" i="2"/>
  <c r="N379" i="2" s="1"/>
  <c r="B381" i="2"/>
  <c r="C380" i="2"/>
  <c r="E380" i="2"/>
  <c r="B382" i="3" l="1"/>
  <c r="C381" i="3"/>
  <c r="E381" i="3"/>
  <c r="L383" i="3"/>
  <c r="D383" i="3"/>
  <c r="A384" i="3"/>
  <c r="F383" i="3"/>
  <c r="G383" i="3" s="1"/>
  <c r="J383" i="3"/>
  <c r="H383" i="3"/>
  <c r="I380" i="2"/>
  <c r="M380" i="2"/>
  <c r="N380" i="2" s="1"/>
  <c r="B382" i="2"/>
  <c r="C381" i="2"/>
  <c r="E381" i="2"/>
  <c r="D383" i="2"/>
  <c r="A384" i="2"/>
  <c r="L383" i="2"/>
  <c r="J383" i="2"/>
  <c r="H383" i="2"/>
  <c r="F383" i="2"/>
  <c r="G383" i="2" s="1"/>
  <c r="I380" i="3"/>
  <c r="M380" i="3"/>
  <c r="N380" i="3" s="1"/>
  <c r="A385" i="2" l="1"/>
  <c r="D384" i="2"/>
  <c r="F384" i="2"/>
  <c r="G384" i="2" s="1"/>
  <c r="H384" i="2"/>
  <c r="L384" i="2"/>
  <c r="J384" i="2"/>
  <c r="H384" i="3"/>
  <c r="A385" i="3"/>
  <c r="J384" i="3"/>
  <c r="F384" i="3"/>
  <c r="G384" i="3" s="1"/>
  <c r="D384" i="3"/>
  <c r="L384" i="3"/>
  <c r="I381" i="2"/>
  <c r="M381" i="2"/>
  <c r="N381" i="2" s="1"/>
  <c r="C382" i="2"/>
  <c r="B383" i="2"/>
  <c r="E382" i="2"/>
  <c r="I381" i="3"/>
  <c r="M381" i="3"/>
  <c r="N381" i="3" s="1"/>
  <c r="B383" i="3"/>
  <c r="C382" i="3"/>
  <c r="E382" i="3"/>
  <c r="B384" i="2" l="1"/>
  <c r="C383" i="2"/>
  <c r="E383" i="2"/>
  <c r="A386" i="3"/>
  <c r="D385" i="3"/>
  <c r="L385" i="3"/>
  <c r="J385" i="3"/>
  <c r="H385" i="3"/>
  <c r="F385" i="3"/>
  <c r="G385" i="3" s="1"/>
  <c r="I382" i="3"/>
  <c r="M382" i="3"/>
  <c r="N382" i="3" s="1"/>
  <c r="C383" i="3"/>
  <c r="B384" i="3"/>
  <c r="E383" i="3"/>
  <c r="I382" i="2"/>
  <c r="M382" i="2"/>
  <c r="N382" i="2" s="1"/>
  <c r="J385" i="2"/>
  <c r="D385" i="2"/>
  <c r="A386" i="2"/>
  <c r="L385" i="2"/>
  <c r="H385" i="2"/>
  <c r="F385" i="2"/>
  <c r="G385" i="2" s="1"/>
  <c r="I383" i="2" l="1"/>
  <c r="M383" i="2"/>
  <c r="N383" i="2" s="1"/>
  <c r="B385" i="3"/>
  <c r="C384" i="3"/>
  <c r="E384" i="3"/>
  <c r="J386" i="3"/>
  <c r="D386" i="3"/>
  <c r="A387" i="3"/>
  <c r="F386" i="3"/>
  <c r="G386" i="3" s="1"/>
  <c r="H386" i="3"/>
  <c r="L386" i="3"/>
  <c r="I383" i="3"/>
  <c r="M383" i="3"/>
  <c r="N383" i="3" s="1"/>
  <c r="A387" i="2"/>
  <c r="D386" i="2"/>
  <c r="F386" i="2"/>
  <c r="G386" i="2" s="1"/>
  <c r="L386" i="2"/>
  <c r="J386" i="2"/>
  <c r="H386" i="2"/>
  <c r="C384" i="2"/>
  <c r="B385" i="2"/>
  <c r="E384" i="2"/>
  <c r="F387" i="3" l="1"/>
  <c r="G387" i="3" s="1"/>
  <c r="A388" i="3"/>
  <c r="J387" i="3"/>
  <c r="H387" i="3"/>
  <c r="D387" i="3"/>
  <c r="L387" i="3"/>
  <c r="D387" i="2"/>
  <c r="A388" i="2"/>
  <c r="J387" i="2"/>
  <c r="H387" i="2"/>
  <c r="F387" i="2"/>
  <c r="G387" i="2" s="1"/>
  <c r="L387" i="2"/>
  <c r="B386" i="2"/>
  <c r="C385" i="2"/>
  <c r="E385" i="2"/>
  <c r="I384" i="3"/>
  <c r="M384" i="3"/>
  <c r="N384" i="3" s="1"/>
  <c r="C385" i="3"/>
  <c r="B386" i="3"/>
  <c r="E385" i="3"/>
  <c r="I384" i="2"/>
  <c r="M384" i="2"/>
  <c r="N384" i="2" s="1"/>
  <c r="I385" i="2" l="1"/>
  <c r="M385" i="2"/>
  <c r="N385" i="2" s="1"/>
  <c r="C386" i="2"/>
  <c r="B387" i="2"/>
  <c r="E386" i="2"/>
  <c r="B387" i="3"/>
  <c r="C386" i="3"/>
  <c r="E386" i="3"/>
  <c r="I385" i="3"/>
  <c r="M385" i="3"/>
  <c r="N385" i="3" s="1"/>
  <c r="E388" i="3"/>
  <c r="D388" i="3"/>
  <c r="A389" i="3"/>
  <c r="J388" i="3"/>
  <c r="H388" i="3"/>
  <c r="F388" i="3"/>
  <c r="E388" i="2"/>
  <c r="A389" i="2"/>
  <c r="D388" i="2"/>
  <c r="F388" i="2" s="1"/>
  <c r="H388" i="2"/>
  <c r="J388" i="2"/>
  <c r="G388" i="3" l="1"/>
  <c r="H33" i="1" s="1"/>
  <c r="G33" i="1"/>
  <c r="G388" i="2"/>
  <c r="H32" i="1" s="1"/>
  <c r="G32" i="1"/>
  <c r="I388" i="3"/>
  <c r="A390" i="2"/>
  <c r="E389" i="2"/>
  <c r="M389" i="2" s="1"/>
  <c r="N389" i="2" s="1"/>
  <c r="D389" i="2"/>
  <c r="F389" i="2"/>
  <c r="G389" i="2" s="1"/>
  <c r="H389" i="2"/>
  <c r="J389" i="2"/>
  <c r="B388" i="3"/>
  <c r="C387" i="3"/>
  <c r="E387" i="3"/>
  <c r="H389" i="3"/>
  <c r="D389" i="3"/>
  <c r="F389" i="3" s="1"/>
  <c r="G389" i="3" s="1"/>
  <c r="A390" i="3"/>
  <c r="E389" i="3"/>
  <c r="J389" i="3"/>
  <c r="I386" i="2"/>
  <c r="M386" i="2"/>
  <c r="N386" i="2" s="1"/>
  <c r="C387" i="2"/>
  <c r="B388" i="2"/>
  <c r="E387" i="2"/>
  <c r="I388" i="2"/>
  <c r="I386" i="3"/>
  <c r="M386" i="3"/>
  <c r="N386" i="3" s="1"/>
  <c r="M388" i="2"/>
  <c r="N388" i="2" s="1"/>
  <c r="M388" i="3"/>
  <c r="N388" i="3" s="1"/>
  <c r="I389" i="3" l="1"/>
  <c r="A391" i="3"/>
  <c r="E390" i="3"/>
  <c r="D390" i="3"/>
  <c r="M390" i="3"/>
  <c r="N390" i="3" s="1"/>
  <c r="F390" i="3"/>
  <c r="G390" i="3" s="1"/>
  <c r="J390" i="3"/>
  <c r="H390" i="3"/>
  <c r="I387" i="2"/>
  <c r="M387" i="2"/>
  <c r="N387" i="2" s="1"/>
  <c r="B389" i="2"/>
  <c r="C388" i="2"/>
  <c r="I389" i="2"/>
  <c r="A391" i="2"/>
  <c r="D390" i="2"/>
  <c r="F390" i="2" s="1"/>
  <c r="G390" i="2" s="1"/>
  <c r="E390" i="2"/>
  <c r="M390" i="2" s="1"/>
  <c r="N390" i="2" s="1"/>
  <c r="J390" i="2"/>
  <c r="H390" i="2"/>
  <c r="C388" i="3"/>
  <c r="B389" i="3"/>
  <c r="I387" i="3"/>
  <c r="M387" i="3"/>
  <c r="N387" i="3" s="1"/>
  <c r="M389" i="3"/>
  <c r="N389" i="3" s="1"/>
  <c r="A392" i="2" l="1"/>
  <c r="E391" i="2"/>
  <c r="M391" i="2" s="1"/>
  <c r="N391" i="2" s="1"/>
  <c r="D391" i="2"/>
  <c r="F391" i="2"/>
  <c r="G391" i="2" s="1"/>
  <c r="H391" i="2"/>
  <c r="J391" i="2"/>
  <c r="I390" i="3"/>
  <c r="J391" i="3"/>
  <c r="E391" i="3"/>
  <c r="M391" i="3" s="1"/>
  <c r="N391" i="3" s="1"/>
  <c r="D391" i="3"/>
  <c r="F391" i="3"/>
  <c r="G391" i="3" s="1"/>
  <c r="A392" i="3"/>
  <c r="H391" i="3"/>
  <c r="I390" i="2"/>
  <c r="B390" i="3"/>
  <c r="C389" i="3"/>
  <c r="C389" i="2"/>
  <c r="B390" i="2"/>
  <c r="C390" i="3" l="1"/>
  <c r="B391" i="3"/>
  <c r="C390" i="2"/>
  <c r="B391" i="2"/>
  <c r="A393" i="3"/>
  <c r="E392" i="3"/>
  <c r="D392" i="3"/>
  <c r="F392" i="3" s="1"/>
  <c r="G392" i="3" s="1"/>
  <c r="H392" i="3"/>
  <c r="J392" i="3"/>
  <c r="I391" i="2"/>
  <c r="I391" i="3"/>
  <c r="D392" i="2"/>
  <c r="F392" i="2" s="1"/>
  <c r="G392" i="2" s="1"/>
  <c r="A393" i="2"/>
  <c r="E392" i="2"/>
  <c r="H392" i="2"/>
  <c r="J392" i="2"/>
  <c r="I392" i="2" l="1"/>
  <c r="I392" i="3"/>
  <c r="E393" i="3"/>
  <c r="D393" i="3"/>
  <c r="F393" i="3" s="1"/>
  <c r="G393" i="3" s="1"/>
  <c r="A394" i="3"/>
  <c r="J393" i="3"/>
  <c r="H393" i="3"/>
  <c r="M392" i="2"/>
  <c r="N392" i="2" s="1"/>
  <c r="A394" i="2"/>
  <c r="D393" i="2"/>
  <c r="F393" i="2" s="1"/>
  <c r="G393" i="2" s="1"/>
  <c r="J393" i="2"/>
  <c r="H393" i="2"/>
  <c r="E393" i="2"/>
  <c r="C391" i="2"/>
  <c r="B392" i="2"/>
  <c r="B392" i="3"/>
  <c r="C391" i="3"/>
  <c r="M392" i="3"/>
  <c r="N392" i="3" s="1"/>
  <c r="I393" i="3" l="1"/>
  <c r="I393" i="2"/>
  <c r="H394" i="3"/>
  <c r="E394" i="3"/>
  <c r="D394" i="3"/>
  <c r="F394" i="3"/>
  <c r="G394" i="3" s="1"/>
  <c r="A395" i="3"/>
  <c r="J394" i="3"/>
  <c r="M394" i="3"/>
  <c r="N394" i="3" s="1"/>
  <c r="M393" i="2"/>
  <c r="N393" i="2" s="1"/>
  <c r="M393" i="3"/>
  <c r="N393" i="3" s="1"/>
  <c r="B393" i="3"/>
  <c r="C392" i="3"/>
  <c r="A395" i="2"/>
  <c r="E394" i="2"/>
  <c r="M394" i="2" s="1"/>
  <c r="N394" i="2" s="1"/>
  <c r="D394" i="2"/>
  <c r="F394" i="2"/>
  <c r="G394" i="2" s="1"/>
  <c r="H394" i="2"/>
  <c r="J394" i="2"/>
  <c r="C392" i="2"/>
  <c r="B393" i="2"/>
  <c r="I394" i="3" l="1"/>
  <c r="A396" i="3"/>
  <c r="E395" i="3"/>
  <c r="M395" i="3" s="1"/>
  <c r="N395" i="3" s="1"/>
  <c r="D395" i="3"/>
  <c r="F395" i="3" s="1"/>
  <c r="G395" i="3" s="1"/>
  <c r="H395" i="3"/>
  <c r="J395" i="3"/>
  <c r="C393" i="3"/>
  <c r="B394" i="3"/>
  <c r="I394" i="2"/>
  <c r="B394" i="2"/>
  <c r="C393" i="2"/>
  <c r="A396" i="2"/>
  <c r="D395" i="2"/>
  <c r="F395" i="2" s="1"/>
  <c r="G395" i="2" s="1"/>
  <c r="J395" i="2"/>
  <c r="H395" i="2"/>
  <c r="E395" i="2"/>
  <c r="M395" i="2" s="1"/>
  <c r="N395" i="2" s="1"/>
  <c r="A397" i="2" l="1"/>
  <c r="E396" i="2"/>
  <c r="M396" i="2"/>
  <c r="N396" i="2" s="1"/>
  <c r="D396" i="2"/>
  <c r="F396" i="2" s="1"/>
  <c r="G396" i="2" s="1"/>
  <c r="J396" i="2"/>
  <c r="H396" i="2"/>
  <c r="C394" i="2"/>
  <c r="B395" i="2"/>
  <c r="I395" i="3"/>
  <c r="I395" i="2"/>
  <c r="J396" i="3"/>
  <c r="E396" i="3"/>
  <c r="D396" i="3"/>
  <c r="F396" i="3" s="1"/>
  <c r="G396" i="3" s="1"/>
  <c r="A397" i="3"/>
  <c r="H396" i="3"/>
  <c r="B395" i="3"/>
  <c r="C394" i="3"/>
  <c r="I396" i="3" l="1"/>
  <c r="I396" i="2"/>
  <c r="B396" i="2"/>
  <c r="C395" i="2"/>
  <c r="M396" i="3"/>
  <c r="N396" i="3" s="1"/>
  <c r="A398" i="3"/>
  <c r="E397" i="3"/>
  <c r="H397" i="3"/>
  <c r="D397" i="3"/>
  <c r="F397" i="3" s="1"/>
  <c r="G397" i="3" s="1"/>
  <c r="J397" i="3"/>
  <c r="C395" i="3"/>
  <c r="B396" i="3"/>
  <c r="E397" i="2"/>
  <c r="A398" i="2"/>
  <c r="D397" i="2"/>
  <c r="F397" i="2" s="1"/>
  <c r="G397" i="2" s="1"/>
  <c r="H397" i="2"/>
  <c r="J397" i="2"/>
  <c r="I397" i="3" l="1"/>
  <c r="M397" i="3"/>
  <c r="N397" i="3" s="1"/>
  <c r="B397" i="2"/>
  <c r="C396" i="2"/>
  <c r="A399" i="2"/>
  <c r="D398" i="2"/>
  <c r="E398" i="2"/>
  <c r="F398" i="2"/>
  <c r="G398" i="2" s="1"/>
  <c r="J398" i="2"/>
  <c r="H398" i="2"/>
  <c r="E398" i="3"/>
  <c r="H398" i="3"/>
  <c r="A399" i="3"/>
  <c r="J398" i="3"/>
  <c r="D398" i="3"/>
  <c r="F398" i="3" s="1"/>
  <c r="G398" i="3" s="1"/>
  <c r="I397" i="2"/>
  <c r="M397" i="2"/>
  <c r="N397" i="2" s="1"/>
  <c r="B397" i="3"/>
  <c r="C396" i="3"/>
  <c r="I398" i="2" l="1"/>
  <c r="I398" i="3"/>
  <c r="A400" i="2"/>
  <c r="E399" i="2"/>
  <c r="M399" i="2" s="1"/>
  <c r="N399" i="2" s="1"/>
  <c r="D399" i="2"/>
  <c r="F399" i="2" s="1"/>
  <c r="G399" i="2" s="1"/>
  <c r="H399" i="2"/>
  <c r="J399" i="2"/>
  <c r="B398" i="3"/>
  <c r="C397" i="3"/>
  <c r="H399" i="3"/>
  <c r="E399" i="3"/>
  <c r="M399" i="3" s="1"/>
  <c r="N399" i="3" s="1"/>
  <c r="D399" i="3"/>
  <c r="F399" i="3" s="1"/>
  <c r="G399" i="3" s="1"/>
  <c r="J399" i="3"/>
  <c r="A400" i="3"/>
  <c r="M398" i="2"/>
  <c r="N398" i="2" s="1"/>
  <c r="M398" i="3"/>
  <c r="N398" i="3" s="1"/>
  <c r="C397" i="2"/>
  <c r="B398" i="2"/>
  <c r="C398" i="2" l="1"/>
  <c r="B399" i="2"/>
  <c r="I399" i="2"/>
  <c r="A401" i="2"/>
  <c r="D400" i="2"/>
  <c r="J400" i="2"/>
  <c r="H400" i="2"/>
  <c r="F400" i="2"/>
  <c r="G400" i="2" s="1"/>
  <c r="E400" i="2"/>
  <c r="M400" i="2" s="1"/>
  <c r="N400" i="2" s="1"/>
  <c r="A401" i="3"/>
  <c r="E400" i="3"/>
  <c r="M400" i="3" s="1"/>
  <c r="N400" i="3" s="1"/>
  <c r="D400" i="3"/>
  <c r="F400" i="3" s="1"/>
  <c r="G400" i="3" s="1"/>
  <c r="H400" i="3"/>
  <c r="J400" i="3"/>
  <c r="I399" i="3"/>
  <c r="C398" i="3"/>
  <c r="B399" i="3"/>
  <c r="A402" i="2" l="1"/>
  <c r="E401" i="2"/>
  <c r="M401" i="2"/>
  <c r="N401" i="2" s="1"/>
  <c r="D401" i="2"/>
  <c r="H401" i="2"/>
  <c r="F401" i="2"/>
  <c r="G401" i="2" s="1"/>
  <c r="J401" i="2"/>
  <c r="I400" i="3"/>
  <c r="C399" i="3"/>
  <c r="B400" i="3"/>
  <c r="J401" i="3"/>
  <c r="E401" i="3"/>
  <c r="M401" i="3" s="1"/>
  <c r="N401" i="3" s="1"/>
  <c r="H401" i="3"/>
  <c r="A402" i="3"/>
  <c r="D401" i="3"/>
  <c r="F401" i="3" s="1"/>
  <c r="G401" i="3" s="1"/>
  <c r="C399" i="2"/>
  <c r="B400" i="2"/>
  <c r="I400" i="2"/>
  <c r="A403" i="3" l="1"/>
  <c r="E402" i="3"/>
  <c r="H402" i="3"/>
  <c r="D402" i="3"/>
  <c r="F402" i="3" s="1"/>
  <c r="G402" i="3" s="1"/>
  <c r="J402" i="3"/>
  <c r="M402" i="3"/>
  <c r="N402" i="3" s="1"/>
  <c r="I401" i="2"/>
  <c r="I401" i="3"/>
  <c r="B401" i="2"/>
  <c r="C400" i="2"/>
  <c r="C400" i="3"/>
  <c r="B401" i="3"/>
  <c r="A403" i="2"/>
  <c r="D402" i="2"/>
  <c r="F402" i="2" s="1"/>
  <c r="G402" i="2" s="1"/>
  <c r="H402" i="2"/>
  <c r="E402" i="2"/>
  <c r="J402" i="2"/>
  <c r="I402" i="2" l="1"/>
  <c r="H403" i="2"/>
  <c r="A404" i="2"/>
  <c r="J403" i="2"/>
  <c r="E403" i="2"/>
  <c r="D403" i="2"/>
  <c r="F403" i="2" s="1"/>
  <c r="G403" i="2" s="1"/>
  <c r="M402" i="2"/>
  <c r="N402" i="2" s="1"/>
  <c r="B402" i="3"/>
  <c r="C401" i="3"/>
  <c r="I402" i="3"/>
  <c r="H403" i="3"/>
  <c r="A404" i="3"/>
  <c r="D403" i="3"/>
  <c r="F403" i="3" s="1"/>
  <c r="G403" i="3" s="1"/>
  <c r="E403" i="3"/>
  <c r="J403" i="3"/>
  <c r="B402" i="2"/>
  <c r="C401" i="2"/>
  <c r="I403" i="3" l="1"/>
  <c r="H404" i="3"/>
  <c r="J404" i="3"/>
  <c r="E404" i="3"/>
  <c r="D404" i="3"/>
  <c r="F404" i="3" s="1"/>
  <c r="G404" i="3" s="1"/>
  <c r="A405" i="3"/>
  <c r="A405" i="2"/>
  <c r="E404" i="2"/>
  <c r="M404" i="2"/>
  <c r="N404" i="2" s="1"/>
  <c r="D404" i="2"/>
  <c r="F404" i="2" s="1"/>
  <c r="G404" i="2" s="1"/>
  <c r="H404" i="2"/>
  <c r="J404" i="2"/>
  <c r="M403" i="3"/>
  <c r="N403" i="3" s="1"/>
  <c r="I403" i="2"/>
  <c r="M403" i="2"/>
  <c r="N403" i="2" s="1"/>
  <c r="C402" i="2"/>
  <c r="B403" i="2"/>
  <c r="B403" i="3"/>
  <c r="C402" i="3"/>
  <c r="I404" i="3" l="1"/>
  <c r="E405" i="2"/>
  <c r="A406" i="2"/>
  <c r="M405" i="2"/>
  <c r="N405" i="2" s="1"/>
  <c r="J405" i="2"/>
  <c r="H405" i="2"/>
  <c r="D405" i="2"/>
  <c r="F405" i="2" s="1"/>
  <c r="G405" i="2" s="1"/>
  <c r="M404" i="3"/>
  <c r="N404" i="3" s="1"/>
  <c r="A406" i="3"/>
  <c r="E405" i="3"/>
  <c r="M405" i="3" s="1"/>
  <c r="N405" i="3" s="1"/>
  <c r="D405" i="3"/>
  <c r="H405" i="3"/>
  <c r="J405" i="3"/>
  <c r="F405" i="3"/>
  <c r="G405" i="3" s="1"/>
  <c r="C403" i="3"/>
  <c r="B404" i="3"/>
  <c r="B404" i="2"/>
  <c r="C403" i="2"/>
  <c r="I404" i="2"/>
  <c r="C404" i="3" l="1"/>
  <c r="B405" i="3"/>
  <c r="A407" i="2"/>
  <c r="E406" i="2"/>
  <c r="D406" i="2"/>
  <c r="F406" i="2" s="1"/>
  <c r="G406" i="2" s="1"/>
  <c r="J406" i="2"/>
  <c r="H406" i="2"/>
  <c r="I405" i="3"/>
  <c r="I405" i="2"/>
  <c r="C404" i="2"/>
  <c r="B405" i="2"/>
  <c r="J406" i="3"/>
  <c r="H406" i="3"/>
  <c r="D406" i="3"/>
  <c r="F406" i="3" s="1"/>
  <c r="G406" i="3" s="1"/>
  <c r="E406" i="3"/>
  <c r="M406" i="3" s="1"/>
  <c r="N406" i="3" s="1"/>
  <c r="A407" i="3"/>
  <c r="I406" i="2" l="1"/>
  <c r="M406" i="2"/>
  <c r="N406" i="2" s="1"/>
  <c r="A408" i="2"/>
  <c r="D407" i="2"/>
  <c r="H407" i="2"/>
  <c r="F407" i="2"/>
  <c r="G407" i="2" s="1"/>
  <c r="E407" i="2"/>
  <c r="J407" i="2"/>
  <c r="A408" i="3"/>
  <c r="E407" i="3"/>
  <c r="M407" i="3" s="1"/>
  <c r="N407" i="3" s="1"/>
  <c r="J407" i="3"/>
  <c r="H407" i="3"/>
  <c r="D407" i="3"/>
  <c r="F407" i="3" s="1"/>
  <c r="G407" i="3" s="1"/>
  <c r="C405" i="3"/>
  <c r="B406" i="3"/>
  <c r="B406" i="2"/>
  <c r="C405" i="2"/>
  <c r="I406" i="3"/>
  <c r="I407" i="2" l="1"/>
  <c r="C406" i="3"/>
  <c r="B407" i="3"/>
  <c r="I407" i="3"/>
  <c r="M407" i="2"/>
  <c r="N407" i="2" s="1"/>
  <c r="H408" i="3"/>
  <c r="J408" i="3"/>
  <c r="A409" i="3"/>
  <c r="F408" i="3"/>
  <c r="G408" i="3" s="1"/>
  <c r="E408" i="3"/>
  <c r="M408" i="3" s="1"/>
  <c r="N408" i="3" s="1"/>
  <c r="D408" i="3"/>
  <c r="A409" i="2"/>
  <c r="J408" i="2"/>
  <c r="D408" i="2"/>
  <c r="E408" i="2"/>
  <c r="M408" i="2" s="1"/>
  <c r="N408" i="2" s="1"/>
  <c r="H408" i="2"/>
  <c r="F408" i="2"/>
  <c r="G408" i="2" s="1"/>
  <c r="B407" i="2"/>
  <c r="C406" i="2"/>
  <c r="H409" i="3" l="1"/>
  <c r="J409" i="3"/>
  <c r="E409" i="3"/>
  <c r="D409" i="3"/>
  <c r="F409" i="3" s="1"/>
  <c r="G409" i="3" s="1"/>
  <c r="M409" i="3"/>
  <c r="N409" i="3" s="1"/>
  <c r="A410" i="3"/>
  <c r="A410" i="2"/>
  <c r="E409" i="2"/>
  <c r="D409" i="2"/>
  <c r="F409" i="2" s="1"/>
  <c r="G409" i="2" s="1"/>
  <c r="J409" i="2"/>
  <c r="H409" i="2"/>
  <c r="B408" i="3"/>
  <c r="C407" i="3"/>
  <c r="I408" i="2"/>
  <c r="C407" i="2"/>
  <c r="B408" i="2"/>
  <c r="I408" i="3"/>
  <c r="J410" i="2" l="1"/>
  <c r="A411" i="2"/>
  <c r="H410" i="2"/>
  <c r="E410" i="2"/>
  <c r="M410" i="2" s="1"/>
  <c r="N410" i="2" s="1"/>
  <c r="D410" i="2"/>
  <c r="F410" i="2" s="1"/>
  <c r="G410" i="2" s="1"/>
  <c r="C408" i="3"/>
  <c r="B409" i="3"/>
  <c r="A411" i="3"/>
  <c r="E410" i="3"/>
  <c r="D410" i="3"/>
  <c r="F410" i="3" s="1"/>
  <c r="G410" i="3" s="1"/>
  <c r="J410" i="3"/>
  <c r="H410" i="3"/>
  <c r="I409" i="2"/>
  <c r="I409" i="3"/>
  <c r="B409" i="2"/>
  <c r="C408" i="2"/>
  <c r="M409" i="2"/>
  <c r="N409" i="2" s="1"/>
  <c r="C409" i="3" l="1"/>
  <c r="B410" i="3"/>
  <c r="I410" i="3"/>
  <c r="A412" i="2"/>
  <c r="E411" i="2"/>
  <c r="M411" i="2"/>
  <c r="N411" i="2" s="1"/>
  <c r="D411" i="2"/>
  <c r="F411" i="2" s="1"/>
  <c r="G411" i="2" s="1"/>
  <c r="H411" i="2"/>
  <c r="J411" i="2"/>
  <c r="I410" i="2"/>
  <c r="M410" i="3"/>
  <c r="N410" i="3" s="1"/>
  <c r="C409" i="2"/>
  <c r="B410" i="2"/>
  <c r="J411" i="3"/>
  <c r="H411" i="3"/>
  <c r="D411" i="3"/>
  <c r="F411" i="3" s="1"/>
  <c r="G411" i="3" s="1"/>
  <c r="E411" i="3"/>
  <c r="M411" i="3" s="1"/>
  <c r="N411" i="3" s="1"/>
  <c r="A412" i="3"/>
  <c r="I411" i="2" l="1"/>
  <c r="A413" i="2"/>
  <c r="H412" i="2"/>
  <c r="E412" i="2"/>
  <c r="D412" i="2"/>
  <c r="F412" i="2" s="1"/>
  <c r="G412" i="2" s="1"/>
  <c r="J412" i="2"/>
  <c r="A413" i="3"/>
  <c r="E412" i="3"/>
  <c r="M412" i="3" s="1"/>
  <c r="N412" i="3" s="1"/>
  <c r="J412" i="3"/>
  <c r="H412" i="3"/>
  <c r="D412" i="3"/>
  <c r="F412" i="3" s="1"/>
  <c r="G412" i="3" s="1"/>
  <c r="C410" i="3"/>
  <c r="B411" i="3"/>
  <c r="B411" i="2"/>
  <c r="C410" i="2"/>
  <c r="I411" i="3"/>
  <c r="B412" i="2" l="1"/>
  <c r="C411" i="2"/>
  <c r="C411" i="3"/>
  <c r="B412" i="3"/>
  <c r="I412" i="2"/>
  <c r="I412" i="3"/>
  <c r="M412" i="2"/>
  <c r="N412" i="2" s="1"/>
  <c r="E413" i="2"/>
  <c r="A414" i="2"/>
  <c r="J413" i="2"/>
  <c r="H413" i="2"/>
  <c r="D413" i="2"/>
  <c r="F413" i="2" s="1"/>
  <c r="G413" i="2" s="1"/>
  <c r="J413" i="3"/>
  <c r="H413" i="3"/>
  <c r="D413" i="3"/>
  <c r="F413" i="3" s="1"/>
  <c r="G413" i="3" s="1"/>
  <c r="A414" i="3"/>
  <c r="E413" i="3"/>
  <c r="M413" i="3" s="1"/>
  <c r="N413" i="3" s="1"/>
  <c r="I413" i="2" l="1"/>
  <c r="B413" i="3"/>
  <c r="C412" i="3"/>
  <c r="M413" i="2"/>
  <c r="N413" i="2" s="1"/>
  <c r="I413" i="3"/>
  <c r="H414" i="3"/>
  <c r="J414" i="3"/>
  <c r="F414" i="3"/>
  <c r="G414" i="3" s="1"/>
  <c r="E414" i="3"/>
  <c r="M414" i="3" s="1"/>
  <c r="N414" i="3" s="1"/>
  <c r="D414" i="3"/>
  <c r="A415" i="3"/>
  <c r="A415" i="2"/>
  <c r="E414" i="2"/>
  <c r="M414" i="2" s="1"/>
  <c r="N414" i="2" s="1"/>
  <c r="D414" i="2"/>
  <c r="F414" i="2"/>
  <c r="G414" i="2" s="1"/>
  <c r="H414" i="2"/>
  <c r="J414" i="2"/>
  <c r="C412" i="2"/>
  <c r="B413" i="2"/>
  <c r="A416" i="2" l="1"/>
  <c r="J415" i="2"/>
  <c r="H415" i="2"/>
  <c r="E415" i="2"/>
  <c r="D415" i="2"/>
  <c r="F415" i="2" s="1"/>
  <c r="G415" i="2" s="1"/>
  <c r="A416" i="3"/>
  <c r="E415" i="3"/>
  <c r="D415" i="3"/>
  <c r="F415" i="3" s="1"/>
  <c r="G415" i="3" s="1"/>
  <c r="J415" i="3"/>
  <c r="H415" i="3"/>
  <c r="I414" i="2"/>
  <c r="B414" i="2"/>
  <c r="C413" i="2"/>
  <c r="C413" i="3"/>
  <c r="B414" i="3"/>
  <c r="I414" i="3"/>
  <c r="I415" i="3" l="1"/>
  <c r="C414" i="2"/>
  <c r="B415" i="2"/>
  <c r="I415" i="2"/>
  <c r="M415" i="2"/>
  <c r="N415" i="2" s="1"/>
  <c r="J416" i="3"/>
  <c r="H416" i="3"/>
  <c r="E416" i="3"/>
  <c r="D416" i="3"/>
  <c r="F416" i="3" s="1"/>
  <c r="G416" i="3" s="1"/>
  <c r="A417" i="3"/>
  <c r="M415" i="3"/>
  <c r="N415" i="3" s="1"/>
  <c r="C414" i="3"/>
  <c r="B415" i="3"/>
  <c r="A417" i="2"/>
  <c r="E416" i="2"/>
  <c r="M416" i="2"/>
  <c r="N416" i="2" s="1"/>
  <c r="J416" i="2"/>
  <c r="H416" i="2"/>
  <c r="D416" i="2"/>
  <c r="F416" i="2" s="1"/>
  <c r="G416" i="2" s="1"/>
  <c r="A418" i="2" l="1"/>
  <c r="J417" i="2"/>
  <c r="E417" i="2"/>
  <c r="D417" i="2"/>
  <c r="F417" i="2" s="1"/>
  <c r="G417" i="2" s="1"/>
  <c r="H417" i="2"/>
  <c r="C415" i="3"/>
  <c r="B416" i="3"/>
  <c r="I416" i="2"/>
  <c r="A418" i="3"/>
  <c r="E417" i="3"/>
  <c r="M417" i="3" s="1"/>
  <c r="N417" i="3" s="1"/>
  <c r="J417" i="3"/>
  <c r="H417" i="3"/>
  <c r="D417" i="3"/>
  <c r="F417" i="3" s="1"/>
  <c r="G417" i="3" s="1"/>
  <c r="C415" i="2"/>
  <c r="B416" i="2"/>
  <c r="I416" i="3"/>
  <c r="M416" i="3"/>
  <c r="N416" i="3" s="1"/>
  <c r="I417" i="2" l="1"/>
  <c r="J418" i="3"/>
  <c r="A419" i="3"/>
  <c r="D418" i="3"/>
  <c r="E418" i="3"/>
  <c r="H418" i="3"/>
  <c r="F418" i="3"/>
  <c r="G418" i="3" s="1"/>
  <c r="A419" i="2"/>
  <c r="J418" i="2"/>
  <c r="H418" i="2"/>
  <c r="D418" i="2"/>
  <c r="E418" i="2"/>
  <c r="M418" i="2" s="1"/>
  <c r="N418" i="2" s="1"/>
  <c r="F418" i="2"/>
  <c r="G418" i="2" s="1"/>
  <c r="C416" i="3"/>
  <c r="B417" i="3"/>
  <c r="I417" i="3"/>
  <c r="B417" i="2"/>
  <c r="C416" i="2"/>
  <c r="M417" i="2"/>
  <c r="N417" i="2" s="1"/>
  <c r="B418" i="3" l="1"/>
  <c r="C417" i="3"/>
  <c r="I418" i="2"/>
  <c r="H419" i="3"/>
  <c r="J419" i="3"/>
  <c r="E419" i="3"/>
  <c r="M419" i="3" s="1"/>
  <c r="N419" i="3" s="1"/>
  <c r="D419" i="3"/>
  <c r="F419" i="3" s="1"/>
  <c r="G419" i="3" s="1"/>
  <c r="A420" i="3"/>
  <c r="I418" i="3"/>
  <c r="A420" i="2"/>
  <c r="E419" i="2"/>
  <c r="M419" i="2" s="1"/>
  <c r="N419" i="2" s="1"/>
  <c r="J419" i="2"/>
  <c r="D419" i="2"/>
  <c r="F419" i="2" s="1"/>
  <c r="G419" i="2" s="1"/>
  <c r="H419" i="2"/>
  <c r="M418" i="3"/>
  <c r="N418" i="3" s="1"/>
  <c r="C417" i="2"/>
  <c r="B418" i="2"/>
  <c r="I419" i="3" l="1"/>
  <c r="B419" i="2"/>
  <c r="C418" i="2"/>
  <c r="J420" i="2"/>
  <c r="A421" i="2"/>
  <c r="D420" i="2"/>
  <c r="H420" i="2"/>
  <c r="F420" i="2"/>
  <c r="G420" i="2" s="1"/>
  <c r="E420" i="2"/>
  <c r="M420" i="2" s="1"/>
  <c r="N420" i="2" s="1"/>
  <c r="I419" i="2"/>
  <c r="A421" i="3"/>
  <c r="E420" i="3"/>
  <c r="D420" i="3"/>
  <c r="M420" i="3"/>
  <c r="N420" i="3" s="1"/>
  <c r="J420" i="3"/>
  <c r="F420" i="3"/>
  <c r="G420" i="3" s="1"/>
  <c r="H420" i="3"/>
  <c r="C418" i="3"/>
  <c r="B419" i="3"/>
  <c r="J421" i="3" l="1"/>
  <c r="A422" i="3"/>
  <c r="E421" i="3"/>
  <c r="D421" i="3"/>
  <c r="F421" i="3" s="1"/>
  <c r="G421" i="3" s="1"/>
  <c r="H421" i="3"/>
  <c r="A422" i="2"/>
  <c r="E421" i="2"/>
  <c r="H421" i="2"/>
  <c r="D421" i="2"/>
  <c r="F421" i="2"/>
  <c r="G421" i="2" s="1"/>
  <c r="J421" i="2"/>
  <c r="I420" i="3"/>
  <c r="C419" i="3"/>
  <c r="B420" i="3"/>
  <c r="C419" i="2"/>
  <c r="B420" i="2"/>
  <c r="I420" i="2"/>
  <c r="I421" i="2" l="1"/>
  <c r="C420" i="3"/>
  <c r="B421" i="3"/>
  <c r="D422" i="2"/>
  <c r="J422" i="2"/>
  <c r="F422" i="2"/>
  <c r="G422" i="2" s="1"/>
  <c r="E422" i="2"/>
  <c r="A423" i="2"/>
  <c r="H422" i="2"/>
  <c r="M421" i="2"/>
  <c r="N421" i="2" s="1"/>
  <c r="I421" i="3"/>
  <c r="H422" i="3"/>
  <c r="A423" i="3"/>
  <c r="J422" i="3"/>
  <c r="E422" i="3"/>
  <c r="D422" i="3"/>
  <c r="F422" i="3" s="1"/>
  <c r="G422" i="3" s="1"/>
  <c r="M421" i="3"/>
  <c r="N421" i="3" s="1"/>
  <c r="C420" i="2"/>
  <c r="B421" i="2"/>
  <c r="I422" i="3" l="1"/>
  <c r="I422" i="2"/>
  <c r="J423" i="2"/>
  <c r="E423" i="2"/>
  <c r="D423" i="2"/>
  <c r="F423" i="2" s="1"/>
  <c r="G423" i="2" s="1"/>
  <c r="H423" i="2"/>
  <c r="A424" i="2"/>
  <c r="M423" i="2"/>
  <c r="N423" i="2" s="1"/>
  <c r="H423" i="3"/>
  <c r="J423" i="3"/>
  <c r="E423" i="3"/>
  <c r="M423" i="3" s="1"/>
  <c r="N423" i="3" s="1"/>
  <c r="D423" i="3"/>
  <c r="F423" i="3"/>
  <c r="G423" i="3" s="1"/>
  <c r="A424" i="3"/>
  <c r="M422" i="3"/>
  <c r="N422" i="3" s="1"/>
  <c r="M422" i="2"/>
  <c r="N422" i="2" s="1"/>
  <c r="C421" i="3"/>
  <c r="B422" i="3"/>
  <c r="C421" i="2"/>
  <c r="B422" i="2"/>
  <c r="A425" i="3" l="1"/>
  <c r="E424" i="3"/>
  <c r="D424" i="3"/>
  <c r="M424" i="3"/>
  <c r="N424" i="3" s="1"/>
  <c r="H424" i="3"/>
  <c r="J424" i="3"/>
  <c r="F424" i="3"/>
  <c r="G424" i="3" s="1"/>
  <c r="A425" i="2"/>
  <c r="E424" i="2"/>
  <c r="D424" i="2"/>
  <c r="F424" i="2" s="1"/>
  <c r="G424" i="2" s="1"/>
  <c r="J424" i="2"/>
  <c r="H424" i="2"/>
  <c r="I423" i="2"/>
  <c r="I423" i="3"/>
  <c r="C422" i="2"/>
  <c r="B423" i="2"/>
  <c r="C422" i="3"/>
  <c r="B423" i="3"/>
  <c r="I424" i="2" l="1"/>
  <c r="J425" i="2"/>
  <c r="A426" i="2"/>
  <c r="D425" i="2"/>
  <c r="E425" i="2"/>
  <c r="M425" i="2" s="1"/>
  <c r="N425" i="2" s="1"/>
  <c r="F425" i="2"/>
  <c r="G425" i="2" s="1"/>
  <c r="H425" i="2"/>
  <c r="I424" i="3"/>
  <c r="B424" i="2"/>
  <c r="C423" i="2"/>
  <c r="C423" i="3"/>
  <c r="B424" i="3"/>
  <c r="M424" i="2"/>
  <c r="N424" i="2" s="1"/>
  <c r="J425" i="3"/>
  <c r="D425" i="3"/>
  <c r="A426" i="3"/>
  <c r="E425" i="3"/>
  <c r="F425" i="3"/>
  <c r="G425" i="3" s="1"/>
  <c r="H425" i="3"/>
  <c r="I425" i="3" l="1"/>
  <c r="C424" i="2"/>
  <c r="B425" i="2"/>
  <c r="A427" i="3"/>
  <c r="E426" i="3"/>
  <c r="J426" i="3"/>
  <c r="M426" i="3"/>
  <c r="N426" i="3" s="1"/>
  <c r="H426" i="3"/>
  <c r="D426" i="3"/>
  <c r="F426" i="3" s="1"/>
  <c r="G426" i="3" s="1"/>
  <c r="I425" i="2"/>
  <c r="C424" i="3"/>
  <c r="B425" i="3"/>
  <c r="A427" i="2"/>
  <c r="E426" i="2"/>
  <c r="H426" i="2"/>
  <c r="M426" i="2"/>
  <c r="N426" i="2" s="1"/>
  <c r="J426" i="2"/>
  <c r="D426" i="2"/>
  <c r="F426" i="2" s="1"/>
  <c r="G426" i="2" s="1"/>
  <c r="M425" i="3"/>
  <c r="N425" i="3" s="1"/>
  <c r="E427" i="3" l="1"/>
  <c r="D427" i="3"/>
  <c r="F427" i="3" s="1"/>
  <c r="G427" i="3" s="1"/>
  <c r="A428" i="3"/>
  <c r="H427" i="3"/>
  <c r="J427" i="3"/>
  <c r="I426" i="2"/>
  <c r="B426" i="3"/>
  <c r="C425" i="3"/>
  <c r="D427" i="2"/>
  <c r="F427" i="2" s="1"/>
  <c r="G427" i="2" s="1"/>
  <c r="E427" i="2"/>
  <c r="H427" i="2"/>
  <c r="A428" i="2"/>
  <c r="J427" i="2"/>
  <c r="I426" i="3"/>
  <c r="B426" i="2"/>
  <c r="C425" i="2"/>
  <c r="H428" i="3" l="1"/>
  <c r="J428" i="3"/>
  <c r="E428" i="3"/>
  <c r="D428" i="3"/>
  <c r="F428" i="3" s="1"/>
  <c r="G428" i="3" s="1"/>
  <c r="M428" i="3"/>
  <c r="N428" i="3" s="1"/>
  <c r="A429" i="3"/>
  <c r="B427" i="3"/>
  <c r="C426" i="3"/>
  <c r="H428" i="2"/>
  <c r="J428" i="2"/>
  <c r="E428" i="2"/>
  <c r="M428" i="2" s="1"/>
  <c r="N428" i="2" s="1"/>
  <c r="A429" i="2"/>
  <c r="D428" i="2"/>
  <c r="F428" i="2" s="1"/>
  <c r="G428" i="2" s="1"/>
  <c r="I427" i="2"/>
  <c r="I427" i="3"/>
  <c r="M427" i="2"/>
  <c r="N427" i="2" s="1"/>
  <c r="B427" i="2"/>
  <c r="C426" i="2"/>
  <c r="M427" i="3"/>
  <c r="N427" i="3" s="1"/>
  <c r="C427" i="3" l="1"/>
  <c r="B428" i="3"/>
  <c r="I428" i="2"/>
  <c r="A430" i="2"/>
  <c r="E429" i="2"/>
  <c r="D429" i="2"/>
  <c r="M429" i="2"/>
  <c r="N429" i="2" s="1"/>
  <c r="F429" i="2"/>
  <c r="G429" i="2" s="1"/>
  <c r="J429" i="2"/>
  <c r="H429" i="2"/>
  <c r="A430" i="3"/>
  <c r="E429" i="3"/>
  <c r="D429" i="3"/>
  <c r="M429" i="3"/>
  <c r="N429" i="3" s="1"/>
  <c r="H429" i="3"/>
  <c r="J429" i="3"/>
  <c r="F429" i="3"/>
  <c r="G429" i="3" s="1"/>
  <c r="I428" i="3"/>
  <c r="C427" i="2"/>
  <c r="B428" i="2"/>
  <c r="J430" i="3" l="1"/>
  <c r="D430" i="3"/>
  <c r="A431" i="3"/>
  <c r="E430" i="3"/>
  <c r="M430" i="3" s="1"/>
  <c r="N430" i="3" s="1"/>
  <c r="F430" i="3"/>
  <c r="G430" i="3" s="1"/>
  <c r="H430" i="3"/>
  <c r="I429" i="2"/>
  <c r="J430" i="2"/>
  <c r="D430" i="2"/>
  <c r="F430" i="2" s="1"/>
  <c r="G430" i="2" s="1"/>
  <c r="A431" i="2"/>
  <c r="E430" i="2"/>
  <c r="M430" i="2" s="1"/>
  <c r="N430" i="2" s="1"/>
  <c r="H430" i="2"/>
  <c r="I429" i="3"/>
  <c r="B429" i="2"/>
  <c r="C428" i="2"/>
  <c r="C428" i="3"/>
  <c r="B429" i="3"/>
  <c r="C429" i="2" l="1"/>
  <c r="B430" i="2"/>
  <c r="A432" i="2"/>
  <c r="E431" i="2"/>
  <c r="H431" i="2"/>
  <c r="D431" i="2"/>
  <c r="F431" i="2" s="1"/>
  <c r="G431" i="2" s="1"/>
  <c r="J431" i="2"/>
  <c r="M431" i="2"/>
  <c r="N431" i="2" s="1"/>
  <c r="A432" i="3"/>
  <c r="E431" i="3"/>
  <c r="M431" i="3" s="1"/>
  <c r="N431" i="3" s="1"/>
  <c r="J431" i="3"/>
  <c r="H431" i="3"/>
  <c r="D431" i="3"/>
  <c r="F431" i="3" s="1"/>
  <c r="G431" i="3" s="1"/>
  <c r="I430" i="3"/>
  <c r="I430" i="2"/>
  <c r="C429" i="3"/>
  <c r="B430" i="3"/>
  <c r="I431" i="3" l="1"/>
  <c r="C430" i="3"/>
  <c r="B431" i="3"/>
  <c r="D432" i="3"/>
  <c r="F432" i="3" s="1"/>
  <c r="G432" i="3" s="1"/>
  <c r="E432" i="3"/>
  <c r="H432" i="3"/>
  <c r="A433" i="3"/>
  <c r="J432" i="3"/>
  <c r="C430" i="2"/>
  <c r="B431" i="2"/>
  <c r="I431" i="2"/>
  <c r="D432" i="2"/>
  <c r="F432" i="2" s="1"/>
  <c r="G432" i="2" s="1"/>
  <c r="H432" i="2"/>
  <c r="J432" i="2"/>
  <c r="A433" i="2"/>
  <c r="E432" i="2"/>
  <c r="M432" i="2" s="1"/>
  <c r="N432" i="2" s="1"/>
  <c r="H433" i="3" l="1"/>
  <c r="E433" i="3"/>
  <c r="D433" i="3"/>
  <c r="J433" i="3"/>
  <c r="F433" i="3"/>
  <c r="G433" i="3" s="1"/>
  <c r="M433" i="3"/>
  <c r="N433" i="3" s="1"/>
  <c r="A434" i="3"/>
  <c r="I432" i="3"/>
  <c r="B432" i="3"/>
  <c r="C431" i="3"/>
  <c r="H433" i="2"/>
  <c r="J433" i="2"/>
  <c r="D433" i="2"/>
  <c r="A434" i="2"/>
  <c r="F433" i="2"/>
  <c r="G433" i="2" s="1"/>
  <c r="E433" i="2"/>
  <c r="M432" i="3"/>
  <c r="N432" i="3" s="1"/>
  <c r="B432" i="2"/>
  <c r="C431" i="2"/>
  <c r="I432" i="2"/>
  <c r="C432" i="3" l="1"/>
  <c r="B433" i="3"/>
  <c r="I433" i="3"/>
  <c r="A435" i="3"/>
  <c r="E434" i="3"/>
  <c r="D434" i="3"/>
  <c r="M434" i="3"/>
  <c r="N434" i="3" s="1"/>
  <c r="H434" i="3"/>
  <c r="F434" i="3"/>
  <c r="G434" i="3" s="1"/>
  <c r="J434" i="3"/>
  <c r="A435" i="2"/>
  <c r="E434" i="2"/>
  <c r="D434" i="2"/>
  <c r="M434" i="2"/>
  <c r="N434" i="2" s="1"/>
  <c r="F434" i="2"/>
  <c r="G434" i="2" s="1"/>
  <c r="H434" i="2"/>
  <c r="J434" i="2"/>
  <c r="I433" i="2"/>
  <c r="M433" i="2"/>
  <c r="N433" i="2" s="1"/>
  <c r="C432" i="2"/>
  <c r="B433" i="2"/>
  <c r="I434" i="3" l="1"/>
  <c r="J435" i="3"/>
  <c r="D435" i="3"/>
  <c r="H435" i="3"/>
  <c r="E435" i="3"/>
  <c r="F435" i="3"/>
  <c r="G435" i="3" s="1"/>
  <c r="A436" i="3"/>
  <c r="I434" i="2"/>
  <c r="J435" i="2"/>
  <c r="H435" i="2"/>
  <c r="E435" i="2"/>
  <c r="D435" i="2"/>
  <c r="F435" i="2" s="1"/>
  <c r="G435" i="2" s="1"/>
  <c r="A436" i="2"/>
  <c r="M435" i="2"/>
  <c r="N435" i="2" s="1"/>
  <c r="C433" i="3"/>
  <c r="B434" i="3"/>
  <c r="C433" i="2"/>
  <c r="B434" i="2"/>
  <c r="I435" i="3" l="1"/>
  <c r="C434" i="3"/>
  <c r="B435" i="3"/>
  <c r="A437" i="2"/>
  <c r="E436" i="2"/>
  <c r="H436" i="2"/>
  <c r="J436" i="2"/>
  <c r="D436" i="2"/>
  <c r="F436" i="2" s="1"/>
  <c r="G436" i="2" s="1"/>
  <c r="M436" i="2"/>
  <c r="N436" i="2" s="1"/>
  <c r="I435" i="2"/>
  <c r="C434" i="2"/>
  <c r="B435" i="2"/>
  <c r="A437" i="3"/>
  <c r="E436" i="3"/>
  <c r="J436" i="3"/>
  <c r="M436" i="3"/>
  <c r="N436" i="3" s="1"/>
  <c r="H436" i="3"/>
  <c r="D436" i="3"/>
  <c r="F436" i="3" s="1"/>
  <c r="G436" i="3" s="1"/>
  <c r="M435" i="3"/>
  <c r="N435" i="3" s="1"/>
  <c r="I436" i="3" l="1"/>
  <c r="I436" i="2"/>
  <c r="D437" i="2"/>
  <c r="A438" i="2"/>
  <c r="J437" i="2"/>
  <c r="H437" i="2"/>
  <c r="F437" i="2"/>
  <c r="G437" i="2" s="1"/>
  <c r="E437" i="2"/>
  <c r="M437" i="2" s="1"/>
  <c r="N437" i="2" s="1"/>
  <c r="C435" i="2"/>
  <c r="B436" i="2"/>
  <c r="C435" i="3"/>
  <c r="B436" i="3"/>
  <c r="A438" i="3"/>
  <c r="D437" i="3"/>
  <c r="F437" i="3" s="1"/>
  <c r="G437" i="3" s="1"/>
  <c r="E437" i="3"/>
  <c r="J437" i="3"/>
  <c r="H437" i="3"/>
  <c r="H438" i="3" l="1"/>
  <c r="A439" i="3"/>
  <c r="J438" i="3"/>
  <c r="D438" i="3"/>
  <c r="F438" i="3" s="1"/>
  <c r="G438" i="3" s="1"/>
  <c r="E438" i="3"/>
  <c r="M438" i="3" s="1"/>
  <c r="N438" i="3" s="1"/>
  <c r="I437" i="3"/>
  <c r="B437" i="2"/>
  <c r="C436" i="2"/>
  <c r="I437" i="2"/>
  <c r="H438" i="2"/>
  <c r="J438" i="2"/>
  <c r="A439" i="2"/>
  <c r="E438" i="2"/>
  <c r="D438" i="2"/>
  <c r="F438" i="2"/>
  <c r="G438" i="2" s="1"/>
  <c r="M438" i="2"/>
  <c r="N438" i="2" s="1"/>
  <c r="M437" i="3"/>
  <c r="N437" i="3" s="1"/>
  <c r="B437" i="3"/>
  <c r="C436" i="3"/>
  <c r="A440" i="3" l="1"/>
  <c r="E439" i="3"/>
  <c r="M439" i="3" s="1"/>
  <c r="N439" i="3" s="1"/>
  <c r="D439" i="3"/>
  <c r="H439" i="3"/>
  <c r="F439" i="3"/>
  <c r="G439" i="3" s="1"/>
  <c r="J439" i="3"/>
  <c r="A440" i="2"/>
  <c r="E439" i="2"/>
  <c r="D439" i="2"/>
  <c r="F439" i="2" s="1"/>
  <c r="G439" i="2" s="1"/>
  <c r="H439" i="2"/>
  <c r="J439" i="2"/>
  <c r="C437" i="3"/>
  <c r="B438" i="3"/>
  <c r="C437" i="2"/>
  <c r="B438" i="2"/>
  <c r="I438" i="3"/>
  <c r="I438" i="2"/>
  <c r="B439" i="2" l="1"/>
  <c r="C438" i="2"/>
  <c r="I439" i="2"/>
  <c r="J440" i="2"/>
  <c r="H440" i="2"/>
  <c r="E440" i="2"/>
  <c r="M440" i="2"/>
  <c r="N440" i="2" s="1"/>
  <c r="D440" i="2"/>
  <c r="F440" i="2" s="1"/>
  <c r="G440" i="2" s="1"/>
  <c r="A441" i="2"/>
  <c r="C438" i="3"/>
  <c r="B439" i="3"/>
  <c r="I439" i="3"/>
  <c r="M439" i="2"/>
  <c r="N439" i="2" s="1"/>
  <c r="J440" i="3"/>
  <c r="D440" i="3"/>
  <c r="F440" i="3"/>
  <c r="G440" i="3" s="1"/>
  <c r="E440" i="3"/>
  <c r="H440" i="3"/>
  <c r="A441" i="3"/>
  <c r="I440" i="3" l="1"/>
  <c r="M440" i="3"/>
  <c r="N440" i="3" s="1"/>
  <c r="C439" i="3"/>
  <c r="B440" i="3"/>
  <c r="I440" i="2"/>
  <c r="F441" i="3"/>
  <c r="G441" i="3" s="1"/>
  <c r="A442" i="3"/>
  <c r="E441" i="3"/>
  <c r="J441" i="3"/>
  <c r="H441" i="3"/>
  <c r="D441" i="3"/>
  <c r="A442" i="2"/>
  <c r="E441" i="2"/>
  <c r="H441" i="2"/>
  <c r="J441" i="2"/>
  <c r="M441" i="2"/>
  <c r="N441" i="2" s="1"/>
  <c r="D441" i="2"/>
  <c r="F441" i="2" s="1"/>
  <c r="G441" i="2" s="1"/>
  <c r="C439" i="2"/>
  <c r="B440" i="2"/>
  <c r="I441" i="3" l="1"/>
  <c r="I441" i="2"/>
  <c r="C440" i="2"/>
  <c r="B441" i="2"/>
  <c r="J442" i="3"/>
  <c r="D442" i="3"/>
  <c r="F442" i="3" s="1"/>
  <c r="G442" i="3" s="1"/>
  <c r="E442" i="3"/>
  <c r="M442" i="3" s="1"/>
  <c r="N442" i="3" s="1"/>
  <c r="A443" i="3"/>
  <c r="H442" i="3"/>
  <c r="C440" i="3"/>
  <c r="B441" i="3"/>
  <c r="D442" i="2"/>
  <c r="J442" i="2"/>
  <c r="H442" i="2"/>
  <c r="F442" i="2"/>
  <c r="G442" i="2" s="1"/>
  <c r="E442" i="2"/>
  <c r="A443" i="2"/>
  <c r="M441" i="3"/>
  <c r="N441" i="3" s="1"/>
  <c r="I442" i="2" l="1"/>
  <c r="H443" i="3"/>
  <c r="A444" i="3"/>
  <c r="J443" i="3"/>
  <c r="E443" i="3"/>
  <c r="M443" i="3" s="1"/>
  <c r="N443" i="3" s="1"/>
  <c r="D443" i="3"/>
  <c r="F443" i="3" s="1"/>
  <c r="G443" i="3" s="1"/>
  <c r="M442" i="2"/>
  <c r="N442" i="2" s="1"/>
  <c r="B442" i="3"/>
  <c r="C441" i="3"/>
  <c r="B442" i="2"/>
  <c r="C441" i="2"/>
  <c r="I442" i="3"/>
  <c r="H443" i="2"/>
  <c r="J443" i="2"/>
  <c r="D443" i="2"/>
  <c r="F443" i="2" s="1"/>
  <c r="G443" i="2" s="1"/>
  <c r="E443" i="2"/>
  <c r="A444" i="2"/>
  <c r="I443" i="2" l="1"/>
  <c r="C442" i="3"/>
  <c r="B443" i="3"/>
  <c r="I443" i="3"/>
  <c r="A445" i="3"/>
  <c r="E444" i="3"/>
  <c r="D444" i="3"/>
  <c r="F444" i="3" s="1"/>
  <c r="G444" i="3" s="1"/>
  <c r="M444" i="3"/>
  <c r="N444" i="3" s="1"/>
  <c r="H444" i="3"/>
  <c r="J444" i="3"/>
  <c r="A445" i="2"/>
  <c r="E444" i="2"/>
  <c r="D444" i="2"/>
  <c r="M444" i="2"/>
  <c r="N444" i="2" s="1"/>
  <c r="F444" i="2"/>
  <c r="G444" i="2" s="1"/>
  <c r="H444" i="2"/>
  <c r="J444" i="2"/>
  <c r="C442" i="2"/>
  <c r="B443" i="2"/>
  <c r="M443" i="2"/>
  <c r="N443" i="2" s="1"/>
  <c r="J445" i="2" l="1"/>
  <c r="D445" i="2"/>
  <c r="H445" i="2"/>
  <c r="A446" i="2"/>
  <c r="F445" i="2"/>
  <c r="G445" i="2" s="1"/>
  <c r="E445" i="2"/>
  <c r="B444" i="3"/>
  <c r="C443" i="3"/>
  <c r="J445" i="3"/>
  <c r="D445" i="3"/>
  <c r="F445" i="3" s="1"/>
  <c r="G445" i="3" s="1"/>
  <c r="E445" i="3"/>
  <c r="H445" i="3"/>
  <c r="A446" i="3"/>
  <c r="M445" i="3"/>
  <c r="N445" i="3" s="1"/>
  <c r="C443" i="2"/>
  <c r="B444" i="2"/>
  <c r="I444" i="3"/>
  <c r="I444" i="2"/>
  <c r="A447" i="2" l="1"/>
  <c r="E446" i="2"/>
  <c r="H446" i="2"/>
  <c r="D446" i="2"/>
  <c r="F446" i="2" s="1"/>
  <c r="G446" i="2" s="1"/>
  <c r="M446" i="2"/>
  <c r="N446" i="2" s="1"/>
  <c r="J446" i="2"/>
  <c r="C444" i="2"/>
  <c r="B445" i="2"/>
  <c r="C444" i="3"/>
  <c r="B445" i="3"/>
  <c r="I445" i="2"/>
  <c r="A447" i="3"/>
  <c r="E446" i="3"/>
  <c r="J446" i="3"/>
  <c r="H446" i="3"/>
  <c r="D446" i="3"/>
  <c r="F446" i="3" s="1"/>
  <c r="G446" i="3" s="1"/>
  <c r="M446" i="3"/>
  <c r="N446" i="3" s="1"/>
  <c r="M445" i="2"/>
  <c r="N445" i="2" s="1"/>
  <c r="I445" i="3"/>
  <c r="C445" i="2" l="1"/>
  <c r="B446" i="2"/>
  <c r="H447" i="3"/>
  <c r="D447" i="3"/>
  <c r="F447" i="3" s="1"/>
  <c r="G447" i="3" s="1"/>
  <c r="E447" i="3"/>
  <c r="A448" i="3"/>
  <c r="J447" i="3"/>
  <c r="I446" i="2"/>
  <c r="C445" i="3"/>
  <c r="B446" i="3"/>
  <c r="D447" i="2"/>
  <c r="H447" i="2"/>
  <c r="E447" i="2"/>
  <c r="F447" i="2"/>
  <c r="G447" i="2" s="1"/>
  <c r="J447" i="2"/>
  <c r="A448" i="2"/>
  <c r="I446" i="3"/>
  <c r="I447" i="2" l="1"/>
  <c r="H448" i="3"/>
  <c r="J448" i="3"/>
  <c r="A449" i="3"/>
  <c r="E448" i="3"/>
  <c r="D448" i="3"/>
  <c r="F448" i="3" s="1"/>
  <c r="G448" i="3" s="1"/>
  <c r="I447" i="3"/>
  <c r="M447" i="2"/>
  <c r="N447" i="2" s="1"/>
  <c r="B447" i="3"/>
  <c r="C446" i="3"/>
  <c r="M447" i="3"/>
  <c r="N447" i="3" s="1"/>
  <c r="B447" i="2"/>
  <c r="C446" i="2"/>
  <c r="H448" i="2"/>
  <c r="J448" i="2"/>
  <c r="E448" i="2"/>
  <c r="D448" i="2"/>
  <c r="F448" i="2" s="1"/>
  <c r="G448" i="2" s="1"/>
  <c r="A449" i="2"/>
  <c r="M448" i="2"/>
  <c r="N448" i="2" s="1"/>
  <c r="I448" i="3" l="1"/>
  <c r="A450" i="3"/>
  <c r="E449" i="3"/>
  <c r="D449" i="3"/>
  <c r="M449" i="3"/>
  <c r="N449" i="3" s="1"/>
  <c r="H449" i="3"/>
  <c r="F449" i="3"/>
  <c r="G449" i="3" s="1"/>
  <c r="J449" i="3"/>
  <c r="M448" i="3"/>
  <c r="N448" i="3" s="1"/>
  <c r="C447" i="2"/>
  <c r="B448" i="2"/>
  <c r="A450" i="2"/>
  <c r="E449" i="2"/>
  <c r="D449" i="2"/>
  <c r="M449" i="2"/>
  <c r="N449" i="2" s="1"/>
  <c r="F449" i="2"/>
  <c r="G449" i="2" s="1"/>
  <c r="J449" i="2"/>
  <c r="H449" i="2"/>
  <c r="C447" i="3"/>
  <c r="B448" i="3"/>
  <c r="I448" i="2"/>
  <c r="I449" i="3" l="1"/>
  <c r="I449" i="2"/>
  <c r="J450" i="2"/>
  <c r="A451" i="2"/>
  <c r="H450" i="2"/>
  <c r="E450" i="2"/>
  <c r="D450" i="2"/>
  <c r="F450" i="2" s="1"/>
  <c r="G450" i="2" s="1"/>
  <c r="B449" i="3"/>
  <c r="C448" i="3"/>
  <c r="B449" i="2"/>
  <c r="C448" i="2"/>
  <c r="J450" i="3"/>
  <c r="D450" i="3"/>
  <c r="A451" i="3"/>
  <c r="H450" i="3"/>
  <c r="F450" i="3"/>
  <c r="G450" i="3" s="1"/>
  <c r="E450" i="3"/>
  <c r="I450" i="2" l="1"/>
  <c r="C449" i="2"/>
  <c r="B450" i="2"/>
  <c r="A452" i="3"/>
  <c r="E451" i="3"/>
  <c r="J451" i="3"/>
  <c r="M451" i="3"/>
  <c r="N451" i="3" s="1"/>
  <c r="H451" i="3"/>
  <c r="D451" i="3"/>
  <c r="F451" i="3" s="1"/>
  <c r="G451" i="3" s="1"/>
  <c r="M450" i="2"/>
  <c r="N450" i="2" s="1"/>
  <c r="A452" i="2"/>
  <c r="E451" i="2"/>
  <c r="H451" i="2"/>
  <c r="D451" i="2"/>
  <c r="F451" i="2" s="1"/>
  <c r="G451" i="2" s="1"/>
  <c r="J451" i="2"/>
  <c r="M451" i="2"/>
  <c r="N451" i="2" s="1"/>
  <c r="I450" i="3"/>
  <c r="M450" i="3"/>
  <c r="N450" i="3" s="1"/>
  <c r="C449" i="3"/>
  <c r="B450" i="3"/>
  <c r="E452" i="3" l="1"/>
  <c r="D452" i="3"/>
  <c r="F452" i="3" s="1"/>
  <c r="G452" i="3" s="1"/>
  <c r="H452" i="3"/>
  <c r="A453" i="3"/>
  <c r="J452" i="3"/>
  <c r="B451" i="2"/>
  <c r="C450" i="2"/>
  <c r="I451" i="3"/>
  <c r="B451" i="3"/>
  <c r="C450" i="3"/>
  <c r="D452" i="2"/>
  <c r="F452" i="2"/>
  <c r="G452" i="2" s="1"/>
  <c r="H452" i="2"/>
  <c r="E452" i="2"/>
  <c r="A453" i="2"/>
  <c r="J452" i="2"/>
  <c r="I451" i="2"/>
  <c r="H453" i="2" l="1"/>
  <c r="J453" i="2"/>
  <c r="E453" i="2"/>
  <c r="M453" i="2" s="1"/>
  <c r="N453" i="2" s="1"/>
  <c r="D453" i="2"/>
  <c r="F453" i="2" s="1"/>
  <c r="G453" i="2" s="1"/>
  <c r="A454" i="2"/>
  <c r="I452" i="2"/>
  <c r="B452" i="2"/>
  <c r="C451" i="2"/>
  <c r="H453" i="3"/>
  <c r="J453" i="3"/>
  <c r="E453" i="3"/>
  <c r="A454" i="3"/>
  <c r="M453" i="3"/>
  <c r="N453" i="3" s="1"/>
  <c r="D453" i="3"/>
  <c r="F453" i="3" s="1"/>
  <c r="G453" i="3" s="1"/>
  <c r="I452" i="3"/>
  <c r="M452" i="2"/>
  <c r="N452" i="2" s="1"/>
  <c r="B452" i="3"/>
  <c r="C451" i="3"/>
  <c r="M452" i="3"/>
  <c r="N452" i="3" s="1"/>
  <c r="C452" i="2" l="1"/>
  <c r="B453" i="2"/>
  <c r="A455" i="3"/>
  <c r="E454" i="3"/>
  <c r="M454" i="3" s="1"/>
  <c r="N454" i="3" s="1"/>
  <c r="D454" i="3"/>
  <c r="H454" i="3"/>
  <c r="J454" i="3"/>
  <c r="F454" i="3"/>
  <c r="G454" i="3" s="1"/>
  <c r="I453" i="3"/>
  <c r="I453" i="2"/>
  <c r="C452" i="3"/>
  <c r="B453" i="3"/>
  <c r="A455" i="2"/>
  <c r="E454" i="2"/>
  <c r="D454" i="2"/>
  <c r="M454" i="2"/>
  <c r="N454" i="2" s="1"/>
  <c r="F454" i="2"/>
  <c r="G454" i="2" s="1"/>
  <c r="J454" i="2"/>
  <c r="H454" i="2"/>
  <c r="B454" i="3" l="1"/>
  <c r="C453" i="3"/>
  <c r="I454" i="2"/>
  <c r="J455" i="2"/>
  <c r="D455" i="2"/>
  <c r="E455" i="2"/>
  <c r="M455" i="2"/>
  <c r="N455" i="2" s="1"/>
  <c r="H455" i="2"/>
  <c r="F455" i="2"/>
  <c r="G455" i="2" s="1"/>
  <c r="A456" i="2"/>
  <c r="J455" i="3"/>
  <c r="D455" i="3"/>
  <c r="A456" i="3"/>
  <c r="H455" i="3"/>
  <c r="F455" i="3"/>
  <c r="G455" i="3" s="1"/>
  <c r="E455" i="3"/>
  <c r="M455" i="3" s="1"/>
  <c r="N455" i="3" s="1"/>
  <c r="C453" i="2"/>
  <c r="B454" i="2"/>
  <c r="I454" i="3"/>
  <c r="I455" i="2" l="1"/>
  <c r="A457" i="3"/>
  <c r="E456" i="3"/>
  <c r="J456" i="3"/>
  <c r="M456" i="3"/>
  <c r="N456" i="3" s="1"/>
  <c r="H456" i="3"/>
  <c r="D456" i="3"/>
  <c r="F456" i="3" s="1"/>
  <c r="G456" i="3" s="1"/>
  <c r="I455" i="3"/>
  <c r="C454" i="2"/>
  <c r="B455" i="2"/>
  <c r="A457" i="2"/>
  <c r="E456" i="2"/>
  <c r="H456" i="2"/>
  <c r="D456" i="2"/>
  <c r="F456" i="2" s="1"/>
  <c r="G456" i="2" s="1"/>
  <c r="J456" i="2"/>
  <c r="C454" i="3"/>
  <c r="B455" i="3"/>
  <c r="I456" i="2" l="1"/>
  <c r="M456" i="2"/>
  <c r="N456" i="2" s="1"/>
  <c r="I456" i="3"/>
  <c r="C455" i="2"/>
  <c r="B456" i="2"/>
  <c r="M457" i="2"/>
  <c r="N457" i="2" s="1"/>
  <c r="D457" i="2"/>
  <c r="F457" i="2" s="1"/>
  <c r="G457" i="2" s="1"/>
  <c r="J457" i="2"/>
  <c r="H457" i="2"/>
  <c r="A458" i="2"/>
  <c r="E457" i="2"/>
  <c r="D457" i="3"/>
  <c r="F457" i="3" s="1"/>
  <c r="G457" i="3" s="1"/>
  <c r="H457" i="3"/>
  <c r="E457" i="3"/>
  <c r="J457" i="3"/>
  <c r="A458" i="3"/>
  <c r="B456" i="3"/>
  <c r="C455" i="3"/>
  <c r="I457" i="3" l="1"/>
  <c r="B457" i="2"/>
  <c r="C456" i="2"/>
  <c r="M457" i="3"/>
  <c r="N457" i="3" s="1"/>
  <c r="I457" i="2"/>
  <c r="B457" i="3"/>
  <c r="C456" i="3"/>
  <c r="H458" i="3"/>
  <c r="E458" i="3"/>
  <c r="D458" i="3"/>
  <c r="F458" i="3" s="1"/>
  <c r="G458" i="3" s="1"/>
  <c r="A459" i="3"/>
  <c r="J458" i="3"/>
  <c r="H458" i="2"/>
  <c r="J458" i="2"/>
  <c r="D458" i="2"/>
  <c r="F458" i="2" s="1"/>
  <c r="G458" i="2" s="1"/>
  <c r="A459" i="2"/>
  <c r="E458" i="2"/>
  <c r="M458" i="2" s="1"/>
  <c r="N458" i="2" s="1"/>
  <c r="I458" i="3" l="1"/>
  <c r="A460" i="2"/>
  <c r="E459" i="2"/>
  <c r="D459" i="2"/>
  <c r="M459" i="2"/>
  <c r="N459" i="2" s="1"/>
  <c r="F459" i="2"/>
  <c r="G459" i="2" s="1"/>
  <c r="H459" i="2"/>
  <c r="J459" i="2"/>
  <c r="C457" i="3"/>
  <c r="B458" i="3"/>
  <c r="M458" i="3"/>
  <c r="N458" i="3" s="1"/>
  <c r="E459" i="3"/>
  <c r="A460" i="3"/>
  <c r="D459" i="3"/>
  <c r="F459" i="3" s="1"/>
  <c r="G459" i="3" s="1"/>
  <c r="J459" i="3"/>
  <c r="H459" i="3"/>
  <c r="M459" i="3"/>
  <c r="N459" i="3" s="1"/>
  <c r="C457" i="2"/>
  <c r="B458" i="2"/>
  <c r="I458" i="2"/>
  <c r="I459" i="2" l="1"/>
  <c r="C458" i="3"/>
  <c r="B459" i="3"/>
  <c r="A461" i="3"/>
  <c r="J460" i="3"/>
  <c r="H460" i="3"/>
  <c r="E460" i="3"/>
  <c r="D460" i="3"/>
  <c r="F460" i="3" s="1"/>
  <c r="G460" i="3" s="1"/>
  <c r="I459" i="3"/>
  <c r="B459" i="2"/>
  <c r="C458" i="2"/>
  <c r="J460" i="2"/>
  <c r="H460" i="2"/>
  <c r="E460" i="2"/>
  <c r="D460" i="2"/>
  <c r="F460" i="2" s="1"/>
  <c r="G460" i="2" s="1"/>
  <c r="A461" i="2"/>
  <c r="I460" i="3" l="1"/>
  <c r="I460" i="2"/>
  <c r="M460" i="3"/>
  <c r="N460" i="3" s="1"/>
  <c r="H461" i="3"/>
  <c r="J461" i="3"/>
  <c r="A462" i="3"/>
  <c r="D461" i="3"/>
  <c r="E461" i="3"/>
  <c r="M461" i="3" s="1"/>
  <c r="N461" i="3" s="1"/>
  <c r="F461" i="3"/>
  <c r="G461" i="3" s="1"/>
  <c r="C459" i="2"/>
  <c r="B460" i="2"/>
  <c r="B460" i="3"/>
  <c r="C459" i="3"/>
  <c r="A462" i="2"/>
  <c r="E461" i="2"/>
  <c r="H461" i="2"/>
  <c r="J461" i="2"/>
  <c r="D461" i="2"/>
  <c r="F461" i="2" s="1"/>
  <c r="G461" i="2" s="1"/>
  <c r="M460" i="2"/>
  <c r="N460" i="2" s="1"/>
  <c r="I461" i="3" l="1"/>
  <c r="I461" i="2"/>
  <c r="D462" i="3"/>
  <c r="H462" i="3"/>
  <c r="F462" i="3"/>
  <c r="G462" i="3" s="1"/>
  <c r="J462" i="3"/>
  <c r="A463" i="3"/>
  <c r="E462" i="3"/>
  <c r="I462" i="3" s="1"/>
  <c r="C460" i="3"/>
  <c r="B461" i="3"/>
  <c r="D462" i="2"/>
  <c r="A463" i="2"/>
  <c r="J462" i="2"/>
  <c r="F462" i="2"/>
  <c r="G462" i="2" s="1"/>
  <c r="E462" i="2"/>
  <c r="H462" i="2"/>
  <c r="C460" i="2"/>
  <c r="B461" i="2"/>
  <c r="M461" i="2"/>
  <c r="N461" i="2" s="1"/>
  <c r="I462" i="2" l="1"/>
  <c r="H463" i="2"/>
  <c r="J463" i="2"/>
  <c r="A464" i="2"/>
  <c r="D463" i="2"/>
  <c r="F463" i="2"/>
  <c r="G463" i="2" s="1"/>
  <c r="E463" i="2"/>
  <c r="J463" i="3"/>
  <c r="E463" i="3"/>
  <c r="M463" i="3" s="1"/>
  <c r="N463" i="3" s="1"/>
  <c r="A464" i="3"/>
  <c r="D463" i="3"/>
  <c r="H463" i="3"/>
  <c r="F463" i="3"/>
  <c r="G463" i="3" s="1"/>
  <c r="M462" i="3"/>
  <c r="N462" i="3" s="1"/>
  <c r="M462" i="2"/>
  <c r="N462" i="2" s="1"/>
  <c r="B462" i="2"/>
  <c r="C461" i="2"/>
  <c r="C461" i="3"/>
  <c r="B462" i="3"/>
  <c r="C462" i="2" l="1"/>
  <c r="B463" i="2"/>
  <c r="C462" i="3"/>
  <c r="B463" i="3"/>
  <c r="I463" i="2"/>
  <c r="M463" i="2"/>
  <c r="N463" i="2" s="1"/>
  <c r="F464" i="3"/>
  <c r="G464" i="3" s="1"/>
  <c r="E464" i="3"/>
  <c r="J464" i="3"/>
  <c r="A465" i="3"/>
  <c r="H464" i="3"/>
  <c r="D464" i="3"/>
  <c r="A465" i="2"/>
  <c r="E464" i="2"/>
  <c r="M464" i="2" s="1"/>
  <c r="N464" i="2" s="1"/>
  <c r="D464" i="2"/>
  <c r="F464" i="2" s="1"/>
  <c r="G464" i="2" s="1"/>
  <c r="H464" i="2"/>
  <c r="J464" i="2"/>
  <c r="I463" i="3"/>
  <c r="I464" i="3" l="1"/>
  <c r="M464" i="3"/>
  <c r="N464" i="3" s="1"/>
  <c r="J465" i="3"/>
  <c r="H465" i="3"/>
  <c r="A466" i="3"/>
  <c r="D465" i="3"/>
  <c r="F465" i="3"/>
  <c r="G465" i="3" s="1"/>
  <c r="E465" i="3"/>
  <c r="B464" i="2"/>
  <c r="C463" i="2"/>
  <c r="I464" i="2"/>
  <c r="J465" i="2"/>
  <c r="H465" i="2"/>
  <c r="D465" i="2"/>
  <c r="F465" i="2" s="1"/>
  <c r="G465" i="2" s="1"/>
  <c r="E465" i="2"/>
  <c r="M465" i="2" s="1"/>
  <c r="N465" i="2" s="1"/>
  <c r="A466" i="2"/>
  <c r="B464" i="3"/>
  <c r="C463" i="3"/>
  <c r="I465" i="3" l="1"/>
  <c r="A467" i="2"/>
  <c r="E466" i="2"/>
  <c r="H466" i="2"/>
  <c r="J466" i="2"/>
  <c r="M466" i="2"/>
  <c r="N466" i="2" s="1"/>
  <c r="D466" i="2"/>
  <c r="F466" i="2" s="1"/>
  <c r="G466" i="2" s="1"/>
  <c r="C464" i="2"/>
  <c r="B465" i="2"/>
  <c r="I465" i="2"/>
  <c r="M465" i="3"/>
  <c r="N465" i="3" s="1"/>
  <c r="H466" i="3"/>
  <c r="E466" i="3"/>
  <c r="J466" i="3"/>
  <c r="M466" i="3"/>
  <c r="N466" i="3" s="1"/>
  <c r="A467" i="3"/>
  <c r="D466" i="3"/>
  <c r="F466" i="3" s="1"/>
  <c r="G466" i="3" s="1"/>
  <c r="B465" i="3"/>
  <c r="C464" i="3"/>
  <c r="C465" i="2" l="1"/>
  <c r="B466" i="2"/>
  <c r="D467" i="3"/>
  <c r="E467" i="3"/>
  <c r="A468" i="3"/>
  <c r="M467" i="3"/>
  <c r="N467" i="3" s="1"/>
  <c r="H467" i="3"/>
  <c r="F467" i="3"/>
  <c r="G467" i="3" s="1"/>
  <c r="J467" i="3"/>
  <c r="I466" i="3"/>
  <c r="I466" i="2"/>
  <c r="D467" i="2"/>
  <c r="J467" i="2"/>
  <c r="E467" i="2"/>
  <c r="M467" i="2" s="1"/>
  <c r="N467" i="2" s="1"/>
  <c r="F467" i="2"/>
  <c r="G467" i="2" s="1"/>
  <c r="A468" i="2"/>
  <c r="H467" i="2"/>
  <c r="C465" i="3"/>
  <c r="B466" i="3"/>
  <c r="H468" i="2" l="1"/>
  <c r="J468" i="2"/>
  <c r="E468" i="2"/>
  <c r="D468" i="2"/>
  <c r="F468" i="2"/>
  <c r="G468" i="2" s="1"/>
  <c r="A469" i="2"/>
  <c r="M468" i="2"/>
  <c r="N468" i="2" s="1"/>
  <c r="I467" i="3"/>
  <c r="B467" i="3"/>
  <c r="C466" i="3"/>
  <c r="B467" i="2"/>
  <c r="C466" i="2"/>
  <c r="I467" i="2"/>
  <c r="J468" i="3"/>
  <c r="E468" i="3"/>
  <c r="M468" i="3" s="1"/>
  <c r="N468" i="3" s="1"/>
  <c r="H468" i="3"/>
  <c r="D468" i="3"/>
  <c r="F468" i="3" s="1"/>
  <c r="G468" i="3" s="1"/>
  <c r="A469" i="3"/>
  <c r="I468" i="2" l="1"/>
  <c r="I468" i="3"/>
  <c r="J469" i="3"/>
  <c r="H469" i="3"/>
  <c r="A470" i="3"/>
  <c r="E469" i="3"/>
  <c r="M469" i="3" s="1"/>
  <c r="N469" i="3" s="1"/>
  <c r="D469" i="3"/>
  <c r="F469" i="3" s="1"/>
  <c r="G469" i="3" s="1"/>
  <c r="C467" i="2"/>
  <c r="B468" i="2"/>
  <c r="B468" i="3"/>
  <c r="C467" i="3"/>
  <c r="A470" i="2"/>
  <c r="E469" i="2"/>
  <c r="D469" i="2"/>
  <c r="M469" i="2"/>
  <c r="N469" i="2" s="1"/>
  <c r="F469" i="2"/>
  <c r="G469" i="2" s="1"/>
  <c r="J469" i="2"/>
  <c r="H469" i="2"/>
  <c r="E470" i="3" l="1"/>
  <c r="J470" i="3"/>
  <c r="H470" i="3"/>
  <c r="D470" i="3"/>
  <c r="F470" i="3" s="1"/>
  <c r="G470" i="3" s="1"/>
  <c r="A471" i="3"/>
  <c r="M470" i="3"/>
  <c r="N470" i="3" s="1"/>
  <c r="B469" i="3"/>
  <c r="C468" i="3"/>
  <c r="C468" i="2"/>
  <c r="B469" i="2"/>
  <c r="I469" i="3"/>
  <c r="I469" i="2"/>
  <c r="J470" i="2"/>
  <c r="D470" i="2"/>
  <c r="F470" i="2" s="1"/>
  <c r="G470" i="2" s="1"/>
  <c r="A471" i="2"/>
  <c r="H470" i="2"/>
  <c r="E470" i="2"/>
  <c r="M470" i="2" s="1"/>
  <c r="N470" i="2" s="1"/>
  <c r="B470" i="3" l="1"/>
  <c r="C469" i="3"/>
  <c r="A472" i="2"/>
  <c r="E471" i="2"/>
  <c r="M471" i="2" s="1"/>
  <c r="N471" i="2" s="1"/>
  <c r="H471" i="2"/>
  <c r="D471" i="2"/>
  <c r="F471" i="2" s="1"/>
  <c r="G471" i="2" s="1"/>
  <c r="J471" i="2"/>
  <c r="H471" i="3"/>
  <c r="A472" i="3"/>
  <c r="D471" i="3"/>
  <c r="F471" i="3" s="1"/>
  <c r="G471" i="3" s="1"/>
  <c r="E471" i="3"/>
  <c r="M471" i="3" s="1"/>
  <c r="N471" i="3" s="1"/>
  <c r="J471" i="3"/>
  <c r="I470" i="3"/>
  <c r="C469" i="2"/>
  <c r="B470" i="2"/>
  <c r="I470" i="2"/>
  <c r="I471" i="2" l="1"/>
  <c r="I471" i="3"/>
  <c r="D472" i="2"/>
  <c r="H472" i="2"/>
  <c r="F472" i="2"/>
  <c r="G472" i="2" s="1"/>
  <c r="E472" i="2"/>
  <c r="M472" i="2" s="1"/>
  <c r="N472" i="2" s="1"/>
  <c r="A473" i="2"/>
  <c r="J472" i="2"/>
  <c r="D472" i="3"/>
  <c r="F472" i="3" s="1"/>
  <c r="G472" i="3" s="1"/>
  <c r="J472" i="3"/>
  <c r="E472" i="3"/>
  <c r="M472" i="3"/>
  <c r="N472" i="3" s="1"/>
  <c r="H472" i="3"/>
  <c r="A473" i="3"/>
  <c r="B471" i="2"/>
  <c r="C470" i="2"/>
  <c r="B471" i="3"/>
  <c r="C470" i="3"/>
  <c r="J473" i="3" l="1"/>
  <c r="H473" i="3"/>
  <c r="A474" i="3"/>
  <c r="E473" i="3"/>
  <c r="M473" i="3" s="1"/>
  <c r="N473" i="3" s="1"/>
  <c r="D473" i="3"/>
  <c r="F473" i="3"/>
  <c r="G473" i="3" s="1"/>
  <c r="B472" i="2"/>
  <c r="C471" i="2"/>
  <c r="H473" i="2"/>
  <c r="J473" i="2"/>
  <c r="E473" i="2"/>
  <c r="M473" i="2"/>
  <c r="N473" i="2" s="1"/>
  <c r="D473" i="2"/>
  <c r="F473" i="2" s="1"/>
  <c r="G473" i="2" s="1"/>
  <c r="A474" i="2"/>
  <c r="I472" i="3"/>
  <c r="I472" i="2"/>
  <c r="C471" i="3"/>
  <c r="B472" i="3"/>
  <c r="A475" i="2" l="1"/>
  <c r="E474" i="2"/>
  <c r="D474" i="2"/>
  <c r="M474" i="2"/>
  <c r="N474" i="2" s="1"/>
  <c r="F474" i="2"/>
  <c r="G474" i="2" s="1"/>
  <c r="J474" i="2"/>
  <c r="H474" i="2"/>
  <c r="I473" i="2"/>
  <c r="F474" i="3"/>
  <c r="G474" i="3" s="1"/>
  <c r="E474" i="3"/>
  <c r="M474" i="3" s="1"/>
  <c r="N474" i="3" s="1"/>
  <c r="A475" i="3"/>
  <c r="D474" i="3"/>
  <c r="J474" i="3"/>
  <c r="H474" i="3"/>
  <c r="C472" i="2"/>
  <c r="B473" i="2"/>
  <c r="I473" i="3"/>
  <c r="B473" i="3"/>
  <c r="C472" i="3"/>
  <c r="C473" i="2" l="1"/>
  <c r="B474" i="2"/>
  <c r="A476" i="3"/>
  <c r="D475" i="3"/>
  <c r="H475" i="3"/>
  <c r="F475" i="3"/>
  <c r="G475" i="3" s="1"/>
  <c r="E475" i="3"/>
  <c r="I475" i="3" s="1"/>
  <c r="J475" i="3"/>
  <c r="I474" i="2"/>
  <c r="B474" i="3"/>
  <c r="C473" i="3"/>
  <c r="I474" i="3"/>
  <c r="J475" i="2"/>
  <c r="A476" i="2"/>
  <c r="D475" i="2"/>
  <c r="H475" i="2"/>
  <c r="F475" i="2"/>
  <c r="G475" i="2" s="1"/>
  <c r="E475" i="2"/>
  <c r="M475" i="2" s="1"/>
  <c r="N475" i="2" s="1"/>
  <c r="A477" i="2" l="1"/>
  <c r="E476" i="2"/>
  <c r="H476" i="2"/>
  <c r="D476" i="2"/>
  <c r="F476" i="2" s="1"/>
  <c r="G476" i="2" s="1"/>
  <c r="M476" i="2"/>
  <c r="N476" i="2" s="1"/>
  <c r="J476" i="2"/>
  <c r="H476" i="3"/>
  <c r="J476" i="3"/>
  <c r="A477" i="3"/>
  <c r="D476" i="3"/>
  <c r="F476" i="3" s="1"/>
  <c r="G476" i="3" s="1"/>
  <c r="E476" i="3"/>
  <c r="B475" i="3"/>
  <c r="C474" i="3"/>
  <c r="C474" i="2"/>
  <c r="B475" i="2"/>
  <c r="M475" i="3"/>
  <c r="N475" i="3" s="1"/>
  <c r="I475" i="2"/>
  <c r="B476" i="2" l="1"/>
  <c r="C475" i="2"/>
  <c r="C475" i="3"/>
  <c r="B476" i="3"/>
  <c r="I476" i="3"/>
  <c r="M476" i="3"/>
  <c r="N476" i="3" s="1"/>
  <c r="I476" i="2"/>
  <c r="D477" i="3"/>
  <c r="F477" i="3" s="1"/>
  <c r="G477" i="3" s="1"/>
  <c r="H477" i="3"/>
  <c r="A478" i="3"/>
  <c r="J477" i="3"/>
  <c r="E477" i="3"/>
  <c r="D477" i="2"/>
  <c r="F477" i="2"/>
  <c r="G477" i="2" s="1"/>
  <c r="H477" i="2"/>
  <c r="J477" i="2"/>
  <c r="A478" i="2"/>
  <c r="E477" i="2"/>
  <c r="M477" i="2" s="1"/>
  <c r="N477" i="2" s="1"/>
  <c r="C476" i="3" l="1"/>
  <c r="B477" i="3"/>
  <c r="H478" i="2"/>
  <c r="J478" i="2"/>
  <c r="A479" i="2"/>
  <c r="E478" i="2"/>
  <c r="D478" i="2"/>
  <c r="F478" i="2" s="1"/>
  <c r="G478" i="2" s="1"/>
  <c r="I477" i="3"/>
  <c r="I477" i="2"/>
  <c r="M477" i="3"/>
  <c r="N477" i="3" s="1"/>
  <c r="J478" i="3"/>
  <c r="E478" i="3"/>
  <c r="A479" i="3"/>
  <c r="D478" i="3"/>
  <c r="F478" i="3" s="1"/>
  <c r="G478" i="3" s="1"/>
  <c r="M478" i="3"/>
  <c r="N478" i="3" s="1"/>
  <c r="H478" i="3"/>
  <c r="B477" i="2"/>
  <c r="C476" i="2"/>
  <c r="A480" i="2" l="1"/>
  <c r="E479" i="2"/>
  <c r="D479" i="2"/>
  <c r="M479" i="2"/>
  <c r="N479" i="2" s="1"/>
  <c r="F479" i="2"/>
  <c r="G479" i="2" s="1"/>
  <c r="J479" i="2"/>
  <c r="H479" i="2"/>
  <c r="H479" i="3"/>
  <c r="E479" i="3"/>
  <c r="M479" i="3" s="1"/>
  <c r="N479" i="3" s="1"/>
  <c r="D479" i="3"/>
  <c r="F479" i="3" s="1"/>
  <c r="G479" i="3" s="1"/>
  <c r="A480" i="3"/>
  <c r="J479" i="3"/>
  <c r="I478" i="2"/>
  <c r="I478" i="3"/>
  <c r="M478" i="2"/>
  <c r="N478" i="2" s="1"/>
  <c r="C477" i="2"/>
  <c r="B478" i="2"/>
  <c r="B478" i="3"/>
  <c r="C477" i="3"/>
  <c r="J480" i="3" l="1"/>
  <c r="A481" i="3"/>
  <c r="D480" i="3"/>
  <c r="H480" i="3"/>
  <c r="E480" i="3"/>
  <c r="F480" i="3"/>
  <c r="G480" i="3" s="1"/>
  <c r="I479" i="3"/>
  <c r="B479" i="3"/>
  <c r="C478" i="3"/>
  <c r="I479" i="2"/>
  <c r="C478" i="2"/>
  <c r="B479" i="2"/>
  <c r="J480" i="2"/>
  <c r="E480" i="2"/>
  <c r="D480" i="2"/>
  <c r="F480" i="2"/>
  <c r="G480" i="2" s="1"/>
  <c r="A481" i="2"/>
  <c r="H480" i="2"/>
  <c r="I480" i="2" l="1"/>
  <c r="M480" i="2"/>
  <c r="N480" i="2" s="1"/>
  <c r="B480" i="3"/>
  <c r="C479" i="3"/>
  <c r="I480" i="3"/>
  <c r="M480" i="3"/>
  <c r="N480" i="3" s="1"/>
  <c r="C479" i="2"/>
  <c r="B480" i="2"/>
  <c r="H481" i="3"/>
  <c r="A482" i="3"/>
  <c r="J481" i="3"/>
  <c r="E481" i="3"/>
  <c r="D481" i="3"/>
  <c r="F481" i="3" s="1"/>
  <c r="G481" i="3" s="1"/>
  <c r="A482" i="2"/>
  <c r="E481" i="2"/>
  <c r="H481" i="2"/>
  <c r="M481" i="2"/>
  <c r="N481" i="2" s="1"/>
  <c r="J481" i="2"/>
  <c r="D481" i="2"/>
  <c r="F481" i="2" s="1"/>
  <c r="G481" i="2" s="1"/>
  <c r="I481" i="3" l="1"/>
  <c r="M481" i="3"/>
  <c r="N481" i="3" s="1"/>
  <c r="C480" i="3"/>
  <c r="B481" i="3"/>
  <c r="I481" i="2"/>
  <c r="D482" i="2"/>
  <c r="F482" i="2" s="1"/>
  <c r="G482" i="2" s="1"/>
  <c r="A483" i="2"/>
  <c r="H482" i="2"/>
  <c r="E482" i="2"/>
  <c r="M482" i="2" s="1"/>
  <c r="N482" i="2" s="1"/>
  <c r="J482" i="2"/>
  <c r="C480" i="2"/>
  <c r="B481" i="2"/>
  <c r="D482" i="3"/>
  <c r="F482" i="3"/>
  <c r="G482" i="3" s="1"/>
  <c r="E482" i="3"/>
  <c r="A483" i="3"/>
  <c r="J482" i="3"/>
  <c r="H482" i="3"/>
  <c r="I482" i="3" l="1"/>
  <c r="J483" i="3"/>
  <c r="E483" i="3"/>
  <c r="M483" i="3" s="1"/>
  <c r="N483" i="3" s="1"/>
  <c r="D483" i="3"/>
  <c r="F483" i="3" s="1"/>
  <c r="G483" i="3" s="1"/>
  <c r="H483" i="3"/>
  <c r="A484" i="3"/>
  <c r="H483" i="2"/>
  <c r="J483" i="2"/>
  <c r="D483" i="2"/>
  <c r="F483" i="2" s="1"/>
  <c r="G483" i="2" s="1"/>
  <c r="E483" i="2"/>
  <c r="M483" i="2" s="1"/>
  <c r="N483" i="2" s="1"/>
  <c r="A484" i="2"/>
  <c r="B482" i="2"/>
  <c r="C481" i="2"/>
  <c r="B482" i="3"/>
  <c r="C481" i="3"/>
  <c r="I482" i="2"/>
  <c r="M482" i="3"/>
  <c r="N482" i="3" s="1"/>
  <c r="B483" i="3" l="1"/>
  <c r="C482" i="3"/>
  <c r="A485" i="2"/>
  <c r="E484" i="2"/>
  <c r="D484" i="2"/>
  <c r="M484" i="2"/>
  <c r="N484" i="2" s="1"/>
  <c r="F484" i="2"/>
  <c r="G484" i="2" s="1"/>
  <c r="H484" i="2"/>
  <c r="J484" i="2"/>
  <c r="J484" i="3"/>
  <c r="H484" i="3"/>
  <c r="A485" i="3"/>
  <c r="E484" i="3"/>
  <c r="D484" i="3"/>
  <c r="F484" i="3" s="1"/>
  <c r="G484" i="3" s="1"/>
  <c r="I483" i="2"/>
  <c r="C482" i="2"/>
  <c r="B483" i="2"/>
  <c r="I483" i="3"/>
  <c r="I484" i="3" l="1"/>
  <c r="J485" i="2"/>
  <c r="H485" i="2"/>
  <c r="A486" i="2"/>
  <c r="D485" i="2"/>
  <c r="F485" i="2" s="1"/>
  <c r="G485" i="2" s="1"/>
  <c r="E485" i="2"/>
  <c r="M485" i="2" s="1"/>
  <c r="N485" i="2" s="1"/>
  <c r="M484" i="3"/>
  <c r="N484" i="3" s="1"/>
  <c r="H485" i="3"/>
  <c r="A486" i="3"/>
  <c r="E485" i="3"/>
  <c r="M485" i="3" s="1"/>
  <c r="N485" i="3" s="1"/>
  <c r="D485" i="3"/>
  <c r="F485" i="3" s="1"/>
  <c r="G485" i="3" s="1"/>
  <c r="J485" i="3"/>
  <c r="I484" i="2"/>
  <c r="C483" i="2"/>
  <c r="B484" i="2"/>
  <c r="C483" i="3"/>
  <c r="B484" i="3"/>
  <c r="I485" i="2" l="1"/>
  <c r="B485" i="3"/>
  <c r="C484" i="3"/>
  <c r="I485" i="3"/>
  <c r="A487" i="2"/>
  <c r="E486" i="2"/>
  <c r="H486" i="2"/>
  <c r="D486" i="2"/>
  <c r="F486" i="2" s="1"/>
  <c r="G486" i="2" s="1"/>
  <c r="J486" i="2"/>
  <c r="H486" i="3"/>
  <c r="E486" i="3"/>
  <c r="A487" i="3"/>
  <c r="D486" i="3"/>
  <c r="M486" i="3"/>
  <c r="N486" i="3" s="1"/>
  <c r="F486" i="3"/>
  <c r="G486" i="3" s="1"/>
  <c r="J486" i="3"/>
  <c r="C484" i="2"/>
  <c r="B485" i="2"/>
  <c r="I486" i="2" l="1"/>
  <c r="D487" i="3"/>
  <c r="A488" i="3"/>
  <c r="H487" i="3"/>
  <c r="F487" i="3"/>
  <c r="G487" i="3" s="1"/>
  <c r="E487" i="3"/>
  <c r="J487" i="3"/>
  <c r="D487" i="2"/>
  <c r="F487" i="2" s="1"/>
  <c r="G487" i="2" s="1"/>
  <c r="A488" i="2"/>
  <c r="H487" i="2"/>
  <c r="J487" i="2"/>
  <c r="E487" i="2"/>
  <c r="I486" i="3"/>
  <c r="B486" i="3"/>
  <c r="C485" i="3"/>
  <c r="B486" i="2"/>
  <c r="C485" i="2"/>
  <c r="M486" i="2"/>
  <c r="N486" i="2" s="1"/>
  <c r="I487" i="2" l="1"/>
  <c r="I487" i="3"/>
  <c r="M487" i="2"/>
  <c r="N487" i="2" s="1"/>
  <c r="B487" i="2"/>
  <c r="C486" i="2"/>
  <c r="B487" i="3"/>
  <c r="C486" i="3"/>
  <c r="H488" i="2"/>
  <c r="J488" i="2"/>
  <c r="A489" i="2"/>
  <c r="E488" i="2"/>
  <c r="D488" i="2"/>
  <c r="F488" i="2"/>
  <c r="G488" i="2" s="1"/>
  <c r="M487" i="3"/>
  <c r="N487" i="3" s="1"/>
  <c r="J488" i="3"/>
  <c r="H488" i="3"/>
  <c r="A489" i="3"/>
  <c r="D488" i="3"/>
  <c r="F488" i="3" s="1"/>
  <c r="G488" i="3" s="1"/>
  <c r="E488" i="3"/>
  <c r="M488" i="3" s="1"/>
  <c r="N488" i="3" s="1"/>
  <c r="I488" i="2" l="1"/>
  <c r="M488" i="2"/>
  <c r="N488" i="2" s="1"/>
  <c r="A490" i="2"/>
  <c r="E489" i="2"/>
  <c r="D489" i="2"/>
  <c r="M489" i="2"/>
  <c r="N489" i="2" s="1"/>
  <c r="F489" i="2"/>
  <c r="G489" i="2" s="1"/>
  <c r="H489" i="2"/>
  <c r="J489" i="2"/>
  <c r="F489" i="3"/>
  <c r="G489" i="3" s="1"/>
  <c r="A490" i="3"/>
  <c r="E489" i="3"/>
  <c r="D489" i="3"/>
  <c r="M489" i="3"/>
  <c r="N489" i="3" s="1"/>
  <c r="H489" i="3"/>
  <c r="J489" i="3"/>
  <c r="C487" i="3"/>
  <c r="B488" i="3"/>
  <c r="I488" i="3"/>
  <c r="C487" i="2"/>
  <c r="B488" i="2"/>
  <c r="B489" i="3" l="1"/>
  <c r="C488" i="3"/>
  <c r="I489" i="2"/>
  <c r="B489" i="2"/>
  <c r="C488" i="2"/>
  <c r="I489" i="3"/>
  <c r="J490" i="2"/>
  <c r="E490" i="2"/>
  <c r="H490" i="2"/>
  <c r="A491" i="2"/>
  <c r="D490" i="2"/>
  <c r="F490" i="2" s="1"/>
  <c r="G490" i="2" s="1"/>
  <c r="J490" i="3"/>
  <c r="D490" i="3"/>
  <c r="F490" i="3" s="1"/>
  <c r="G490" i="3" s="1"/>
  <c r="A491" i="3"/>
  <c r="H490" i="3"/>
  <c r="E490" i="3"/>
  <c r="M490" i="3" s="1"/>
  <c r="N490" i="3" s="1"/>
  <c r="H491" i="3" l="1"/>
  <c r="A492" i="3"/>
  <c r="J491" i="3"/>
  <c r="D491" i="3"/>
  <c r="F491" i="3" s="1"/>
  <c r="G491" i="3" s="1"/>
  <c r="E491" i="3"/>
  <c r="C489" i="2"/>
  <c r="B490" i="2"/>
  <c r="A492" i="2"/>
  <c r="E491" i="2"/>
  <c r="M491" i="2" s="1"/>
  <c r="N491" i="2" s="1"/>
  <c r="H491" i="2"/>
  <c r="J491" i="2"/>
  <c r="D491" i="2"/>
  <c r="F491" i="2" s="1"/>
  <c r="G491" i="2" s="1"/>
  <c r="I490" i="2"/>
  <c r="I490" i="3"/>
  <c r="M490" i="2"/>
  <c r="N490" i="2" s="1"/>
  <c r="B490" i="3"/>
  <c r="C489" i="3"/>
  <c r="C490" i="2" l="1"/>
  <c r="B491" i="2"/>
  <c r="I491" i="2"/>
  <c r="D492" i="3"/>
  <c r="F492" i="3" s="1"/>
  <c r="G492" i="3" s="1"/>
  <c r="E492" i="3"/>
  <c r="H492" i="3"/>
  <c r="A493" i="3"/>
  <c r="J492" i="3"/>
  <c r="B491" i="3"/>
  <c r="C490" i="3"/>
  <c r="D492" i="2"/>
  <c r="F492" i="2" s="1"/>
  <c r="G492" i="2" s="1"/>
  <c r="J492" i="2"/>
  <c r="E492" i="2"/>
  <c r="H492" i="2"/>
  <c r="A493" i="2"/>
  <c r="I491" i="3"/>
  <c r="M491" i="3"/>
  <c r="N491" i="3" s="1"/>
  <c r="J493" i="3" l="1"/>
  <c r="H493" i="3"/>
  <c r="D493" i="3"/>
  <c r="A494" i="3"/>
  <c r="E493" i="3"/>
  <c r="F493" i="3"/>
  <c r="G493" i="3" s="1"/>
  <c r="I492" i="2"/>
  <c r="I492" i="3"/>
  <c r="M492" i="2"/>
  <c r="N492" i="2" s="1"/>
  <c r="B492" i="3"/>
  <c r="C491" i="3"/>
  <c r="B492" i="2"/>
  <c r="C491" i="2"/>
  <c r="M492" i="3"/>
  <c r="N492" i="3" s="1"/>
  <c r="H493" i="2"/>
  <c r="J493" i="2"/>
  <c r="E493" i="2"/>
  <c r="M493" i="2" s="1"/>
  <c r="N493" i="2" s="1"/>
  <c r="D493" i="2"/>
  <c r="F493" i="2" s="1"/>
  <c r="G493" i="2" s="1"/>
  <c r="A494" i="2"/>
  <c r="A495" i="2" l="1"/>
  <c r="E494" i="2"/>
  <c r="D494" i="2"/>
  <c r="M494" i="2"/>
  <c r="N494" i="2" s="1"/>
  <c r="F494" i="2"/>
  <c r="G494" i="2" s="1"/>
  <c r="J494" i="2"/>
  <c r="H494" i="2"/>
  <c r="C492" i="2"/>
  <c r="B493" i="2"/>
  <c r="A495" i="3"/>
  <c r="E494" i="3"/>
  <c r="D494" i="3"/>
  <c r="F494" i="3" s="1"/>
  <c r="G494" i="3" s="1"/>
  <c r="J494" i="3"/>
  <c r="H494" i="3"/>
  <c r="M494" i="3"/>
  <c r="N494" i="3" s="1"/>
  <c r="C492" i="3"/>
  <c r="B493" i="3"/>
  <c r="I493" i="3"/>
  <c r="M493" i="3"/>
  <c r="N493" i="3" s="1"/>
  <c r="I493" i="2"/>
  <c r="B494" i="3" l="1"/>
  <c r="C493" i="3"/>
  <c r="C493" i="2"/>
  <c r="B494" i="2"/>
  <c r="I494" i="3"/>
  <c r="J495" i="3"/>
  <c r="E495" i="3"/>
  <c r="D495" i="3"/>
  <c r="F495" i="3" s="1"/>
  <c r="G495" i="3" s="1"/>
  <c r="H495" i="3"/>
  <c r="A496" i="3"/>
  <c r="I494" i="2"/>
  <c r="J495" i="2"/>
  <c r="D495" i="2"/>
  <c r="E495" i="2"/>
  <c r="F495" i="2"/>
  <c r="G495" i="2" s="1"/>
  <c r="A496" i="2"/>
  <c r="H495" i="2"/>
  <c r="A497" i="2" l="1"/>
  <c r="E496" i="2"/>
  <c r="H496" i="2"/>
  <c r="D496" i="2"/>
  <c r="F496" i="2" s="1"/>
  <c r="G496" i="2" s="1"/>
  <c r="J496" i="2"/>
  <c r="M496" i="2"/>
  <c r="N496" i="2" s="1"/>
  <c r="I495" i="2"/>
  <c r="I495" i="3"/>
  <c r="C494" i="2"/>
  <c r="B495" i="2"/>
  <c r="H496" i="3"/>
  <c r="D496" i="3"/>
  <c r="F496" i="3" s="1"/>
  <c r="G496" i="3" s="1"/>
  <c r="A497" i="3"/>
  <c r="J496" i="3"/>
  <c r="E496" i="3"/>
  <c r="M495" i="2"/>
  <c r="N495" i="2" s="1"/>
  <c r="M495" i="3"/>
  <c r="N495" i="3" s="1"/>
  <c r="B495" i="3"/>
  <c r="C494" i="3"/>
  <c r="I496" i="3" l="1"/>
  <c r="M496" i="3"/>
  <c r="N496" i="3" s="1"/>
  <c r="B496" i="3"/>
  <c r="C495" i="3"/>
  <c r="I496" i="2"/>
  <c r="C495" i="2"/>
  <c r="B496" i="2"/>
  <c r="M497" i="2"/>
  <c r="N497" i="2" s="1"/>
  <c r="D497" i="2"/>
  <c r="F497" i="2" s="1"/>
  <c r="G497" i="2" s="1"/>
  <c r="H497" i="2"/>
  <c r="A498" i="2"/>
  <c r="E497" i="2"/>
  <c r="J497" i="2"/>
  <c r="D497" i="3"/>
  <c r="F497" i="3"/>
  <c r="G497" i="3" s="1"/>
  <c r="E497" i="3"/>
  <c r="J497" i="3"/>
  <c r="H497" i="3"/>
  <c r="A498" i="3"/>
  <c r="I497" i="2" l="1"/>
  <c r="H498" i="2"/>
  <c r="J498" i="2"/>
  <c r="D498" i="2"/>
  <c r="A499" i="2"/>
  <c r="E498" i="2"/>
  <c r="F498" i="2"/>
  <c r="G498" i="2" s="1"/>
  <c r="M498" i="2"/>
  <c r="N498" i="2" s="1"/>
  <c r="I497" i="3"/>
  <c r="M497" i="3"/>
  <c r="N497" i="3" s="1"/>
  <c r="B497" i="2"/>
  <c r="C496" i="2"/>
  <c r="J498" i="3"/>
  <c r="H498" i="3"/>
  <c r="E498" i="3"/>
  <c r="D498" i="3"/>
  <c r="A499" i="3"/>
  <c r="F498" i="3"/>
  <c r="G498" i="3" s="1"/>
  <c r="M498" i="3"/>
  <c r="N498" i="3" s="1"/>
  <c r="B497" i="3"/>
  <c r="C496" i="3"/>
  <c r="I498" i="3" l="1"/>
  <c r="A500" i="3"/>
  <c r="E499" i="3"/>
  <c r="D499" i="3"/>
  <c r="F499" i="3" s="1"/>
  <c r="G499" i="3" s="1"/>
  <c r="J499" i="3"/>
  <c r="H499" i="3"/>
  <c r="M499" i="3"/>
  <c r="N499" i="3" s="1"/>
  <c r="C497" i="3"/>
  <c r="B498" i="3"/>
  <c r="C497" i="2"/>
  <c r="B498" i="2"/>
  <c r="I498" i="2"/>
  <c r="A500" i="2"/>
  <c r="E499" i="2"/>
  <c r="D499" i="2"/>
  <c r="F499" i="2" s="1"/>
  <c r="G499" i="2" s="1"/>
  <c r="M499" i="2"/>
  <c r="N499" i="2" s="1"/>
  <c r="H499" i="2"/>
  <c r="J499" i="2"/>
  <c r="J500" i="2" l="1"/>
  <c r="A501" i="2"/>
  <c r="D500" i="2"/>
  <c r="E500" i="2"/>
  <c r="H500" i="2"/>
  <c r="F500" i="2"/>
  <c r="G500" i="2" s="1"/>
  <c r="C498" i="2"/>
  <c r="B499" i="2"/>
  <c r="J500" i="3"/>
  <c r="E500" i="3"/>
  <c r="M500" i="3" s="1"/>
  <c r="N500" i="3" s="1"/>
  <c r="D500" i="3"/>
  <c r="F500" i="3" s="1"/>
  <c r="G500" i="3" s="1"/>
  <c r="A501" i="3"/>
  <c r="H500" i="3"/>
  <c r="I499" i="2"/>
  <c r="I499" i="3"/>
  <c r="B499" i="3"/>
  <c r="C498" i="3"/>
  <c r="A502" i="2" l="1"/>
  <c r="E501" i="2"/>
  <c r="H501" i="2"/>
  <c r="D501" i="2"/>
  <c r="F501" i="2" s="1"/>
  <c r="G501" i="2" s="1"/>
  <c r="M501" i="2"/>
  <c r="N501" i="2" s="1"/>
  <c r="J501" i="2"/>
  <c r="C499" i="2"/>
  <c r="B500" i="2"/>
  <c r="I500" i="2"/>
  <c r="I500" i="3"/>
  <c r="M500" i="2"/>
  <c r="N500" i="2" s="1"/>
  <c r="H501" i="3"/>
  <c r="E501" i="3"/>
  <c r="M501" i="3" s="1"/>
  <c r="N501" i="3" s="1"/>
  <c r="D501" i="3"/>
  <c r="F501" i="3" s="1"/>
  <c r="G501" i="3" s="1"/>
  <c r="J501" i="3"/>
  <c r="A502" i="3"/>
  <c r="B500" i="3"/>
  <c r="C499" i="3"/>
  <c r="B501" i="2" l="1"/>
  <c r="C500" i="2"/>
  <c r="I501" i="2"/>
  <c r="D502" i="2"/>
  <c r="F502" i="2"/>
  <c r="G502" i="2" s="1"/>
  <c r="E502" i="2"/>
  <c r="H502" i="2"/>
  <c r="J502" i="2"/>
  <c r="A503" i="2"/>
  <c r="I501" i="3"/>
  <c r="B501" i="3"/>
  <c r="C500" i="3"/>
  <c r="D502" i="3"/>
  <c r="F502" i="3" s="1"/>
  <c r="G502" i="3" s="1"/>
  <c r="E502" i="3"/>
  <c r="J502" i="3"/>
  <c r="H502" i="3"/>
  <c r="A503" i="3"/>
  <c r="I502" i="2" l="1"/>
  <c r="I502" i="3"/>
  <c r="B502" i="3"/>
  <c r="C501" i="3"/>
  <c r="M502" i="3"/>
  <c r="N502" i="3" s="1"/>
  <c r="M502" i="2"/>
  <c r="N502" i="2" s="1"/>
  <c r="J503" i="3"/>
  <c r="H503" i="3"/>
  <c r="E503" i="3"/>
  <c r="D503" i="3"/>
  <c r="F503" i="3" s="1"/>
  <c r="G503" i="3" s="1"/>
  <c r="A504" i="3"/>
  <c r="H503" i="2"/>
  <c r="J503" i="2"/>
  <c r="E503" i="2"/>
  <c r="M503" i="2" s="1"/>
  <c r="N503" i="2" s="1"/>
  <c r="A504" i="2"/>
  <c r="D503" i="2"/>
  <c r="F503" i="2" s="1"/>
  <c r="G503" i="2" s="1"/>
  <c r="B502" i="2"/>
  <c r="C501" i="2"/>
  <c r="I503" i="3" l="1"/>
  <c r="A505" i="2"/>
  <c r="E504" i="2"/>
  <c r="D504" i="2"/>
  <c r="F504" i="2" s="1"/>
  <c r="G504" i="2" s="1"/>
  <c r="M504" i="2"/>
  <c r="N504" i="2" s="1"/>
  <c r="J504" i="2"/>
  <c r="H504" i="2"/>
  <c r="I503" i="2"/>
  <c r="M503" i="3"/>
  <c r="N503" i="3" s="1"/>
  <c r="C502" i="2"/>
  <c r="B503" i="2"/>
  <c r="C502" i="3"/>
  <c r="B503" i="3"/>
  <c r="A505" i="3"/>
  <c r="E504" i="3"/>
  <c r="D504" i="3"/>
  <c r="F504" i="3" s="1"/>
  <c r="G504" i="3" s="1"/>
  <c r="H504" i="3"/>
  <c r="J504" i="3"/>
  <c r="J505" i="3" l="1"/>
  <c r="E505" i="3"/>
  <c r="M505" i="3"/>
  <c r="N505" i="3" s="1"/>
  <c r="A506" i="3"/>
  <c r="D505" i="3"/>
  <c r="F505" i="3" s="1"/>
  <c r="G505" i="3" s="1"/>
  <c r="H505" i="3"/>
  <c r="I504" i="3"/>
  <c r="B504" i="3"/>
  <c r="C503" i="3"/>
  <c r="M504" i="3"/>
  <c r="N504" i="3" s="1"/>
  <c r="B504" i="2"/>
  <c r="C503" i="2"/>
  <c r="I504" i="2"/>
  <c r="J505" i="2"/>
  <c r="E505" i="2"/>
  <c r="M505" i="2" s="1"/>
  <c r="N505" i="2" s="1"/>
  <c r="H505" i="2"/>
  <c r="A506" i="2"/>
  <c r="D505" i="2"/>
  <c r="F505" i="2" s="1"/>
  <c r="G505" i="2" s="1"/>
  <c r="I505" i="2" l="1"/>
  <c r="B505" i="3"/>
  <c r="C504" i="3"/>
  <c r="H506" i="3"/>
  <c r="E506" i="3"/>
  <c r="D506" i="3"/>
  <c r="F506" i="3" s="1"/>
  <c r="G506" i="3" s="1"/>
  <c r="M506" i="3"/>
  <c r="N506" i="3" s="1"/>
  <c r="A507" i="3"/>
  <c r="J506" i="3"/>
  <c r="I505" i="3"/>
  <c r="C504" i="2"/>
  <c r="B505" i="2"/>
  <c r="A507" i="2"/>
  <c r="E506" i="2"/>
  <c r="H506" i="2"/>
  <c r="M506" i="2"/>
  <c r="N506" i="2" s="1"/>
  <c r="J506" i="2"/>
  <c r="D506" i="2"/>
  <c r="F506" i="2" s="1"/>
  <c r="G506" i="2" s="1"/>
  <c r="D507" i="3" l="1"/>
  <c r="H507" i="3"/>
  <c r="F507" i="3"/>
  <c r="G507" i="3" s="1"/>
  <c r="A508" i="3"/>
  <c r="J507" i="3"/>
  <c r="E507" i="3"/>
  <c r="I507" i="3" s="1"/>
  <c r="I506" i="3"/>
  <c r="I506" i="2"/>
  <c r="D507" i="2"/>
  <c r="F507" i="2" s="1"/>
  <c r="G507" i="2" s="1"/>
  <c r="E507" i="2"/>
  <c r="H507" i="2"/>
  <c r="A508" i="2"/>
  <c r="J507" i="2"/>
  <c r="C505" i="2"/>
  <c r="B506" i="2"/>
  <c r="B506" i="3"/>
  <c r="C505" i="3"/>
  <c r="H508" i="2" l="1"/>
  <c r="J508" i="2"/>
  <c r="D508" i="2"/>
  <c r="F508" i="2" s="1"/>
  <c r="G508" i="2" s="1"/>
  <c r="E508" i="2"/>
  <c r="A509" i="2"/>
  <c r="M508" i="2"/>
  <c r="N508" i="2" s="1"/>
  <c r="I507" i="2"/>
  <c r="J508" i="3"/>
  <c r="H508" i="3"/>
  <c r="E508" i="3"/>
  <c r="M508" i="3" s="1"/>
  <c r="N508" i="3" s="1"/>
  <c r="A509" i="3"/>
  <c r="D508" i="3"/>
  <c r="F508" i="3" s="1"/>
  <c r="G508" i="3" s="1"/>
  <c r="M507" i="3"/>
  <c r="N507" i="3" s="1"/>
  <c r="B507" i="2"/>
  <c r="C506" i="2"/>
  <c r="B507" i="3"/>
  <c r="C506" i="3"/>
  <c r="M507" i="2"/>
  <c r="N507" i="2" s="1"/>
  <c r="I508" i="3" l="1"/>
  <c r="A510" i="2"/>
  <c r="E509" i="2"/>
  <c r="D509" i="2"/>
  <c r="F509" i="2" s="1"/>
  <c r="G509" i="2" s="1"/>
  <c r="M509" i="2"/>
  <c r="N509" i="2" s="1"/>
  <c r="H509" i="2"/>
  <c r="J509" i="2"/>
  <c r="F509" i="3"/>
  <c r="G509" i="3" s="1"/>
  <c r="A510" i="3"/>
  <c r="E509" i="3"/>
  <c r="M509" i="3" s="1"/>
  <c r="N509" i="3" s="1"/>
  <c r="D509" i="3"/>
  <c r="H509" i="3"/>
  <c r="J509" i="3"/>
  <c r="I508" i="2"/>
  <c r="C507" i="2"/>
  <c r="B508" i="2"/>
  <c r="C507" i="3"/>
  <c r="B508" i="3"/>
  <c r="C508" i="2" l="1"/>
  <c r="B509" i="2"/>
  <c r="I509" i="2"/>
  <c r="I509" i="3"/>
  <c r="J510" i="2"/>
  <c r="H510" i="2"/>
  <c r="D510" i="2"/>
  <c r="F510" i="2" s="1"/>
  <c r="G510" i="2" s="1"/>
  <c r="E510" i="2"/>
  <c r="A511" i="2"/>
  <c r="B509" i="3"/>
  <c r="C508" i="3"/>
  <c r="J510" i="3"/>
  <c r="H510" i="3"/>
  <c r="A511" i="3"/>
  <c r="D510" i="3"/>
  <c r="F510" i="3" s="1"/>
  <c r="G510" i="3" s="1"/>
  <c r="E510" i="3"/>
  <c r="M510" i="3" s="1"/>
  <c r="N510" i="3" s="1"/>
  <c r="I510" i="2" l="1"/>
  <c r="B510" i="3"/>
  <c r="C509" i="3"/>
  <c r="C509" i="2"/>
  <c r="B510" i="2"/>
  <c r="A512" i="2"/>
  <c r="E511" i="2"/>
  <c r="H511" i="2"/>
  <c r="D511" i="2"/>
  <c r="F511" i="2" s="1"/>
  <c r="G511" i="2" s="1"/>
  <c r="J511" i="2"/>
  <c r="H511" i="3"/>
  <c r="J511" i="3"/>
  <c r="E511" i="3"/>
  <c r="M511" i="3"/>
  <c r="N511" i="3" s="1"/>
  <c r="A512" i="3"/>
  <c r="D511" i="3"/>
  <c r="F511" i="3" s="1"/>
  <c r="G511" i="3" s="1"/>
  <c r="I510" i="3"/>
  <c r="M510" i="2"/>
  <c r="N510" i="2" s="1"/>
  <c r="I511" i="3" l="1"/>
  <c r="C510" i="2"/>
  <c r="B511" i="2"/>
  <c r="D512" i="3"/>
  <c r="H512" i="3"/>
  <c r="A513" i="3"/>
  <c r="J512" i="3"/>
  <c r="F512" i="3"/>
  <c r="G512" i="3" s="1"/>
  <c r="E512" i="3"/>
  <c r="I511" i="2"/>
  <c r="D512" i="2"/>
  <c r="F512" i="2" s="1"/>
  <c r="G512" i="2" s="1"/>
  <c r="A513" i="2"/>
  <c r="J512" i="2"/>
  <c r="H512" i="2"/>
  <c r="E512" i="2"/>
  <c r="M511" i="2"/>
  <c r="N511" i="2" s="1"/>
  <c r="B511" i="3"/>
  <c r="C510" i="3"/>
  <c r="I512" i="3" l="1"/>
  <c r="M512" i="3"/>
  <c r="N512" i="3" s="1"/>
  <c r="I512" i="2"/>
  <c r="J513" i="3"/>
  <c r="H513" i="3"/>
  <c r="A514" i="3"/>
  <c r="E513" i="3"/>
  <c r="D513" i="3"/>
  <c r="F513" i="3" s="1"/>
  <c r="G513" i="3" s="1"/>
  <c r="M513" i="3"/>
  <c r="N513" i="3" s="1"/>
  <c r="H513" i="2"/>
  <c r="J513" i="2"/>
  <c r="A514" i="2"/>
  <c r="D513" i="2"/>
  <c r="F513" i="2"/>
  <c r="G513" i="2" s="1"/>
  <c r="E513" i="2"/>
  <c r="M513" i="2"/>
  <c r="N513" i="2" s="1"/>
  <c r="M512" i="2"/>
  <c r="N512" i="2" s="1"/>
  <c r="B512" i="2"/>
  <c r="C511" i="2"/>
  <c r="B512" i="3"/>
  <c r="C511" i="3"/>
  <c r="I513" i="3" l="1"/>
  <c r="I513" i="2"/>
  <c r="A515" i="3"/>
  <c r="E514" i="3"/>
  <c r="D514" i="3"/>
  <c r="F514" i="3" s="1"/>
  <c r="G514" i="3" s="1"/>
  <c r="J514" i="3"/>
  <c r="H514" i="3"/>
  <c r="M514" i="3"/>
  <c r="N514" i="3" s="1"/>
  <c r="A515" i="2"/>
  <c r="E514" i="2"/>
  <c r="M514" i="2" s="1"/>
  <c r="N514" i="2" s="1"/>
  <c r="D514" i="2"/>
  <c r="F514" i="2"/>
  <c r="G514" i="2" s="1"/>
  <c r="H514" i="2"/>
  <c r="J514" i="2"/>
  <c r="C512" i="2"/>
  <c r="B513" i="2"/>
  <c r="C512" i="3"/>
  <c r="B513" i="3"/>
  <c r="B514" i="2" l="1"/>
  <c r="C513" i="2"/>
  <c r="B514" i="3"/>
  <c r="C513" i="3"/>
  <c r="I514" i="2"/>
  <c r="I514" i="3"/>
  <c r="J515" i="3"/>
  <c r="H515" i="3"/>
  <c r="A516" i="3"/>
  <c r="E515" i="3"/>
  <c r="D515" i="3"/>
  <c r="F515" i="3" s="1"/>
  <c r="G515" i="3" s="1"/>
  <c r="J515" i="2"/>
  <c r="E515" i="2"/>
  <c r="A516" i="2"/>
  <c r="M515" i="2"/>
  <c r="N515" i="2" s="1"/>
  <c r="H515" i="2"/>
  <c r="D515" i="2"/>
  <c r="F515" i="2" s="1"/>
  <c r="G515" i="2" s="1"/>
  <c r="J516" i="3" l="1"/>
  <c r="H516" i="3"/>
  <c r="E516" i="3"/>
  <c r="M516" i="3" s="1"/>
  <c r="N516" i="3" s="1"/>
  <c r="D516" i="3"/>
  <c r="F516" i="3" s="1"/>
  <c r="G516" i="3" s="1"/>
  <c r="A517" i="3"/>
  <c r="D516" i="2"/>
  <c r="F516" i="2" s="1"/>
  <c r="G516" i="2" s="1"/>
  <c r="H516" i="2"/>
  <c r="J516" i="2"/>
  <c r="A517" i="2"/>
  <c r="E516" i="2"/>
  <c r="I515" i="2"/>
  <c r="B515" i="3"/>
  <c r="C514" i="3"/>
  <c r="I515" i="3"/>
  <c r="M515" i="3"/>
  <c r="N515" i="3" s="1"/>
  <c r="C514" i="2"/>
  <c r="B515" i="2"/>
  <c r="B516" i="2" l="1"/>
  <c r="C515" i="2"/>
  <c r="J517" i="2"/>
  <c r="E517" i="2"/>
  <c r="D517" i="2"/>
  <c r="F517" i="2" s="1"/>
  <c r="G517" i="2" s="1"/>
  <c r="A518" i="2"/>
  <c r="H517" i="2"/>
  <c r="E517" i="3"/>
  <c r="M517" i="3" s="1"/>
  <c r="N517" i="3" s="1"/>
  <c r="A518" i="3"/>
  <c r="D517" i="3"/>
  <c r="F517" i="3" s="1"/>
  <c r="G517" i="3" s="1"/>
  <c r="J517" i="3"/>
  <c r="H517" i="3"/>
  <c r="I516" i="3"/>
  <c r="B516" i="3"/>
  <c r="C515" i="3"/>
  <c r="I516" i="2"/>
  <c r="M516" i="2"/>
  <c r="N516" i="2" s="1"/>
  <c r="I517" i="2" l="1"/>
  <c r="B517" i="3"/>
  <c r="C516" i="3"/>
  <c r="M517" i="2"/>
  <c r="N517" i="2" s="1"/>
  <c r="H518" i="2"/>
  <c r="D518" i="2"/>
  <c r="F518" i="2" s="1"/>
  <c r="G518" i="2" s="1"/>
  <c r="A519" i="2"/>
  <c r="E518" i="2"/>
  <c r="M518" i="2"/>
  <c r="N518" i="2" s="1"/>
  <c r="J518" i="2"/>
  <c r="A519" i="3"/>
  <c r="D518" i="3"/>
  <c r="F518" i="3"/>
  <c r="G518" i="3" s="1"/>
  <c r="E518" i="3"/>
  <c r="H518" i="3"/>
  <c r="J518" i="3"/>
  <c r="I517" i="3"/>
  <c r="B517" i="2"/>
  <c r="C516" i="2"/>
  <c r="I518" i="3" l="1"/>
  <c r="I518" i="2"/>
  <c r="M518" i="3"/>
  <c r="N518" i="3" s="1"/>
  <c r="D519" i="2"/>
  <c r="A520" i="2"/>
  <c r="E519" i="2"/>
  <c r="H519" i="2"/>
  <c r="J519" i="2"/>
  <c r="F519" i="2"/>
  <c r="G519" i="2" s="1"/>
  <c r="H519" i="3"/>
  <c r="J519" i="3"/>
  <c r="A520" i="3"/>
  <c r="D519" i="3"/>
  <c r="F519" i="3" s="1"/>
  <c r="G519" i="3" s="1"/>
  <c r="E519" i="3"/>
  <c r="M519" i="3" s="1"/>
  <c r="N519" i="3" s="1"/>
  <c r="B518" i="3"/>
  <c r="C517" i="3"/>
  <c r="B518" i="2"/>
  <c r="C517" i="2"/>
  <c r="C518" i="3" l="1"/>
  <c r="B519" i="3"/>
  <c r="I519" i="3"/>
  <c r="D520" i="3"/>
  <c r="F520" i="3" s="1"/>
  <c r="G520" i="3" s="1"/>
  <c r="H520" i="3"/>
  <c r="J520" i="3"/>
  <c r="E520" i="3"/>
  <c r="M520" i="3"/>
  <c r="N520" i="3" s="1"/>
  <c r="A521" i="3"/>
  <c r="I519" i="2"/>
  <c r="M519" i="2"/>
  <c r="N519" i="2" s="1"/>
  <c r="J520" i="2"/>
  <c r="H520" i="2"/>
  <c r="A521" i="2"/>
  <c r="E520" i="2"/>
  <c r="D520" i="2"/>
  <c r="F520" i="2" s="1"/>
  <c r="G520" i="2" s="1"/>
  <c r="B519" i="2"/>
  <c r="C518" i="2"/>
  <c r="I520" i="2" l="1"/>
  <c r="J521" i="3"/>
  <c r="E521" i="3"/>
  <c r="A522" i="3"/>
  <c r="D521" i="3"/>
  <c r="F521" i="3" s="1"/>
  <c r="G521" i="3" s="1"/>
  <c r="M521" i="3"/>
  <c r="N521" i="3" s="1"/>
  <c r="H521" i="3"/>
  <c r="M520" i="2"/>
  <c r="N520" i="2" s="1"/>
  <c r="B520" i="2"/>
  <c r="C519" i="2"/>
  <c r="C519" i="3"/>
  <c r="B520" i="3"/>
  <c r="D521" i="2"/>
  <c r="F521" i="2" s="1"/>
  <c r="G521" i="2" s="1"/>
  <c r="J521" i="2"/>
  <c r="H521" i="2"/>
  <c r="E521" i="2"/>
  <c r="M521" i="2" s="1"/>
  <c r="N521" i="2" s="1"/>
  <c r="A522" i="2"/>
  <c r="I520" i="3"/>
  <c r="H522" i="3" l="1"/>
  <c r="E522" i="3"/>
  <c r="M522" i="3" s="1"/>
  <c r="N522" i="3" s="1"/>
  <c r="A523" i="3"/>
  <c r="J522" i="3"/>
  <c r="D522" i="3"/>
  <c r="F522" i="3" s="1"/>
  <c r="G522" i="3" s="1"/>
  <c r="C520" i="3"/>
  <c r="B521" i="3"/>
  <c r="I521" i="3"/>
  <c r="J522" i="2"/>
  <c r="H522" i="2"/>
  <c r="E522" i="2"/>
  <c r="D522" i="2"/>
  <c r="F522" i="2" s="1"/>
  <c r="G522" i="2" s="1"/>
  <c r="A523" i="2"/>
  <c r="I521" i="2"/>
  <c r="C520" i="2"/>
  <c r="B521" i="2"/>
  <c r="H523" i="2" l="1"/>
  <c r="J523" i="2"/>
  <c r="E523" i="2"/>
  <c r="D523" i="2"/>
  <c r="F523" i="2" s="1"/>
  <c r="G523" i="2" s="1"/>
  <c r="A524" i="2"/>
  <c r="B522" i="3"/>
  <c r="C521" i="3"/>
  <c r="I522" i="2"/>
  <c r="J523" i="3"/>
  <c r="H523" i="3"/>
  <c r="A524" i="3"/>
  <c r="E523" i="3"/>
  <c r="D523" i="3"/>
  <c r="F523" i="3" s="1"/>
  <c r="G523" i="3" s="1"/>
  <c r="I522" i="3"/>
  <c r="M522" i="2"/>
  <c r="N522" i="2" s="1"/>
  <c r="B522" i="2"/>
  <c r="C521" i="2"/>
  <c r="I523" i="3" l="1"/>
  <c r="M523" i="3"/>
  <c r="N523" i="3" s="1"/>
  <c r="D524" i="2"/>
  <c r="F524" i="2" s="1"/>
  <c r="G524" i="2" s="1"/>
  <c r="J524" i="2"/>
  <c r="A525" i="2"/>
  <c r="E524" i="2"/>
  <c r="M524" i="2" s="1"/>
  <c r="N524" i="2" s="1"/>
  <c r="H524" i="2"/>
  <c r="H524" i="3"/>
  <c r="J524" i="3"/>
  <c r="A525" i="3"/>
  <c r="E524" i="3"/>
  <c r="M524" i="3" s="1"/>
  <c r="N524" i="3" s="1"/>
  <c r="D524" i="3"/>
  <c r="F524" i="3" s="1"/>
  <c r="G524" i="3" s="1"/>
  <c r="I523" i="2"/>
  <c r="B523" i="2"/>
  <c r="C522" i="2"/>
  <c r="B523" i="3"/>
  <c r="C522" i="3"/>
  <c r="M523" i="2"/>
  <c r="N523" i="2" s="1"/>
  <c r="J525" i="2" l="1"/>
  <c r="H525" i="2"/>
  <c r="A526" i="2"/>
  <c r="E525" i="2"/>
  <c r="D525" i="2"/>
  <c r="F525" i="2" s="1"/>
  <c r="G525" i="2" s="1"/>
  <c r="B524" i="2"/>
  <c r="C523" i="2"/>
  <c r="I524" i="2"/>
  <c r="D525" i="3"/>
  <c r="F525" i="3" s="1"/>
  <c r="G525" i="3" s="1"/>
  <c r="E525" i="3"/>
  <c r="M525" i="3" s="1"/>
  <c r="N525" i="3" s="1"/>
  <c r="A526" i="3"/>
  <c r="J525" i="3"/>
  <c r="H525" i="3"/>
  <c r="B524" i="3"/>
  <c r="C523" i="3"/>
  <c r="I524" i="3"/>
  <c r="I525" i="3" l="1"/>
  <c r="C524" i="2"/>
  <c r="B525" i="2"/>
  <c r="J526" i="3"/>
  <c r="H526" i="3"/>
  <c r="E526" i="3"/>
  <c r="D526" i="3"/>
  <c r="F526" i="3" s="1"/>
  <c r="G526" i="3" s="1"/>
  <c r="A527" i="3"/>
  <c r="M526" i="3"/>
  <c r="N526" i="3" s="1"/>
  <c r="A527" i="2"/>
  <c r="E526" i="2"/>
  <c r="D526" i="2"/>
  <c r="F526" i="2" s="1"/>
  <c r="G526" i="2" s="1"/>
  <c r="J526" i="2"/>
  <c r="M526" i="2"/>
  <c r="N526" i="2" s="1"/>
  <c r="H526" i="2"/>
  <c r="B525" i="3"/>
  <c r="C524" i="3"/>
  <c r="I525" i="2"/>
  <c r="M525" i="2"/>
  <c r="N525" i="2" s="1"/>
  <c r="B526" i="3" l="1"/>
  <c r="C525" i="3"/>
  <c r="D527" i="3"/>
  <c r="F527" i="3" s="1"/>
  <c r="G527" i="3" s="1"/>
  <c r="A528" i="3"/>
  <c r="E527" i="3"/>
  <c r="J527" i="3"/>
  <c r="H527" i="3"/>
  <c r="I526" i="3"/>
  <c r="I526" i="2"/>
  <c r="J527" i="2"/>
  <c r="A528" i="2"/>
  <c r="H527" i="2"/>
  <c r="E527" i="2"/>
  <c r="D527" i="2"/>
  <c r="F527" i="2" s="1"/>
  <c r="G527" i="2" s="1"/>
  <c r="B526" i="2"/>
  <c r="C525" i="2"/>
  <c r="I527" i="2" l="1"/>
  <c r="I527" i="3"/>
  <c r="H528" i="2"/>
  <c r="E528" i="2"/>
  <c r="D528" i="2"/>
  <c r="F528" i="2" s="1"/>
  <c r="G528" i="2" s="1"/>
  <c r="J528" i="2"/>
  <c r="A529" i="2"/>
  <c r="M527" i="3"/>
  <c r="N527" i="3" s="1"/>
  <c r="M527" i="2"/>
  <c r="N527" i="2" s="1"/>
  <c r="J528" i="3"/>
  <c r="A529" i="3"/>
  <c r="H528" i="3"/>
  <c r="D528" i="3"/>
  <c r="F528" i="3" s="1"/>
  <c r="G528" i="3" s="1"/>
  <c r="E528" i="3"/>
  <c r="B527" i="2"/>
  <c r="C526" i="2"/>
  <c r="B527" i="3"/>
  <c r="C526" i="3"/>
  <c r="I528" i="3" l="1"/>
  <c r="D529" i="2"/>
  <c r="A530" i="2"/>
  <c r="J529" i="2"/>
  <c r="F529" i="2"/>
  <c r="G529" i="2" s="1"/>
  <c r="H529" i="2"/>
  <c r="E529" i="2"/>
  <c r="I529" i="2" s="1"/>
  <c r="I528" i="2"/>
  <c r="M528" i="3"/>
  <c r="N528" i="3" s="1"/>
  <c r="H529" i="3"/>
  <c r="J529" i="3"/>
  <c r="A530" i="3"/>
  <c r="E529" i="3"/>
  <c r="D529" i="3"/>
  <c r="F529" i="3" s="1"/>
  <c r="G529" i="3" s="1"/>
  <c r="B528" i="3"/>
  <c r="C527" i="3"/>
  <c r="M528" i="2"/>
  <c r="N528" i="2" s="1"/>
  <c r="B528" i="2"/>
  <c r="C527" i="2"/>
  <c r="C528" i="3" l="1"/>
  <c r="B529" i="3"/>
  <c r="J530" i="2"/>
  <c r="H530" i="2"/>
  <c r="A531" i="2"/>
  <c r="D530" i="2"/>
  <c r="F530" i="2"/>
  <c r="G530" i="2" s="1"/>
  <c r="E530" i="2"/>
  <c r="M529" i="2"/>
  <c r="N529" i="2" s="1"/>
  <c r="I529" i="3"/>
  <c r="D530" i="3"/>
  <c r="F530" i="3" s="1"/>
  <c r="G530" i="3" s="1"/>
  <c r="J530" i="3"/>
  <c r="E530" i="3"/>
  <c r="A531" i="3"/>
  <c r="H530" i="3"/>
  <c r="M529" i="3"/>
  <c r="N529" i="3" s="1"/>
  <c r="B529" i="2"/>
  <c r="C528" i="2"/>
  <c r="J531" i="3" l="1"/>
  <c r="H531" i="3"/>
  <c r="D531" i="3"/>
  <c r="A532" i="3"/>
  <c r="F531" i="3"/>
  <c r="G531" i="3" s="1"/>
  <c r="E531" i="3"/>
  <c r="I530" i="3"/>
  <c r="I530" i="2"/>
  <c r="M530" i="3"/>
  <c r="N530" i="3" s="1"/>
  <c r="A532" i="2"/>
  <c r="E531" i="2"/>
  <c r="D531" i="2"/>
  <c r="F531" i="2" s="1"/>
  <c r="G531" i="2" s="1"/>
  <c r="M531" i="2"/>
  <c r="N531" i="2" s="1"/>
  <c r="J531" i="2"/>
  <c r="H531" i="2"/>
  <c r="M530" i="2"/>
  <c r="N530" i="2" s="1"/>
  <c r="C529" i="2"/>
  <c r="B530" i="2"/>
  <c r="B530" i="3"/>
  <c r="C529" i="3"/>
  <c r="I531" i="3" l="1"/>
  <c r="J532" i="2"/>
  <c r="A533" i="2"/>
  <c r="H532" i="2"/>
  <c r="D532" i="2"/>
  <c r="E532" i="2"/>
  <c r="M532" i="2" s="1"/>
  <c r="N532" i="2" s="1"/>
  <c r="F532" i="2"/>
  <c r="G532" i="2" s="1"/>
  <c r="F532" i="3"/>
  <c r="G532" i="3" s="1"/>
  <c r="A533" i="3"/>
  <c r="E532" i="3"/>
  <c r="M532" i="3" s="1"/>
  <c r="N532" i="3" s="1"/>
  <c r="D532" i="3"/>
  <c r="J532" i="3"/>
  <c r="H532" i="3"/>
  <c r="I531" i="2"/>
  <c r="B531" i="3"/>
  <c r="C530" i="3"/>
  <c r="M531" i="3"/>
  <c r="N531" i="3" s="1"/>
  <c r="B531" i="2"/>
  <c r="C530" i="2"/>
  <c r="C531" i="3" l="1"/>
  <c r="B532" i="3"/>
  <c r="J533" i="3"/>
  <c r="A534" i="3"/>
  <c r="D533" i="3"/>
  <c r="F533" i="3" s="1"/>
  <c r="G533" i="3" s="1"/>
  <c r="H533" i="3"/>
  <c r="E533" i="3"/>
  <c r="I532" i="2"/>
  <c r="H533" i="2"/>
  <c r="A534" i="2"/>
  <c r="J533" i="2"/>
  <c r="E533" i="2"/>
  <c r="D533" i="2"/>
  <c r="F533" i="2" s="1"/>
  <c r="G533" i="2" s="1"/>
  <c r="B532" i="2"/>
  <c r="C531" i="2"/>
  <c r="I532" i="3"/>
  <c r="B533" i="2" l="1"/>
  <c r="C532" i="2"/>
  <c r="I533" i="2"/>
  <c r="I533" i="3"/>
  <c r="D534" i="2"/>
  <c r="F534" i="2" s="1"/>
  <c r="G534" i="2" s="1"/>
  <c r="A535" i="2"/>
  <c r="H534" i="2"/>
  <c r="E534" i="2"/>
  <c r="J534" i="2"/>
  <c r="H534" i="3"/>
  <c r="A535" i="3"/>
  <c r="J534" i="3"/>
  <c r="E534" i="3"/>
  <c r="M534" i="3" s="1"/>
  <c r="N534" i="3" s="1"/>
  <c r="D534" i="3"/>
  <c r="F534" i="3" s="1"/>
  <c r="G534" i="3" s="1"/>
  <c r="M533" i="3"/>
  <c r="N533" i="3" s="1"/>
  <c r="B533" i="3"/>
  <c r="C532" i="3"/>
  <c r="M533" i="2"/>
  <c r="N533" i="2" s="1"/>
  <c r="I534" i="2" l="1"/>
  <c r="D535" i="3"/>
  <c r="A536" i="3"/>
  <c r="J535" i="3"/>
  <c r="H535" i="3"/>
  <c r="F535" i="3"/>
  <c r="G535" i="3" s="1"/>
  <c r="E535" i="3"/>
  <c r="M534" i="2"/>
  <c r="N534" i="2" s="1"/>
  <c r="I534" i="3"/>
  <c r="J535" i="2"/>
  <c r="H535" i="2"/>
  <c r="A536" i="2"/>
  <c r="E535" i="2"/>
  <c r="M535" i="2" s="1"/>
  <c r="N535" i="2" s="1"/>
  <c r="D535" i="2"/>
  <c r="F535" i="2"/>
  <c r="G535" i="2" s="1"/>
  <c r="B534" i="3"/>
  <c r="C533" i="3"/>
  <c r="B534" i="2"/>
  <c r="C533" i="2"/>
  <c r="I535" i="3" l="1"/>
  <c r="A537" i="2"/>
  <c r="E536" i="2"/>
  <c r="M536" i="2" s="1"/>
  <c r="N536" i="2" s="1"/>
  <c r="D536" i="2"/>
  <c r="F536" i="2" s="1"/>
  <c r="G536" i="2" s="1"/>
  <c r="H536" i="2"/>
  <c r="J536" i="2"/>
  <c r="M535" i="3"/>
  <c r="N535" i="3" s="1"/>
  <c r="J536" i="3"/>
  <c r="H536" i="3"/>
  <c r="A537" i="3"/>
  <c r="E536" i="3"/>
  <c r="D536" i="3"/>
  <c r="F536" i="3" s="1"/>
  <c r="G536" i="3" s="1"/>
  <c r="C534" i="2"/>
  <c r="B535" i="2"/>
  <c r="B535" i="3"/>
  <c r="C534" i="3"/>
  <c r="I535" i="2"/>
  <c r="C535" i="3" l="1"/>
  <c r="B536" i="3"/>
  <c r="B536" i="2"/>
  <c r="C535" i="2"/>
  <c r="I536" i="3"/>
  <c r="A538" i="3"/>
  <c r="E537" i="3"/>
  <c r="M537" i="3" s="1"/>
  <c r="N537" i="3" s="1"/>
  <c r="D537" i="3"/>
  <c r="F537" i="3" s="1"/>
  <c r="G537" i="3" s="1"/>
  <c r="H537" i="3"/>
  <c r="J537" i="3"/>
  <c r="I536" i="2"/>
  <c r="M536" i="3"/>
  <c r="N536" i="3" s="1"/>
  <c r="J537" i="2"/>
  <c r="A538" i="2"/>
  <c r="D537" i="2"/>
  <c r="F537" i="2" s="1"/>
  <c r="G537" i="2" s="1"/>
  <c r="H537" i="2"/>
  <c r="E537" i="2"/>
  <c r="M537" i="2" s="1"/>
  <c r="N537" i="2" s="1"/>
  <c r="H538" i="2" l="1"/>
  <c r="A539" i="2"/>
  <c r="E538" i="2"/>
  <c r="D538" i="2"/>
  <c r="F538" i="2" s="1"/>
  <c r="G538" i="2" s="1"/>
  <c r="J538" i="2"/>
  <c r="J538" i="3"/>
  <c r="A539" i="3"/>
  <c r="H538" i="3"/>
  <c r="E538" i="3"/>
  <c r="D538" i="3"/>
  <c r="F538" i="3" s="1"/>
  <c r="G538" i="3" s="1"/>
  <c r="B537" i="3"/>
  <c r="C536" i="3"/>
  <c r="I537" i="3"/>
  <c r="B537" i="2"/>
  <c r="C536" i="2"/>
  <c r="I537" i="2"/>
  <c r="B538" i="2" l="1"/>
  <c r="C537" i="2"/>
  <c r="I538" i="2"/>
  <c r="B538" i="3"/>
  <c r="C537" i="3"/>
  <c r="I538" i="3"/>
  <c r="M538" i="2"/>
  <c r="N538" i="2" s="1"/>
  <c r="D539" i="2"/>
  <c r="F539" i="2" s="1"/>
  <c r="G539" i="2" s="1"/>
  <c r="M539" i="2"/>
  <c r="N539" i="2" s="1"/>
  <c r="A540" i="2"/>
  <c r="E539" i="2"/>
  <c r="H539" i="2"/>
  <c r="J539" i="2"/>
  <c r="M538" i="3"/>
  <c r="N538" i="3" s="1"/>
  <c r="H539" i="3"/>
  <c r="E539" i="3"/>
  <c r="M539" i="3" s="1"/>
  <c r="N539" i="3" s="1"/>
  <c r="A540" i="3"/>
  <c r="J539" i="3"/>
  <c r="D539" i="3"/>
  <c r="F539" i="3" s="1"/>
  <c r="G539" i="3" s="1"/>
  <c r="D540" i="3" l="1"/>
  <c r="A541" i="3"/>
  <c r="H540" i="3"/>
  <c r="F540" i="3"/>
  <c r="G540" i="3" s="1"/>
  <c r="J540" i="3"/>
  <c r="E540" i="3"/>
  <c r="I540" i="3" s="1"/>
  <c r="B539" i="3"/>
  <c r="C538" i="3"/>
  <c r="I539" i="2"/>
  <c r="I539" i="3"/>
  <c r="J540" i="2"/>
  <c r="H540" i="2"/>
  <c r="A541" i="2"/>
  <c r="D540" i="2"/>
  <c r="F540" i="2" s="1"/>
  <c r="G540" i="2" s="1"/>
  <c r="E540" i="2"/>
  <c r="M540" i="2"/>
  <c r="N540" i="2" s="1"/>
  <c r="B539" i="2"/>
  <c r="C538" i="2"/>
  <c r="B540" i="3" l="1"/>
  <c r="C539" i="3"/>
  <c r="M540" i="3"/>
  <c r="N540" i="3" s="1"/>
  <c r="I540" i="2"/>
  <c r="A542" i="2"/>
  <c r="E541" i="2"/>
  <c r="D541" i="2"/>
  <c r="F541" i="2" s="1"/>
  <c r="G541" i="2" s="1"/>
  <c r="M541" i="2"/>
  <c r="N541" i="2" s="1"/>
  <c r="H541" i="2"/>
  <c r="J541" i="2"/>
  <c r="J541" i="3"/>
  <c r="H541" i="3"/>
  <c r="A542" i="3"/>
  <c r="D541" i="3"/>
  <c r="E541" i="3"/>
  <c r="M541" i="3" s="1"/>
  <c r="N541" i="3" s="1"/>
  <c r="F541" i="3"/>
  <c r="G541" i="3" s="1"/>
  <c r="C539" i="2"/>
  <c r="B540" i="2"/>
  <c r="I541" i="2" l="1"/>
  <c r="I541" i="3"/>
  <c r="J542" i="2"/>
  <c r="D542" i="2"/>
  <c r="A543" i="2"/>
  <c r="E542" i="2"/>
  <c r="M542" i="2"/>
  <c r="N542" i="2" s="1"/>
  <c r="H542" i="2"/>
  <c r="F542" i="2"/>
  <c r="G542" i="2" s="1"/>
  <c r="A543" i="3"/>
  <c r="E542" i="3"/>
  <c r="D542" i="3"/>
  <c r="F542" i="3" s="1"/>
  <c r="G542" i="3" s="1"/>
  <c r="M542" i="3"/>
  <c r="N542" i="3" s="1"/>
  <c r="J542" i="3"/>
  <c r="H542" i="3"/>
  <c r="B541" i="2"/>
  <c r="C540" i="2"/>
  <c r="C540" i="3"/>
  <c r="B541" i="3"/>
  <c r="H543" i="2" l="1"/>
  <c r="A544" i="2"/>
  <c r="D543" i="2"/>
  <c r="F543" i="2" s="1"/>
  <c r="G543" i="2" s="1"/>
  <c r="J543" i="2"/>
  <c r="E543" i="2"/>
  <c r="M543" i="2" s="1"/>
  <c r="N543" i="2" s="1"/>
  <c r="I542" i="3"/>
  <c r="B542" i="2"/>
  <c r="C541" i="2"/>
  <c r="I542" i="2"/>
  <c r="B542" i="3"/>
  <c r="C541" i="3"/>
  <c r="J543" i="3"/>
  <c r="A544" i="3"/>
  <c r="H543" i="3"/>
  <c r="E543" i="3"/>
  <c r="M543" i="3" s="1"/>
  <c r="N543" i="3" s="1"/>
  <c r="D543" i="3"/>
  <c r="F543" i="3" s="1"/>
  <c r="G543" i="3" s="1"/>
  <c r="B543" i="2" l="1"/>
  <c r="C542" i="2"/>
  <c r="D544" i="2"/>
  <c r="E544" i="2"/>
  <c r="F544" i="2"/>
  <c r="G544" i="2" s="1"/>
  <c r="J544" i="2"/>
  <c r="A545" i="2"/>
  <c r="H544" i="2"/>
  <c r="H544" i="3"/>
  <c r="A545" i="3"/>
  <c r="J544" i="3"/>
  <c r="D544" i="3"/>
  <c r="F544" i="3" s="1"/>
  <c r="G544" i="3" s="1"/>
  <c r="E544" i="3"/>
  <c r="I543" i="2"/>
  <c r="B543" i="3"/>
  <c r="C542" i="3"/>
  <c r="I543" i="3"/>
  <c r="I544" i="2" l="1"/>
  <c r="M544" i="2"/>
  <c r="N544" i="2" s="1"/>
  <c r="D545" i="3"/>
  <c r="A546" i="3"/>
  <c r="J545" i="3"/>
  <c r="H545" i="3"/>
  <c r="F545" i="3"/>
  <c r="G545" i="3" s="1"/>
  <c r="E545" i="3"/>
  <c r="I544" i="3"/>
  <c r="B544" i="3"/>
  <c r="C543" i="3"/>
  <c r="J545" i="2"/>
  <c r="H545" i="2"/>
  <c r="D545" i="2"/>
  <c r="A546" i="2"/>
  <c r="E545" i="2"/>
  <c r="F545" i="2"/>
  <c r="G545" i="2" s="1"/>
  <c r="M544" i="3"/>
  <c r="N544" i="3" s="1"/>
  <c r="B544" i="2"/>
  <c r="C543" i="2"/>
  <c r="I545" i="2" l="1"/>
  <c r="M545" i="2"/>
  <c r="N545" i="2" s="1"/>
  <c r="A547" i="2"/>
  <c r="E546" i="2"/>
  <c r="D546" i="2"/>
  <c r="F546" i="2" s="1"/>
  <c r="G546" i="2" s="1"/>
  <c r="H546" i="2"/>
  <c r="J546" i="2"/>
  <c r="M546" i="2"/>
  <c r="N546" i="2" s="1"/>
  <c r="B545" i="3"/>
  <c r="C544" i="3"/>
  <c r="I545" i="3"/>
  <c r="M545" i="3"/>
  <c r="N545" i="3" s="1"/>
  <c r="J546" i="3"/>
  <c r="H546" i="3"/>
  <c r="A547" i="3"/>
  <c r="E546" i="3"/>
  <c r="D546" i="3"/>
  <c r="F546" i="3" s="1"/>
  <c r="G546" i="3" s="1"/>
  <c r="C544" i="2"/>
  <c r="B545" i="2"/>
  <c r="I546" i="2" l="1"/>
  <c r="A548" i="3"/>
  <c r="E547" i="3"/>
  <c r="D547" i="3"/>
  <c r="F547" i="3" s="1"/>
  <c r="G547" i="3" s="1"/>
  <c r="M547" i="3"/>
  <c r="N547" i="3" s="1"/>
  <c r="J547" i="3"/>
  <c r="H547" i="3"/>
  <c r="B546" i="2"/>
  <c r="C545" i="2"/>
  <c r="J547" i="2"/>
  <c r="E547" i="2"/>
  <c r="D547" i="2"/>
  <c r="F547" i="2" s="1"/>
  <c r="G547" i="2" s="1"/>
  <c r="A548" i="2"/>
  <c r="H547" i="2"/>
  <c r="M547" i="2"/>
  <c r="N547" i="2" s="1"/>
  <c r="I546" i="3"/>
  <c r="M546" i="3"/>
  <c r="N546" i="3" s="1"/>
  <c r="C545" i="3"/>
  <c r="B546" i="3"/>
  <c r="B547" i="2" l="1"/>
  <c r="C546" i="2"/>
  <c r="H548" i="2"/>
  <c r="D548" i="2"/>
  <c r="F548" i="2" s="1"/>
  <c r="G548" i="2" s="1"/>
  <c r="A549" i="2"/>
  <c r="E548" i="2"/>
  <c r="J548" i="2"/>
  <c r="I547" i="3"/>
  <c r="B547" i="3"/>
  <c r="C546" i="3"/>
  <c r="J548" i="3"/>
  <c r="D548" i="3"/>
  <c r="F548" i="3" s="1"/>
  <c r="G548" i="3" s="1"/>
  <c r="A549" i="3"/>
  <c r="H548" i="3"/>
  <c r="E548" i="3"/>
  <c r="I547" i="2"/>
  <c r="I548" i="3" l="1"/>
  <c r="I548" i="2"/>
  <c r="M548" i="3"/>
  <c r="N548" i="3" s="1"/>
  <c r="H549" i="3"/>
  <c r="A550" i="3"/>
  <c r="D549" i="3"/>
  <c r="F549" i="3" s="1"/>
  <c r="G549" i="3" s="1"/>
  <c r="J549" i="3"/>
  <c r="E549" i="3"/>
  <c r="M549" i="3" s="1"/>
  <c r="N549" i="3" s="1"/>
  <c r="D549" i="2"/>
  <c r="F549" i="2" s="1"/>
  <c r="G549" i="2" s="1"/>
  <c r="A550" i="2"/>
  <c r="E549" i="2"/>
  <c r="H549" i="2"/>
  <c r="J549" i="2"/>
  <c r="B548" i="3"/>
  <c r="C547" i="3"/>
  <c r="M548" i="2"/>
  <c r="N548" i="2" s="1"/>
  <c r="B548" i="2"/>
  <c r="C547" i="2"/>
  <c r="B549" i="3" l="1"/>
  <c r="C548" i="3"/>
  <c r="D550" i="3"/>
  <c r="F550" i="3" s="1"/>
  <c r="G550" i="3" s="1"/>
  <c r="E550" i="3"/>
  <c r="M550" i="3" s="1"/>
  <c r="N550" i="3" s="1"/>
  <c r="J550" i="3"/>
  <c r="H550" i="3"/>
  <c r="A551" i="3"/>
  <c r="J550" i="2"/>
  <c r="H550" i="2"/>
  <c r="E550" i="2"/>
  <c r="D550" i="2"/>
  <c r="F550" i="2" s="1"/>
  <c r="G550" i="2" s="1"/>
  <c r="A551" i="2"/>
  <c r="B549" i="2"/>
  <c r="C548" i="2"/>
  <c r="I549" i="2"/>
  <c r="M549" i="2"/>
  <c r="N549" i="2" s="1"/>
  <c r="I549" i="3"/>
  <c r="I550" i="2" l="1"/>
  <c r="J551" i="3"/>
  <c r="H551" i="3"/>
  <c r="D551" i="3"/>
  <c r="A552" i="3"/>
  <c r="F551" i="3"/>
  <c r="G551" i="3" s="1"/>
  <c r="E551" i="3"/>
  <c r="M551" i="3" s="1"/>
  <c r="N551" i="3" s="1"/>
  <c r="C549" i="2"/>
  <c r="B550" i="2"/>
  <c r="M550" i="2"/>
  <c r="N550" i="2" s="1"/>
  <c r="A552" i="2"/>
  <c r="E551" i="2"/>
  <c r="D551" i="2"/>
  <c r="F551" i="2" s="1"/>
  <c r="G551" i="2" s="1"/>
  <c r="J551" i="2"/>
  <c r="M551" i="2"/>
  <c r="N551" i="2" s="1"/>
  <c r="H551" i="2"/>
  <c r="I550" i="3"/>
  <c r="B550" i="3"/>
  <c r="C549" i="3"/>
  <c r="C550" i="2" l="1"/>
  <c r="B551" i="2"/>
  <c r="I551" i="2"/>
  <c r="J552" i="2"/>
  <c r="A553" i="2"/>
  <c r="D552" i="2"/>
  <c r="F552" i="2" s="1"/>
  <c r="G552" i="2" s="1"/>
  <c r="E552" i="2"/>
  <c r="M552" i="2" s="1"/>
  <c r="N552" i="2" s="1"/>
  <c r="H552" i="2"/>
  <c r="I551" i="3"/>
  <c r="A553" i="3"/>
  <c r="E552" i="3"/>
  <c r="D552" i="3"/>
  <c r="F552" i="3" s="1"/>
  <c r="G552" i="3" s="1"/>
  <c r="H552" i="3"/>
  <c r="J552" i="3"/>
  <c r="M552" i="3"/>
  <c r="N552" i="3" s="1"/>
  <c r="C550" i="3"/>
  <c r="B551" i="3"/>
  <c r="I552" i="2" l="1"/>
  <c r="I552" i="3"/>
  <c r="J553" i="3"/>
  <c r="D553" i="3"/>
  <c r="F553" i="3"/>
  <c r="G553" i="3" s="1"/>
  <c r="E553" i="3"/>
  <c r="M553" i="3" s="1"/>
  <c r="N553" i="3" s="1"/>
  <c r="A554" i="3"/>
  <c r="H553" i="3"/>
  <c r="B552" i="3"/>
  <c r="C551" i="3"/>
  <c r="B552" i="2"/>
  <c r="C551" i="2"/>
  <c r="H553" i="2"/>
  <c r="A554" i="2"/>
  <c r="J553" i="2"/>
  <c r="E553" i="2"/>
  <c r="M553" i="2" s="1"/>
  <c r="N553" i="2" s="1"/>
  <c r="D553" i="2"/>
  <c r="F553" i="2" s="1"/>
  <c r="G553" i="2" s="1"/>
  <c r="C552" i="2" l="1"/>
  <c r="B553" i="2"/>
  <c r="I553" i="3"/>
  <c r="H554" i="3"/>
  <c r="J554" i="3"/>
  <c r="E554" i="3"/>
  <c r="D554" i="3"/>
  <c r="F554" i="3" s="1"/>
  <c r="G554" i="3" s="1"/>
  <c r="A555" i="3"/>
  <c r="D554" i="2"/>
  <c r="F554" i="2" s="1"/>
  <c r="G554" i="2" s="1"/>
  <c r="A555" i="2"/>
  <c r="E554" i="2"/>
  <c r="M554" i="2" s="1"/>
  <c r="N554" i="2" s="1"/>
  <c r="J554" i="2"/>
  <c r="H554" i="2"/>
  <c r="I553" i="2"/>
  <c r="B553" i="3"/>
  <c r="C552" i="3"/>
  <c r="D555" i="3" l="1"/>
  <c r="F555" i="3"/>
  <c r="G555" i="3" s="1"/>
  <c r="J555" i="3"/>
  <c r="E555" i="3"/>
  <c r="A556" i="3"/>
  <c r="H555" i="3"/>
  <c r="J555" i="2"/>
  <c r="H555" i="2"/>
  <c r="E555" i="2"/>
  <c r="M555" i="2" s="1"/>
  <c r="N555" i="2" s="1"/>
  <c r="D555" i="2"/>
  <c r="F555" i="2" s="1"/>
  <c r="G555" i="2" s="1"/>
  <c r="A556" i="2"/>
  <c r="I554" i="3"/>
  <c r="B554" i="2"/>
  <c r="C553" i="2"/>
  <c r="I554" i="2"/>
  <c r="B554" i="3"/>
  <c r="C553" i="3"/>
  <c r="M554" i="3"/>
  <c r="N554" i="3" s="1"/>
  <c r="J556" i="3" l="1"/>
  <c r="H556" i="3"/>
  <c r="A557" i="3"/>
  <c r="E556" i="3"/>
  <c r="D556" i="3"/>
  <c r="F556" i="3" s="1"/>
  <c r="G556" i="3" s="1"/>
  <c r="A557" i="2"/>
  <c r="E556" i="2"/>
  <c r="M556" i="2" s="1"/>
  <c r="N556" i="2" s="1"/>
  <c r="D556" i="2"/>
  <c r="F556" i="2" s="1"/>
  <c r="G556" i="2" s="1"/>
  <c r="H556" i="2"/>
  <c r="J556" i="2"/>
  <c r="C554" i="2"/>
  <c r="B555" i="2"/>
  <c r="I555" i="3"/>
  <c r="M555" i="3"/>
  <c r="N555" i="3" s="1"/>
  <c r="B555" i="3"/>
  <c r="C554" i="3"/>
  <c r="I555" i="2"/>
  <c r="A558" i="3" l="1"/>
  <c r="E557" i="3"/>
  <c r="D557" i="3"/>
  <c r="F557" i="3" s="1"/>
  <c r="G557" i="3" s="1"/>
  <c r="H557" i="3"/>
  <c r="M557" i="3"/>
  <c r="N557" i="3" s="1"/>
  <c r="J557" i="3"/>
  <c r="J557" i="2"/>
  <c r="H557" i="2"/>
  <c r="A558" i="2"/>
  <c r="E557" i="2"/>
  <c r="D557" i="2"/>
  <c r="F557" i="2" s="1"/>
  <c r="G557" i="2" s="1"/>
  <c r="C555" i="2"/>
  <c r="B556" i="2"/>
  <c r="I556" i="3"/>
  <c r="M556" i="3"/>
  <c r="N556" i="3" s="1"/>
  <c r="C555" i="3"/>
  <c r="B556" i="3"/>
  <c r="I556" i="2"/>
  <c r="B557" i="2" l="1"/>
  <c r="C556" i="2"/>
  <c r="I557" i="3"/>
  <c r="C556" i="3"/>
  <c r="B557" i="3"/>
  <c r="J558" i="3"/>
  <c r="D558" i="3"/>
  <c r="F558" i="3" s="1"/>
  <c r="G558" i="3" s="1"/>
  <c r="E558" i="3"/>
  <c r="M558" i="3" s="1"/>
  <c r="N558" i="3" s="1"/>
  <c r="H558" i="3"/>
  <c r="A559" i="3"/>
  <c r="I557" i="2"/>
  <c r="H558" i="2"/>
  <c r="E558" i="2"/>
  <c r="D558" i="2"/>
  <c r="F558" i="2" s="1"/>
  <c r="G558" i="2" s="1"/>
  <c r="J558" i="2"/>
  <c r="A559" i="2"/>
  <c r="M557" i="2"/>
  <c r="N557" i="2" s="1"/>
  <c r="I558" i="2" l="1"/>
  <c r="I558" i="3"/>
  <c r="M558" i="2"/>
  <c r="N558" i="2" s="1"/>
  <c r="B558" i="3"/>
  <c r="C557" i="3"/>
  <c r="H559" i="3"/>
  <c r="J559" i="3"/>
  <c r="E559" i="3"/>
  <c r="D559" i="3"/>
  <c r="F559" i="3" s="1"/>
  <c r="G559" i="3" s="1"/>
  <c r="A560" i="3"/>
  <c r="D559" i="2"/>
  <c r="F559" i="2" s="1"/>
  <c r="G559" i="2" s="1"/>
  <c r="A560" i="2"/>
  <c r="E559" i="2"/>
  <c r="M559" i="2" s="1"/>
  <c r="N559" i="2" s="1"/>
  <c r="J559" i="2"/>
  <c r="H559" i="2"/>
  <c r="C557" i="2"/>
  <c r="B558" i="2"/>
  <c r="I559" i="3" l="1"/>
  <c r="J560" i="2"/>
  <c r="H560" i="2"/>
  <c r="A561" i="2"/>
  <c r="D560" i="2"/>
  <c r="F560" i="2" s="1"/>
  <c r="G560" i="2" s="1"/>
  <c r="E560" i="2"/>
  <c r="M560" i="2"/>
  <c r="N560" i="2" s="1"/>
  <c r="C558" i="3"/>
  <c r="B559" i="3"/>
  <c r="B559" i="2"/>
  <c r="C558" i="2"/>
  <c r="M559" i="3"/>
  <c r="N559" i="3" s="1"/>
  <c r="I559" i="2"/>
  <c r="D560" i="3"/>
  <c r="F560" i="3"/>
  <c r="G560" i="3" s="1"/>
  <c r="H560" i="3"/>
  <c r="J560" i="3"/>
  <c r="E560" i="3"/>
  <c r="M560" i="3" s="1"/>
  <c r="N560" i="3" s="1"/>
  <c r="A561" i="3"/>
  <c r="J561" i="3" l="1"/>
  <c r="H561" i="3"/>
  <c r="D561" i="3"/>
  <c r="A562" i="3"/>
  <c r="F561" i="3"/>
  <c r="G561" i="3" s="1"/>
  <c r="E561" i="3"/>
  <c r="I560" i="2"/>
  <c r="C559" i="2"/>
  <c r="B560" i="2"/>
  <c r="A562" i="2"/>
  <c r="E561" i="2"/>
  <c r="D561" i="2"/>
  <c r="F561" i="2" s="1"/>
  <c r="G561" i="2" s="1"/>
  <c r="H561" i="2"/>
  <c r="M561" i="2"/>
  <c r="N561" i="2" s="1"/>
  <c r="J561" i="2"/>
  <c r="I560" i="3"/>
  <c r="B560" i="3"/>
  <c r="C559" i="3"/>
  <c r="I561" i="3" l="1"/>
  <c r="A563" i="3"/>
  <c r="E562" i="3"/>
  <c r="D562" i="3"/>
  <c r="F562" i="3" s="1"/>
  <c r="G562" i="3" s="1"/>
  <c r="H562" i="3"/>
  <c r="M562" i="3"/>
  <c r="N562" i="3" s="1"/>
  <c r="J562" i="3"/>
  <c r="I561" i="2"/>
  <c r="M561" i="3"/>
  <c r="N561" i="3" s="1"/>
  <c r="J562" i="2"/>
  <c r="E562" i="2"/>
  <c r="H562" i="2"/>
  <c r="A563" i="2"/>
  <c r="D562" i="2"/>
  <c r="F562" i="2" s="1"/>
  <c r="G562" i="2" s="1"/>
  <c r="C560" i="3"/>
  <c r="B561" i="3"/>
  <c r="C560" i="2"/>
  <c r="B561" i="2"/>
  <c r="H563" i="2" l="1"/>
  <c r="J563" i="2"/>
  <c r="E563" i="2"/>
  <c r="M563" i="2" s="1"/>
  <c r="N563" i="2" s="1"/>
  <c r="A564" i="2"/>
  <c r="D563" i="2"/>
  <c r="F563" i="2" s="1"/>
  <c r="G563" i="2" s="1"/>
  <c r="I562" i="2"/>
  <c r="M562" i="2"/>
  <c r="N562" i="2" s="1"/>
  <c r="B562" i="2"/>
  <c r="C561" i="2"/>
  <c r="J563" i="3"/>
  <c r="D563" i="3"/>
  <c r="A564" i="3"/>
  <c r="H563" i="3"/>
  <c r="E563" i="3"/>
  <c r="F563" i="3"/>
  <c r="G563" i="3" s="1"/>
  <c r="I562" i="3"/>
  <c r="B562" i="3"/>
  <c r="C561" i="3"/>
  <c r="D564" i="2" l="1"/>
  <c r="A565" i="2"/>
  <c r="E564" i="2"/>
  <c r="M564" i="2" s="1"/>
  <c r="N564" i="2" s="1"/>
  <c r="J564" i="2"/>
  <c r="F564" i="2"/>
  <c r="G564" i="2" s="1"/>
  <c r="H564" i="2"/>
  <c r="I563" i="2"/>
  <c r="I563" i="3"/>
  <c r="M563" i="3"/>
  <c r="N563" i="3" s="1"/>
  <c r="A565" i="3"/>
  <c r="E564" i="3"/>
  <c r="H564" i="3"/>
  <c r="M564" i="3"/>
  <c r="N564" i="3" s="1"/>
  <c r="J564" i="3"/>
  <c r="D564" i="3"/>
  <c r="F564" i="3" s="1"/>
  <c r="G564" i="3" s="1"/>
  <c r="B563" i="3"/>
  <c r="C562" i="3"/>
  <c r="C562" i="2"/>
  <c r="B563" i="2"/>
  <c r="B564" i="3" l="1"/>
  <c r="C563" i="3"/>
  <c r="B564" i="2"/>
  <c r="C563" i="2"/>
  <c r="I564" i="3"/>
  <c r="E565" i="3"/>
  <c r="A566" i="3"/>
  <c r="D565" i="3"/>
  <c r="F565" i="3" s="1"/>
  <c r="G565" i="3" s="1"/>
  <c r="H565" i="3"/>
  <c r="J565" i="3"/>
  <c r="I564" i="2"/>
  <c r="J565" i="2"/>
  <c r="H565" i="2"/>
  <c r="A566" i="2"/>
  <c r="E565" i="2"/>
  <c r="D565" i="2"/>
  <c r="F565" i="2"/>
  <c r="G565" i="2" s="1"/>
  <c r="I565" i="2" l="1"/>
  <c r="E566" i="3"/>
  <c r="J566" i="3"/>
  <c r="D566" i="3"/>
  <c r="A567" i="3"/>
  <c r="H566" i="3"/>
  <c r="F566" i="3"/>
  <c r="G566" i="3" s="1"/>
  <c r="I565" i="3"/>
  <c r="C564" i="2"/>
  <c r="B565" i="2"/>
  <c r="M565" i="2"/>
  <c r="N565" i="2" s="1"/>
  <c r="A567" i="2"/>
  <c r="E566" i="2"/>
  <c r="D566" i="2"/>
  <c r="F566" i="2" s="1"/>
  <c r="G566" i="2" s="1"/>
  <c r="M566" i="2"/>
  <c r="N566" i="2" s="1"/>
  <c r="J566" i="2"/>
  <c r="H566" i="2"/>
  <c r="M565" i="3"/>
  <c r="N565" i="3" s="1"/>
  <c r="C564" i="3"/>
  <c r="B565" i="3"/>
  <c r="I566" i="2" l="1"/>
  <c r="B566" i="3"/>
  <c r="C565" i="3"/>
  <c r="J567" i="3"/>
  <c r="A568" i="3"/>
  <c r="H567" i="3"/>
  <c r="E567" i="3"/>
  <c r="M567" i="3" s="1"/>
  <c r="N567" i="3" s="1"/>
  <c r="D567" i="3"/>
  <c r="F567" i="3" s="1"/>
  <c r="G567" i="3" s="1"/>
  <c r="J567" i="2"/>
  <c r="E567" i="2"/>
  <c r="D567" i="2"/>
  <c r="F567" i="2" s="1"/>
  <c r="G567" i="2" s="1"/>
  <c r="A568" i="2"/>
  <c r="H567" i="2"/>
  <c r="I566" i="3"/>
  <c r="B566" i="2"/>
  <c r="C565" i="2"/>
  <c r="M566" i="3"/>
  <c r="N566" i="3" s="1"/>
  <c r="I567" i="2" l="1"/>
  <c r="I567" i="3"/>
  <c r="H568" i="2"/>
  <c r="E568" i="2"/>
  <c r="D568" i="2"/>
  <c r="F568" i="2" s="1"/>
  <c r="G568" i="2" s="1"/>
  <c r="J568" i="2"/>
  <c r="A569" i="2"/>
  <c r="M568" i="2"/>
  <c r="N568" i="2" s="1"/>
  <c r="H568" i="3"/>
  <c r="J568" i="3"/>
  <c r="E568" i="3"/>
  <c r="D568" i="3"/>
  <c r="F568" i="3" s="1"/>
  <c r="G568" i="3" s="1"/>
  <c r="A569" i="3"/>
  <c r="C566" i="3"/>
  <c r="B567" i="3"/>
  <c r="M567" i="2"/>
  <c r="N567" i="2" s="1"/>
  <c r="B567" i="2"/>
  <c r="C566" i="2"/>
  <c r="C567" i="3" l="1"/>
  <c r="B568" i="3"/>
  <c r="I568" i="3"/>
  <c r="D569" i="2"/>
  <c r="F569" i="2" s="1"/>
  <c r="G569" i="2" s="1"/>
  <c r="A570" i="2"/>
  <c r="E569" i="2"/>
  <c r="M569" i="2" s="1"/>
  <c r="N569" i="2" s="1"/>
  <c r="H569" i="2"/>
  <c r="J569" i="2"/>
  <c r="A570" i="3"/>
  <c r="E569" i="3"/>
  <c r="M569" i="3" s="1"/>
  <c r="N569" i="3" s="1"/>
  <c r="D569" i="3"/>
  <c r="F569" i="3" s="1"/>
  <c r="G569" i="3" s="1"/>
  <c r="H569" i="3"/>
  <c r="J569" i="3"/>
  <c r="I568" i="2"/>
  <c r="M568" i="3"/>
  <c r="N568" i="3" s="1"/>
  <c r="C567" i="2"/>
  <c r="B568" i="2"/>
  <c r="I569" i="2" l="1"/>
  <c r="J570" i="2"/>
  <c r="H570" i="2"/>
  <c r="D570" i="2"/>
  <c r="E570" i="2"/>
  <c r="M570" i="2" s="1"/>
  <c r="N570" i="2" s="1"/>
  <c r="A571" i="2"/>
  <c r="F570" i="2"/>
  <c r="G570" i="2" s="1"/>
  <c r="I569" i="3"/>
  <c r="B569" i="2"/>
  <c r="C568" i="2"/>
  <c r="E570" i="3"/>
  <c r="J570" i="3"/>
  <c r="H570" i="3"/>
  <c r="D570" i="3"/>
  <c r="A571" i="3"/>
  <c r="F570" i="3"/>
  <c r="G570" i="3" s="1"/>
  <c r="C568" i="3"/>
  <c r="B569" i="3"/>
  <c r="D571" i="3" l="1"/>
  <c r="H571" i="3"/>
  <c r="J571" i="3"/>
  <c r="A572" i="3"/>
  <c r="E571" i="3"/>
  <c r="M571" i="3"/>
  <c r="N571" i="3" s="1"/>
  <c r="F571" i="3"/>
  <c r="G571" i="3" s="1"/>
  <c r="B570" i="3"/>
  <c r="C569" i="3"/>
  <c r="A572" i="2"/>
  <c r="E571" i="2"/>
  <c r="D571" i="2"/>
  <c r="F571" i="2" s="1"/>
  <c r="G571" i="2" s="1"/>
  <c r="M571" i="2"/>
  <c r="N571" i="2" s="1"/>
  <c r="J571" i="2"/>
  <c r="H571" i="2"/>
  <c r="I570" i="2"/>
  <c r="I570" i="3"/>
  <c r="M570" i="3"/>
  <c r="N570" i="3" s="1"/>
  <c r="C569" i="2"/>
  <c r="B570" i="2"/>
  <c r="C570" i="3" l="1"/>
  <c r="B571" i="3"/>
  <c r="I571" i="2"/>
  <c r="I571" i="3"/>
  <c r="J572" i="3"/>
  <c r="E572" i="3"/>
  <c r="H572" i="3"/>
  <c r="M572" i="3"/>
  <c r="N572" i="3" s="1"/>
  <c r="D572" i="3"/>
  <c r="F572" i="3" s="1"/>
  <c r="G572" i="3" s="1"/>
  <c r="A573" i="3"/>
  <c r="B571" i="2"/>
  <c r="C570" i="2"/>
  <c r="J572" i="2"/>
  <c r="A573" i="2"/>
  <c r="D572" i="2"/>
  <c r="F572" i="2" s="1"/>
  <c r="G572" i="2" s="1"/>
  <c r="E572" i="2"/>
  <c r="H572" i="2"/>
  <c r="H573" i="3" l="1"/>
  <c r="J573" i="3"/>
  <c r="E573" i="3"/>
  <c r="A574" i="3"/>
  <c r="D573" i="3"/>
  <c r="F573" i="3" s="1"/>
  <c r="G573" i="3" s="1"/>
  <c r="I572" i="3"/>
  <c r="B572" i="2"/>
  <c r="C571" i="2"/>
  <c r="B572" i="3"/>
  <c r="C571" i="3"/>
  <c r="I572" i="2"/>
  <c r="H573" i="2"/>
  <c r="A574" i="2"/>
  <c r="D573" i="2"/>
  <c r="F573" i="2" s="1"/>
  <c r="G573" i="2" s="1"/>
  <c r="E573" i="2"/>
  <c r="M573" i="2" s="1"/>
  <c r="N573" i="2" s="1"/>
  <c r="J573" i="2"/>
  <c r="M572" i="2"/>
  <c r="N572" i="2" s="1"/>
  <c r="C572" i="2" l="1"/>
  <c r="B573" i="2"/>
  <c r="D574" i="2"/>
  <c r="A575" i="2"/>
  <c r="E574" i="2"/>
  <c r="F574" i="2"/>
  <c r="G574" i="2" s="1"/>
  <c r="H574" i="2"/>
  <c r="J574" i="2"/>
  <c r="J574" i="3"/>
  <c r="H574" i="3"/>
  <c r="E574" i="3"/>
  <c r="M574" i="3" s="1"/>
  <c r="N574" i="3" s="1"/>
  <c r="A575" i="3"/>
  <c r="D574" i="3"/>
  <c r="F574" i="3" s="1"/>
  <c r="G574" i="3" s="1"/>
  <c r="I573" i="3"/>
  <c r="B573" i="3"/>
  <c r="C572" i="3"/>
  <c r="M573" i="3"/>
  <c r="N573" i="3" s="1"/>
  <c r="I573" i="2"/>
  <c r="I574" i="2" l="1"/>
  <c r="J575" i="2"/>
  <c r="H575" i="2"/>
  <c r="E575" i="2"/>
  <c r="M575" i="2" s="1"/>
  <c r="N575" i="2" s="1"/>
  <c r="A576" i="2"/>
  <c r="D575" i="2"/>
  <c r="F575" i="2" s="1"/>
  <c r="G575" i="2" s="1"/>
  <c r="B574" i="2"/>
  <c r="C573" i="2"/>
  <c r="B574" i="3"/>
  <c r="C573" i="3"/>
  <c r="H575" i="3"/>
  <c r="E575" i="3"/>
  <c r="J575" i="3"/>
  <c r="D575" i="3"/>
  <c r="F575" i="3" s="1"/>
  <c r="G575" i="3" s="1"/>
  <c r="A576" i="3"/>
  <c r="I574" i="3"/>
  <c r="M574" i="2"/>
  <c r="N574" i="2" s="1"/>
  <c r="C574" i="2" l="1"/>
  <c r="B575" i="2"/>
  <c r="I575" i="3"/>
  <c r="D576" i="3"/>
  <c r="F576" i="3" s="1"/>
  <c r="G576" i="3" s="1"/>
  <c r="E576" i="3"/>
  <c r="M576" i="3" s="1"/>
  <c r="N576" i="3" s="1"/>
  <c r="H576" i="3"/>
  <c r="A577" i="3"/>
  <c r="J576" i="3"/>
  <c r="A577" i="2"/>
  <c r="E576" i="2"/>
  <c r="D576" i="2"/>
  <c r="F576" i="2" s="1"/>
  <c r="G576" i="2" s="1"/>
  <c r="J576" i="2"/>
  <c r="H576" i="2"/>
  <c r="M576" i="2"/>
  <c r="N576" i="2" s="1"/>
  <c r="I575" i="2"/>
  <c r="B575" i="3"/>
  <c r="C574" i="3"/>
  <c r="M575" i="3"/>
  <c r="N575" i="3" s="1"/>
  <c r="J577" i="3" l="1"/>
  <c r="H577" i="3"/>
  <c r="A578" i="3"/>
  <c r="E577" i="3"/>
  <c r="D577" i="3"/>
  <c r="F577" i="3" s="1"/>
  <c r="G577" i="3" s="1"/>
  <c r="J577" i="2"/>
  <c r="A578" i="2"/>
  <c r="H577" i="2"/>
  <c r="D577" i="2"/>
  <c r="F577" i="2" s="1"/>
  <c r="G577" i="2" s="1"/>
  <c r="E577" i="2"/>
  <c r="I576" i="2"/>
  <c r="B576" i="2"/>
  <c r="C575" i="2"/>
  <c r="I576" i="3"/>
  <c r="B576" i="3"/>
  <c r="C575" i="3"/>
  <c r="I577" i="2" l="1"/>
  <c r="B577" i="2"/>
  <c r="C576" i="2"/>
  <c r="I577" i="3"/>
  <c r="J578" i="3"/>
  <c r="H578" i="3"/>
  <c r="E578" i="3"/>
  <c r="M578" i="3"/>
  <c r="N578" i="3" s="1"/>
  <c r="D578" i="3"/>
  <c r="F578" i="3" s="1"/>
  <c r="G578" i="3" s="1"/>
  <c r="A579" i="3"/>
  <c r="H578" i="2"/>
  <c r="A579" i="2"/>
  <c r="E578" i="2"/>
  <c r="D578" i="2"/>
  <c r="F578" i="2" s="1"/>
  <c r="G578" i="2" s="1"/>
  <c r="J578" i="2"/>
  <c r="M577" i="3"/>
  <c r="N577" i="3" s="1"/>
  <c r="B577" i="3"/>
  <c r="C576" i="3"/>
  <c r="M577" i="2"/>
  <c r="N577" i="2" s="1"/>
  <c r="I578" i="3" l="1"/>
  <c r="D579" i="2"/>
  <c r="A580" i="2"/>
  <c r="E579" i="2"/>
  <c r="F579" i="2"/>
  <c r="G579" i="2" s="1"/>
  <c r="J579" i="2"/>
  <c r="H579" i="2"/>
  <c r="I578" i="2"/>
  <c r="M578" i="2"/>
  <c r="N578" i="2" s="1"/>
  <c r="C577" i="3"/>
  <c r="B578" i="3"/>
  <c r="E579" i="3"/>
  <c r="H579" i="3"/>
  <c r="A580" i="3"/>
  <c r="J579" i="3"/>
  <c r="M579" i="3"/>
  <c r="N579" i="3" s="1"/>
  <c r="D579" i="3"/>
  <c r="F579" i="3" s="1"/>
  <c r="G579" i="3" s="1"/>
  <c r="C577" i="2"/>
  <c r="B578" i="2"/>
  <c r="H580" i="3" l="1"/>
  <c r="A581" i="3"/>
  <c r="D580" i="3"/>
  <c r="F580" i="3"/>
  <c r="G580" i="3" s="1"/>
  <c r="E580" i="3"/>
  <c r="I580" i="3" s="1"/>
  <c r="J580" i="3"/>
  <c r="I579" i="2"/>
  <c r="I579" i="3"/>
  <c r="J580" i="2"/>
  <c r="H580" i="2"/>
  <c r="E580" i="2"/>
  <c r="D580" i="2"/>
  <c r="F580" i="2"/>
  <c r="G580" i="2" s="1"/>
  <c r="M580" i="2"/>
  <c r="N580" i="2" s="1"/>
  <c r="A581" i="2"/>
  <c r="B579" i="2"/>
  <c r="C578" i="2"/>
  <c r="B579" i="3"/>
  <c r="C578" i="3"/>
  <c r="M579" i="2"/>
  <c r="N579" i="2" s="1"/>
  <c r="C579" i="2" l="1"/>
  <c r="B580" i="2"/>
  <c r="A582" i="2"/>
  <c r="E581" i="2"/>
  <c r="D581" i="2"/>
  <c r="F581" i="2" s="1"/>
  <c r="G581" i="2" s="1"/>
  <c r="H581" i="2"/>
  <c r="J581" i="2"/>
  <c r="M581" i="2"/>
  <c r="N581" i="2" s="1"/>
  <c r="D581" i="3"/>
  <c r="F581" i="3" s="1"/>
  <c r="G581" i="3" s="1"/>
  <c r="J581" i="3"/>
  <c r="H581" i="3"/>
  <c r="A582" i="3"/>
  <c r="E581" i="3"/>
  <c r="M580" i="3"/>
  <c r="N580" i="3" s="1"/>
  <c r="I580" i="2"/>
  <c r="B580" i="3"/>
  <c r="C579" i="3"/>
  <c r="I581" i="3" l="1"/>
  <c r="M581" i="3"/>
  <c r="N581" i="3" s="1"/>
  <c r="J582" i="3"/>
  <c r="H582" i="3"/>
  <c r="E582" i="3"/>
  <c r="M582" i="3"/>
  <c r="N582" i="3" s="1"/>
  <c r="A583" i="3"/>
  <c r="D582" i="3"/>
  <c r="F582" i="3" s="1"/>
  <c r="G582" i="3" s="1"/>
  <c r="I581" i="2"/>
  <c r="C580" i="2"/>
  <c r="B581" i="2"/>
  <c r="J582" i="2"/>
  <c r="H582" i="2"/>
  <c r="A583" i="2"/>
  <c r="E582" i="2"/>
  <c r="D582" i="2"/>
  <c r="F582" i="2" s="1"/>
  <c r="G582" i="2" s="1"/>
  <c r="C580" i="3"/>
  <c r="B581" i="3"/>
  <c r="B582" i="2" l="1"/>
  <c r="C581" i="2"/>
  <c r="I582" i="2"/>
  <c r="E583" i="3"/>
  <c r="A584" i="3"/>
  <c r="D583" i="3"/>
  <c r="F583" i="3" s="1"/>
  <c r="G583" i="3" s="1"/>
  <c r="J583" i="3"/>
  <c r="H583" i="3"/>
  <c r="H583" i="2"/>
  <c r="J583" i="2"/>
  <c r="E583" i="2"/>
  <c r="A584" i="2"/>
  <c r="D583" i="2"/>
  <c r="F583" i="2" s="1"/>
  <c r="G583" i="2" s="1"/>
  <c r="I582" i="3"/>
  <c r="M582" i="2"/>
  <c r="N582" i="2" s="1"/>
  <c r="B582" i="3"/>
  <c r="C581" i="3"/>
  <c r="I583" i="2" l="1"/>
  <c r="I583" i="3"/>
  <c r="D584" i="2"/>
  <c r="A585" i="2"/>
  <c r="E584" i="2"/>
  <c r="M584" i="2" s="1"/>
  <c r="N584" i="2" s="1"/>
  <c r="J584" i="2"/>
  <c r="H584" i="2"/>
  <c r="F584" i="2"/>
  <c r="G584" i="2" s="1"/>
  <c r="A585" i="3"/>
  <c r="D584" i="3"/>
  <c r="F584" i="3" s="1"/>
  <c r="G584" i="3" s="1"/>
  <c r="J584" i="3"/>
  <c r="H584" i="3"/>
  <c r="E584" i="3"/>
  <c r="M583" i="2"/>
  <c r="N583" i="2" s="1"/>
  <c r="C582" i="3"/>
  <c r="B583" i="3"/>
  <c r="M583" i="3"/>
  <c r="N583" i="3" s="1"/>
  <c r="C582" i="2"/>
  <c r="B583" i="2"/>
  <c r="I584" i="3" l="1"/>
  <c r="M584" i="3"/>
  <c r="N584" i="3" s="1"/>
  <c r="I584" i="2"/>
  <c r="J585" i="2"/>
  <c r="H585" i="2"/>
  <c r="A586" i="2"/>
  <c r="D585" i="2"/>
  <c r="F585" i="2" s="1"/>
  <c r="G585" i="2" s="1"/>
  <c r="E585" i="2"/>
  <c r="B584" i="2"/>
  <c r="C583" i="2"/>
  <c r="H585" i="3"/>
  <c r="J585" i="3"/>
  <c r="E585" i="3"/>
  <c r="A586" i="3"/>
  <c r="D585" i="3"/>
  <c r="F585" i="3" s="1"/>
  <c r="G585" i="3" s="1"/>
  <c r="B584" i="3"/>
  <c r="C583" i="3"/>
  <c r="I585" i="2" l="1"/>
  <c r="D586" i="3"/>
  <c r="H586" i="3"/>
  <c r="A587" i="3"/>
  <c r="J586" i="3"/>
  <c r="F586" i="3"/>
  <c r="G586" i="3" s="1"/>
  <c r="E586" i="3"/>
  <c r="I585" i="3"/>
  <c r="M585" i="2"/>
  <c r="N585" i="2" s="1"/>
  <c r="M585" i="3"/>
  <c r="N585" i="3" s="1"/>
  <c r="A587" i="2"/>
  <c r="E586" i="2"/>
  <c r="D586" i="2"/>
  <c r="F586" i="2" s="1"/>
  <c r="G586" i="2" s="1"/>
  <c r="H586" i="2"/>
  <c r="J586" i="2"/>
  <c r="M586" i="2"/>
  <c r="N586" i="2" s="1"/>
  <c r="C584" i="3"/>
  <c r="B585" i="3"/>
  <c r="C584" i="2"/>
  <c r="B585" i="2"/>
  <c r="I586" i="3" l="1"/>
  <c r="I586" i="2"/>
  <c r="J587" i="2"/>
  <c r="E587" i="2"/>
  <c r="M587" i="2" s="1"/>
  <c r="N587" i="2" s="1"/>
  <c r="H587" i="2"/>
  <c r="A588" i="2"/>
  <c r="D587" i="2"/>
  <c r="F587" i="2" s="1"/>
  <c r="G587" i="2" s="1"/>
  <c r="J587" i="3"/>
  <c r="E587" i="3"/>
  <c r="M587" i="3" s="1"/>
  <c r="N587" i="3" s="1"/>
  <c r="A588" i="3"/>
  <c r="D587" i="3"/>
  <c r="F587" i="3" s="1"/>
  <c r="G587" i="3" s="1"/>
  <c r="H587" i="3"/>
  <c r="B586" i="3"/>
  <c r="C585" i="3"/>
  <c r="M586" i="3"/>
  <c r="N586" i="3" s="1"/>
  <c r="C585" i="2"/>
  <c r="B586" i="2"/>
  <c r="B587" i="3" l="1"/>
  <c r="C586" i="3"/>
  <c r="H588" i="2"/>
  <c r="J588" i="2"/>
  <c r="E588" i="2"/>
  <c r="A589" i="2"/>
  <c r="M588" i="2"/>
  <c r="N588" i="2" s="1"/>
  <c r="D588" i="2"/>
  <c r="F588" i="2" s="1"/>
  <c r="G588" i="2" s="1"/>
  <c r="D588" i="3"/>
  <c r="F588" i="3" s="1"/>
  <c r="G588" i="3" s="1"/>
  <c r="A589" i="3"/>
  <c r="E588" i="3"/>
  <c r="H588" i="3"/>
  <c r="J588" i="3"/>
  <c r="B587" i="2"/>
  <c r="C586" i="2"/>
  <c r="I587" i="3"/>
  <c r="I587" i="2"/>
  <c r="D589" i="2" l="1"/>
  <c r="A590" i="2"/>
  <c r="E589" i="2"/>
  <c r="M589" i="2" s="1"/>
  <c r="N589" i="2" s="1"/>
  <c r="J589" i="2"/>
  <c r="H589" i="2"/>
  <c r="F589" i="2"/>
  <c r="G589" i="2" s="1"/>
  <c r="I588" i="3"/>
  <c r="J589" i="3"/>
  <c r="E589" i="3"/>
  <c r="M589" i="3" s="1"/>
  <c r="N589" i="3" s="1"/>
  <c r="D589" i="3"/>
  <c r="F589" i="3" s="1"/>
  <c r="G589" i="3" s="1"/>
  <c r="H589" i="3"/>
  <c r="A590" i="3"/>
  <c r="C587" i="2"/>
  <c r="B588" i="2"/>
  <c r="I588" i="2"/>
  <c r="M588" i="3"/>
  <c r="N588" i="3" s="1"/>
  <c r="B588" i="3"/>
  <c r="C587" i="3"/>
  <c r="H590" i="3" l="1"/>
  <c r="E590" i="3"/>
  <c r="D590" i="3"/>
  <c r="F590" i="3" s="1"/>
  <c r="G590" i="3" s="1"/>
  <c r="A591" i="3"/>
  <c r="J590" i="3"/>
  <c r="M590" i="3"/>
  <c r="N590" i="3" s="1"/>
  <c r="J590" i="2"/>
  <c r="H590" i="2"/>
  <c r="A591" i="2"/>
  <c r="D590" i="2"/>
  <c r="F590" i="2" s="1"/>
  <c r="G590" i="2" s="1"/>
  <c r="E590" i="2"/>
  <c r="B589" i="2"/>
  <c r="C588" i="2"/>
  <c r="B589" i="3"/>
  <c r="C588" i="3"/>
  <c r="I589" i="3"/>
  <c r="I589" i="2"/>
  <c r="C589" i="3" l="1"/>
  <c r="B590" i="3"/>
  <c r="C589" i="2"/>
  <c r="B590" i="2"/>
  <c r="I590" i="2"/>
  <c r="M590" i="2"/>
  <c r="N590" i="2" s="1"/>
  <c r="D591" i="3"/>
  <c r="F591" i="3" s="1"/>
  <c r="G591" i="3" s="1"/>
  <c r="E591" i="3"/>
  <c r="M591" i="3" s="1"/>
  <c r="N591" i="3" s="1"/>
  <c r="A592" i="3"/>
  <c r="H591" i="3"/>
  <c r="J591" i="3"/>
  <c r="I590" i="3"/>
  <c r="A592" i="2"/>
  <c r="E591" i="2"/>
  <c r="D591" i="2"/>
  <c r="F591" i="2" s="1"/>
  <c r="G591" i="2" s="1"/>
  <c r="J591" i="2"/>
  <c r="H591" i="2"/>
  <c r="I591" i="2" l="1"/>
  <c r="J592" i="2"/>
  <c r="E592" i="2"/>
  <c r="D592" i="2"/>
  <c r="F592" i="2"/>
  <c r="G592" i="2" s="1"/>
  <c r="A593" i="2"/>
  <c r="H592" i="2"/>
  <c r="M591" i="2"/>
  <c r="N591" i="2" s="1"/>
  <c r="J592" i="3"/>
  <c r="H592" i="3"/>
  <c r="A593" i="3"/>
  <c r="E592" i="3"/>
  <c r="D592" i="3"/>
  <c r="F592" i="3"/>
  <c r="G592" i="3" s="1"/>
  <c r="C590" i="3"/>
  <c r="B591" i="3"/>
  <c r="I591" i="3"/>
  <c r="B591" i="2"/>
  <c r="C590" i="2"/>
  <c r="H593" i="2" l="1"/>
  <c r="E593" i="2"/>
  <c r="D593" i="2"/>
  <c r="F593" i="2" s="1"/>
  <c r="G593" i="2" s="1"/>
  <c r="J593" i="2"/>
  <c r="M593" i="2"/>
  <c r="N593" i="2" s="1"/>
  <c r="A594" i="2"/>
  <c r="I592" i="3"/>
  <c r="F593" i="3"/>
  <c r="G593" i="3" s="1"/>
  <c r="J593" i="3"/>
  <c r="H593" i="3"/>
  <c r="A594" i="3"/>
  <c r="D593" i="3"/>
  <c r="E593" i="3"/>
  <c r="I592" i="2"/>
  <c r="M592" i="2"/>
  <c r="N592" i="2" s="1"/>
  <c r="B592" i="3"/>
  <c r="C591" i="3"/>
  <c r="B592" i="2"/>
  <c r="C591" i="2"/>
  <c r="M592" i="3"/>
  <c r="N592" i="3" s="1"/>
  <c r="I593" i="2" l="1"/>
  <c r="C592" i="3"/>
  <c r="B593" i="3"/>
  <c r="I593" i="3"/>
  <c r="H594" i="3"/>
  <c r="A595" i="3"/>
  <c r="J594" i="3"/>
  <c r="D594" i="3"/>
  <c r="F594" i="3" s="1"/>
  <c r="G594" i="3" s="1"/>
  <c r="E594" i="3"/>
  <c r="M594" i="3" s="1"/>
  <c r="N594" i="3" s="1"/>
  <c r="C592" i="2"/>
  <c r="B593" i="2"/>
  <c r="M593" i="3"/>
  <c r="N593" i="3" s="1"/>
  <c r="D594" i="2"/>
  <c r="F594" i="2" s="1"/>
  <c r="G594" i="2" s="1"/>
  <c r="A595" i="2"/>
  <c r="E594" i="2"/>
  <c r="H594" i="2"/>
  <c r="J594" i="2"/>
  <c r="I594" i="2" l="1"/>
  <c r="J595" i="2"/>
  <c r="H595" i="2"/>
  <c r="E595" i="2"/>
  <c r="A596" i="2"/>
  <c r="D595" i="2"/>
  <c r="F595" i="2" s="1"/>
  <c r="G595" i="2" s="1"/>
  <c r="H595" i="3"/>
  <c r="E595" i="3"/>
  <c r="M595" i="3" s="1"/>
  <c r="N595" i="3" s="1"/>
  <c r="D595" i="3"/>
  <c r="F595" i="3" s="1"/>
  <c r="G595" i="3" s="1"/>
  <c r="A596" i="3"/>
  <c r="J595" i="3"/>
  <c r="M594" i="2"/>
  <c r="N594" i="2" s="1"/>
  <c r="B594" i="2"/>
  <c r="C593" i="2"/>
  <c r="B594" i="3"/>
  <c r="C593" i="3"/>
  <c r="I594" i="3"/>
  <c r="C594" i="2" l="1"/>
  <c r="B595" i="2"/>
  <c r="A597" i="2"/>
  <c r="E596" i="2"/>
  <c r="D596" i="2"/>
  <c r="F596" i="2" s="1"/>
  <c r="G596" i="2" s="1"/>
  <c r="M596" i="2"/>
  <c r="N596" i="2" s="1"/>
  <c r="J596" i="2"/>
  <c r="H596" i="2"/>
  <c r="I595" i="2"/>
  <c r="D596" i="3"/>
  <c r="F596" i="3" s="1"/>
  <c r="G596" i="3" s="1"/>
  <c r="H596" i="3"/>
  <c r="E596" i="3"/>
  <c r="J596" i="3"/>
  <c r="A597" i="3"/>
  <c r="M595" i="2"/>
  <c r="N595" i="2" s="1"/>
  <c r="I595" i="3"/>
  <c r="B595" i="3"/>
  <c r="C594" i="3"/>
  <c r="J597" i="2" l="1"/>
  <c r="A598" i="2"/>
  <c r="D597" i="2"/>
  <c r="H597" i="2"/>
  <c r="F597" i="2"/>
  <c r="G597" i="2" s="1"/>
  <c r="E597" i="2"/>
  <c r="J597" i="3"/>
  <c r="H597" i="3"/>
  <c r="E597" i="3"/>
  <c r="M597" i="3"/>
  <c r="N597" i="3" s="1"/>
  <c r="D597" i="3"/>
  <c r="F597" i="3" s="1"/>
  <c r="G597" i="3" s="1"/>
  <c r="A598" i="3"/>
  <c r="I596" i="3"/>
  <c r="I596" i="2"/>
  <c r="M596" i="3"/>
  <c r="N596" i="3" s="1"/>
  <c r="B596" i="3"/>
  <c r="C595" i="3"/>
  <c r="B596" i="2"/>
  <c r="C595" i="2"/>
  <c r="I597" i="2" l="1"/>
  <c r="C596" i="3"/>
  <c r="B597" i="3"/>
  <c r="A599" i="3"/>
  <c r="E598" i="3"/>
  <c r="D598" i="3"/>
  <c r="F598" i="3" s="1"/>
  <c r="G598" i="3" s="1"/>
  <c r="H598" i="3"/>
  <c r="J598" i="3"/>
  <c r="H598" i="2"/>
  <c r="A599" i="2"/>
  <c r="D598" i="2"/>
  <c r="F598" i="2" s="1"/>
  <c r="G598" i="2" s="1"/>
  <c r="E598" i="2"/>
  <c r="M598" i="2" s="1"/>
  <c r="N598" i="2" s="1"/>
  <c r="J598" i="2"/>
  <c r="B597" i="2"/>
  <c r="C596" i="2"/>
  <c r="M597" i="2"/>
  <c r="N597" i="2" s="1"/>
  <c r="I597" i="3"/>
  <c r="C597" i="2" l="1"/>
  <c r="B598" i="2"/>
  <c r="I598" i="3"/>
  <c r="D599" i="2"/>
  <c r="A600" i="2"/>
  <c r="E599" i="2"/>
  <c r="F599" i="2"/>
  <c r="G599" i="2" s="1"/>
  <c r="H599" i="2"/>
  <c r="J599" i="2"/>
  <c r="B598" i="3"/>
  <c r="C597" i="3"/>
  <c r="I598" i="2"/>
  <c r="J599" i="3"/>
  <c r="H599" i="3"/>
  <c r="E599" i="3"/>
  <c r="D599" i="3"/>
  <c r="F599" i="3" s="1"/>
  <c r="G599" i="3" s="1"/>
  <c r="A600" i="3"/>
  <c r="M598" i="3"/>
  <c r="N598" i="3" s="1"/>
  <c r="I599" i="2" l="1"/>
  <c r="I599" i="3"/>
  <c r="J600" i="2"/>
  <c r="H600" i="2"/>
  <c r="E600" i="2"/>
  <c r="A601" i="2"/>
  <c r="M600" i="2"/>
  <c r="N600" i="2" s="1"/>
  <c r="D600" i="2"/>
  <c r="F600" i="2" s="1"/>
  <c r="G600" i="2" s="1"/>
  <c r="M599" i="2"/>
  <c r="N599" i="2" s="1"/>
  <c r="H600" i="3"/>
  <c r="J600" i="3"/>
  <c r="E600" i="3"/>
  <c r="M600" i="3"/>
  <c r="N600" i="3" s="1"/>
  <c r="A601" i="3"/>
  <c r="D600" i="3"/>
  <c r="F600" i="3" s="1"/>
  <c r="G600" i="3" s="1"/>
  <c r="B599" i="3"/>
  <c r="C598" i="3"/>
  <c r="B599" i="2"/>
  <c r="C598" i="2"/>
  <c r="M599" i="3"/>
  <c r="N599" i="3" s="1"/>
  <c r="C599" i="3" l="1"/>
  <c r="B600" i="3"/>
  <c r="D601" i="3"/>
  <c r="H601" i="3"/>
  <c r="A602" i="3"/>
  <c r="F601" i="3"/>
  <c r="G601" i="3" s="1"/>
  <c r="J601" i="3"/>
  <c r="E601" i="3"/>
  <c r="I601" i="3" s="1"/>
  <c r="A602" i="2"/>
  <c r="E601" i="2"/>
  <c r="M601" i="2" s="1"/>
  <c r="N601" i="2" s="1"/>
  <c r="D601" i="2"/>
  <c r="F601" i="2" s="1"/>
  <c r="G601" i="2" s="1"/>
  <c r="J601" i="2"/>
  <c r="H601" i="2"/>
  <c r="I600" i="2"/>
  <c r="I600" i="3"/>
  <c r="C599" i="2"/>
  <c r="B600" i="2"/>
  <c r="I601" i="2" l="1"/>
  <c r="J602" i="3"/>
  <c r="H602" i="3"/>
  <c r="D602" i="3"/>
  <c r="F602" i="3" s="1"/>
  <c r="G602" i="3" s="1"/>
  <c r="E602" i="3"/>
  <c r="M602" i="3" s="1"/>
  <c r="N602" i="3" s="1"/>
  <c r="A603" i="3"/>
  <c r="C600" i="2"/>
  <c r="B601" i="2"/>
  <c r="J602" i="2"/>
  <c r="A603" i="2"/>
  <c r="H602" i="2"/>
  <c r="E602" i="2"/>
  <c r="D602" i="2"/>
  <c r="F602" i="2" s="1"/>
  <c r="G602" i="2" s="1"/>
  <c r="B601" i="3"/>
  <c r="C600" i="3"/>
  <c r="M601" i="3"/>
  <c r="N601" i="3" s="1"/>
  <c r="C601" i="3" l="1"/>
  <c r="B602" i="3"/>
  <c r="I602" i="2"/>
  <c r="A604" i="3"/>
  <c r="E603" i="3"/>
  <c r="D603" i="3"/>
  <c r="F603" i="3" s="1"/>
  <c r="G603" i="3" s="1"/>
  <c r="J603" i="3"/>
  <c r="H603" i="3"/>
  <c r="I602" i="3"/>
  <c r="H603" i="2"/>
  <c r="A604" i="2"/>
  <c r="J603" i="2"/>
  <c r="E603" i="2"/>
  <c r="D603" i="2"/>
  <c r="F603" i="2" s="1"/>
  <c r="G603" i="2" s="1"/>
  <c r="M602" i="2"/>
  <c r="N602" i="2" s="1"/>
  <c r="B602" i="2"/>
  <c r="C601" i="2"/>
  <c r="I603" i="2" l="1"/>
  <c r="M603" i="2"/>
  <c r="N603" i="2" s="1"/>
  <c r="J604" i="3"/>
  <c r="H604" i="3"/>
  <c r="A605" i="3"/>
  <c r="E604" i="3"/>
  <c r="D604" i="3"/>
  <c r="F604" i="3" s="1"/>
  <c r="G604" i="3" s="1"/>
  <c r="C602" i="2"/>
  <c r="B603" i="2"/>
  <c r="C602" i="3"/>
  <c r="B603" i="3"/>
  <c r="I603" i="3"/>
  <c r="D604" i="2"/>
  <c r="F604" i="2" s="1"/>
  <c r="G604" i="2" s="1"/>
  <c r="A605" i="2"/>
  <c r="E604" i="2"/>
  <c r="M604" i="2" s="1"/>
  <c r="N604" i="2" s="1"/>
  <c r="J604" i="2"/>
  <c r="H604" i="2"/>
  <c r="M603" i="3"/>
  <c r="N603" i="3" s="1"/>
  <c r="B604" i="3" l="1"/>
  <c r="C603" i="3"/>
  <c r="I604" i="3"/>
  <c r="B604" i="2"/>
  <c r="C603" i="2"/>
  <c r="I604" i="2"/>
  <c r="J605" i="2"/>
  <c r="H605" i="2"/>
  <c r="E605" i="2"/>
  <c r="D605" i="2"/>
  <c r="F605" i="2" s="1"/>
  <c r="G605" i="2" s="1"/>
  <c r="A606" i="2"/>
  <c r="M604" i="3"/>
  <c r="N604" i="3" s="1"/>
  <c r="H605" i="3"/>
  <c r="J605" i="3"/>
  <c r="E605" i="3"/>
  <c r="A606" i="3"/>
  <c r="D605" i="3"/>
  <c r="F605" i="3" s="1"/>
  <c r="G605" i="3" s="1"/>
  <c r="I605" i="3" l="1"/>
  <c r="D606" i="3"/>
  <c r="J606" i="3"/>
  <c r="H606" i="3"/>
  <c r="F606" i="3"/>
  <c r="G606" i="3" s="1"/>
  <c r="E606" i="3"/>
  <c r="A607" i="3"/>
  <c r="C604" i="2"/>
  <c r="B605" i="2"/>
  <c r="I605" i="2"/>
  <c r="A607" i="2"/>
  <c r="E606" i="2"/>
  <c r="D606" i="2"/>
  <c r="F606" i="2" s="1"/>
  <c r="G606" i="2" s="1"/>
  <c r="H606" i="2"/>
  <c r="J606" i="2"/>
  <c r="M606" i="2"/>
  <c r="N606" i="2" s="1"/>
  <c r="M605" i="2"/>
  <c r="N605" i="2" s="1"/>
  <c r="M605" i="3"/>
  <c r="N605" i="3" s="1"/>
  <c r="B605" i="3"/>
  <c r="C604" i="3"/>
  <c r="I606" i="3" l="1"/>
  <c r="C605" i="2"/>
  <c r="B606" i="2"/>
  <c r="J607" i="3"/>
  <c r="H607" i="3"/>
  <c r="A608" i="3"/>
  <c r="E607" i="3"/>
  <c r="M607" i="3" s="1"/>
  <c r="N607" i="3" s="1"/>
  <c r="D607" i="3"/>
  <c r="F607" i="3"/>
  <c r="G607" i="3" s="1"/>
  <c r="M606" i="3"/>
  <c r="N606" i="3" s="1"/>
  <c r="I606" i="2"/>
  <c r="J607" i="2"/>
  <c r="H607" i="2"/>
  <c r="E607" i="2"/>
  <c r="A608" i="2"/>
  <c r="D607" i="2"/>
  <c r="F607" i="2" s="1"/>
  <c r="G607" i="2" s="1"/>
  <c r="B606" i="3"/>
  <c r="C605" i="3"/>
  <c r="H608" i="2" l="1"/>
  <c r="J608" i="2"/>
  <c r="A609" i="2"/>
  <c r="E608" i="2"/>
  <c r="M608" i="2" s="1"/>
  <c r="N608" i="2" s="1"/>
  <c r="D608" i="2"/>
  <c r="F608" i="2" s="1"/>
  <c r="G608" i="2" s="1"/>
  <c r="I607" i="2"/>
  <c r="I607" i="3"/>
  <c r="B607" i="2"/>
  <c r="C606" i="2"/>
  <c r="A609" i="3"/>
  <c r="E608" i="3"/>
  <c r="D608" i="3"/>
  <c r="F608" i="3" s="1"/>
  <c r="G608" i="3" s="1"/>
  <c r="J608" i="3"/>
  <c r="M608" i="3"/>
  <c r="N608" i="3" s="1"/>
  <c r="H608" i="3"/>
  <c r="M607" i="2"/>
  <c r="N607" i="2" s="1"/>
  <c r="C606" i="3"/>
  <c r="B607" i="3"/>
  <c r="J609" i="3" l="1"/>
  <c r="H609" i="3"/>
  <c r="E609" i="3"/>
  <c r="A610" i="3"/>
  <c r="D609" i="3"/>
  <c r="F609" i="3" s="1"/>
  <c r="G609" i="3" s="1"/>
  <c r="I608" i="3"/>
  <c r="B608" i="3"/>
  <c r="C607" i="3"/>
  <c r="I608" i="2"/>
  <c r="D609" i="2"/>
  <c r="F609" i="2" s="1"/>
  <c r="G609" i="2" s="1"/>
  <c r="A610" i="2"/>
  <c r="E609" i="2"/>
  <c r="H609" i="2"/>
  <c r="J609" i="2"/>
  <c r="C607" i="2"/>
  <c r="B608" i="2"/>
  <c r="B609" i="3" l="1"/>
  <c r="C608" i="3"/>
  <c r="I609" i="2"/>
  <c r="I609" i="3"/>
  <c r="J610" i="2"/>
  <c r="H610" i="2"/>
  <c r="A611" i="2"/>
  <c r="D610" i="2"/>
  <c r="F610" i="2" s="1"/>
  <c r="G610" i="2" s="1"/>
  <c r="E610" i="2"/>
  <c r="M609" i="2"/>
  <c r="N609" i="2" s="1"/>
  <c r="B609" i="2"/>
  <c r="C608" i="2"/>
  <c r="M609" i="3"/>
  <c r="N609" i="3" s="1"/>
  <c r="H610" i="3"/>
  <c r="J610" i="3"/>
  <c r="A611" i="3"/>
  <c r="E610" i="3"/>
  <c r="M610" i="3" s="1"/>
  <c r="N610" i="3" s="1"/>
  <c r="D610" i="3"/>
  <c r="F610" i="3" s="1"/>
  <c r="G610" i="3" s="1"/>
  <c r="I610" i="2" l="1"/>
  <c r="C609" i="2"/>
  <c r="B610" i="2"/>
  <c r="I610" i="3"/>
  <c r="A612" i="2"/>
  <c r="E611" i="2"/>
  <c r="D611" i="2"/>
  <c r="F611" i="2" s="1"/>
  <c r="G611" i="2" s="1"/>
  <c r="H611" i="2"/>
  <c r="J611" i="2"/>
  <c r="D611" i="3"/>
  <c r="F611" i="3" s="1"/>
  <c r="G611" i="3" s="1"/>
  <c r="E611" i="3"/>
  <c r="A612" i="3"/>
  <c r="M611" i="3"/>
  <c r="N611" i="3" s="1"/>
  <c r="H611" i="3"/>
  <c r="J611" i="3"/>
  <c r="M610" i="2"/>
  <c r="N610" i="2" s="1"/>
  <c r="B610" i="3"/>
  <c r="C609" i="3"/>
  <c r="J612" i="3" l="1"/>
  <c r="A613" i="3"/>
  <c r="D612" i="3"/>
  <c r="H612" i="3"/>
  <c r="F612" i="3"/>
  <c r="G612" i="3" s="1"/>
  <c r="E612" i="3"/>
  <c r="I612" i="3" s="1"/>
  <c r="I611" i="2"/>
  <c r="J612" i="2"/>
  <c r="F612" i="2"/>
  <c r="G612" i="2" s="1"/>
  <c r="E612" i="2"/>
  <c r="H612" i="2"/>
  <c r="A613" i="2"/>
  <c r="D612" i="2"/>
  <c r="I611" i="3"/>
  <c r="C610" i="2"/>
  <c r="B611" i="2"/>
  <c r="B611" i="3"/>
  <c r="C610" i="3"/>
  <c r="M611" i="2"/>
  <c r="N611" i="2" s="1"/>
  <c r="B612" i="2" l="1"/>
  <c r="C611" i="2"/>
  <c r="I612" i="2"/>
  <c r="M612" i="3"/>
  <c r="N612" i="3" s="1"/>
  <c r="H613" i="2"/>
  <c r="J613" i="2"/>
  <c r="E613" i="2"/>
  <c r="D613" i="2"/>
  <c r="F613" i="2" s="1"/>
  <c r="G613" i="2" s="1"/>
  <c r="A614" i="2"/>
  <c r="M612" i="2"/>
  <c r="N612" i="2" s="1"/>
  <c r="J613" i="3"/>
  <c r="D613" i="3"/>
  <c r="F613" i="3" s="1"/>
  <c r="G613" i="3" s="1"/>
  <c r="A614" i="3"/>
  <c r="E613" i="3"/>
  <c r="M613" i="3"/>
  <c r="N613" i="3" s="1"/>
  <c r="H613" i="3"/>
  <c r="B612" i="3"/>
  <c r="C611" i="3"/>
  <c r="I613" i="3" l="1"/>
  <c r="I613" i="2"/>
  <c r="C612" i="3"/>
  <c r="B613" i="3"/>
  <c r="H614" i="3"/>
  <c r="E614" i="3"/>
  <c r="D614" i="3"/>
  <c r="F614" i="3" s="1"/>
  <c r="G614" i="3" s="1"/>
  <c r="J614" i="3"/>
  <c r="A615" i="3"/>
  <c r="D614" i="2"/>
  <c r="F614" i="2" s="1"/>
  <c r="G614" i="2" s="1"/>
  <c r="A615" i="2"/>
  <c r="E614" i="2"/>
  <c r="J614" i="2"/>
  <c r="H614" i="2"/>
  <c r="M613" i="2"/>
  <c r="N613" i="2" s="1"/>
  <c r="C612" i="2"/>
  <c r="B613" i="2"/>
  <c r="I614" i="2" l="1"/>
  <c r="H615" i="3"/>
  <c r="E615" i="3"/>
  <c r="A616" i="3"/>
  <c r="D615" i="3"/>
  <c r="F615" i="3" s="1"/>
  <c r="G615" i="3" s="1"/>
  <c r="M615" i="3"/>
  <c r="N615" i="3" s="1"/>
  <c r="J615" i="3"/>
  <c r="I614" i="3"/>
  <c r="J615" i="2"/>
  <c r="H615" i="2"/>
  <c r="A616" i="2"/>
  <c r="E615" i="2"/>
  <c r="D615" i="2"/>
  <c r="F615" i="2" s="1"/>
  <c r="G615" i="2" s="1"/>
  <c r="M614" i="2"/>
  <c r="N614" i="2" s="1"/>
  <c r="B614" i="3"/>
  <c r="C613" i="3"/>
  <c r="B614" i="2"/>
  <c r="C613" i="2"/>
  <c r="M614" i="3"/>
  <c r="N614" i="3" s="1"/>
  <c r="C614" i="3" l="1"/>
  <c r="B615" i="3"/>
  <c r="I615" i="2"/>
  <c r="D616" i="3"/>
  <c r="A617" i="3"/>
  <c r="H616" i="3"/>
  <c r="F616" i="3"/>
  <c r="G616" i="3" s="1"/>
  <c r="J616" i="3"/>
  <c r="E616" i="3"/>
  <c r="M616" i="3" s="1"/>
  <c r="N616" i="3" s="1"/>
  <c r="M615" i="2"/>
  <c r="N615" i="2" s="1"/>
  <c r="I615" i="3"/>
  <c r="A617" i="2"/>
  <c r="E616" i="2"/>
  <c r="M616" i="2" s="1"/>
  <c r="N616" i="2" s="1"/>
  <c r="D616" i="2"/>
  <c r="F616" i="2" s="1"/>
  <c r="G616" i="2" s="1"/>
  <c r="J616" i="2"/>
  <c r="H616" i="2"/>
  <c r="C614" i="2"/>
  <c r="B615" i="2"/>
  <c r="J617" i="3" l="1"/>
  <c r="H617" i="3"/>
  <c r="E617" i="3"/>
  <c r="M617" i="3" s="1"/>
  <c r="N617" i="3" s="1"/>
  <c r="A618" i="3"/>
  <c r="D617" i="3"/>
  <c r="F617" i="3" s="1"/>
  <c r="G617" i="3" s="1"/>
  <c r="J617" i="2"/>
  <c r="E617" i="2"/>
  <c r="D617" i="2"/>
  <c r="F617" i="2" s="1"/>
  <c r="G617" i="2" s="1"/>
  <c r="H617" i="2"/>
  <c r="A618" i="2"/>
  <c r="B616" i="3"/>
  <c r="C615" i="3"/>
  <c r="I616" i="2"/>
  <c r="B616" i="2"/>
  <c r="C615" i="2"/>
  <c r="I616" i="3"/>
  <c r="B617" i="2" l="1"/>
  <c r="C616" i="2"/>
  <c r="H618" i="2"/>
  <c r="E618" i="2"/>
  <c r="D618" i="2"/>
  <c r="F618" i="2" s="1"/>
  <c r="G618" i="2" s="1"/>
  <c r="J618" i="2"/>
  <c r="A619" i="2"/>
  <c r="M618" i="2"/>
  <c r="N618" i="2" s="1"/>
  <c r="H618" i="3"/>
  <c r="A619" i="3"/>
  <c r="J618" i="3"/>
  <c r="E618" i="3"/>
  <c r="D618" i="3"/>
  <c r="F618" i="3" s="1"/>
  <c r="G618" i="3" s="1"/>
  <c r="C616" i="3"/>
  <c r="B617" i="3"/>
  <c r="I617" i="3"/>
  <c r="I617" i="2"/>
  <c r="M617" i="2"/>
  <c r="N617" i="2" s="1"/>
  <c r="B618" i="3" l="1"/>
  <c r="C617" i="3"/>
  <c r="D619" i="2"/>
  <c r="A620" i="2"/>
  <c r="E619" i="2"/>
  <c r="H619" i="2"/>
  <c r="J619" i="2"/>
  <c r="F619" i="2"/>
  <c r="G619" i="2" s="1"/>
  <c r="I618" i="3"/>
  <c r="I618" i="2"/>
  <c r="E619" i="3"/>
  <c r="A620" i="3"/>
  <c r="D619" i="3"/>
  <c r="F619" i="3" s="1"/>
  <c r="G619" i="3" s="1"/>
  <c r="M619" i="3"/>
  <c r="N619" i="3" s="1"/>
  <c r="H619" i="3"/>
  <c r="J619" i="3"/>
  <c r="M618" i="3"/>
  <c r="N618" i="3" s="1"/>
  <c r="C617" i="2"/>
  <c r="B618" i="2"/>
  <c r="H620" i="3" l="1"/>
  <c r="A621" i="3"/>
  <c r="J620" i="3"/>
  <c r="E620" i="3"/>
  <c r="M620" i="3" s="1"/>
  <c r="N620" i="3" s="1"/>
  <c r="D620" i="3"/>
  <c r="F620" i="3" s="1"/>
  <c r="G620" i="3" s="1"/>
  <c r="J620" i="2"/>
  <c r="H620" i="2"/>
  <c r="E620" i="2"/>
  <c r="D620" i="2"/>
  <c r="F620" i="2" s="1"/>
  <c r="G620" i="2" s="1"/>
  <c r="A621" i="2"/>
  <c r="B619" i="2"/>
  <c r="C618" i="2"/>
  <c r="I619" i="2"/>
  <c r="I619" i="3"/>
  <c r="M619" i="2"/>
  <c r="N619" i="2" s="1"/>
  <c r="B619" i="3"/>
  <c r="C618" i="3"/>
  <c r="C619" i="2" l="1"/>
  <c r="B620" i="2"/>
  <c r="D621" i="3"/>
  <c r="J621" i="3"/>
  <c r="F621" i="3"/>
  <c r="G621" i="3" s="1"/>
  <c r="H621" i="3"/>
  <c r="A622" i="3"/>
  <c r="E621" i="3"/>
  <c r="I621" i="3" s="1"/>
  <c r="I620" i="2"/>
  <c r="B620" i="3"/>
  <c r="C619" i="3"/>
  <c r="I620" i="3"/>
  <c r="A622" i="2"/>
  <c r="E621" i="2"/>
  <c r="D621" i="2"/>
  <c r="F621" i="2" s="1"/>
  <c r="G621" i="2" s="1"/>
  <c r="M621" i="2"/>
  <c r="N621" i="2" s="1"/>
  <c r="H621" i="2"/>
  <c r="J621" i="2"/>
  <c r="M620" i="2"/>
  <c r="N620" i="2" s="1"/>
  <c r="I621" i="2" l="1"/>
  <c r="M621" i="3"/>
  <c r="N621" i="3" s="1"/>
  <c r="J622" i="3"/>
  <c r="H622" i="3"/>
  <c r="D622" i="3"/>
  <c r="F622" i="3" s="1"/>
  <c r="G622" i="3" s="1"/>
  <c r="E622" i="3"/>
  <c r="M622" i="3"/>
  <c r="N622" i="3" s="1"/>
  <c r="A623" i="3"/>
  <c r="J622" i="2"/>
  <c r="A623" i="2"/>
  <c r="D622" i="2"/>
  <c r="H622" i="2"/>
  <c r="F622" i="2"/>
  <c r="G622" i="2" s="1"/>
  <c r="E622" i="2"/>
  <c r="M622" i="2" s="1"/>
  <c r="N622" i="2" s="1"/>
  <c r="C620" i="3"/>
  <c r="B621" i="3"/>
  <c r="C620" i="2"/>
  <c r="B621" i="2"/>
  <c r="C621" i="3" l="1"/>
  <c r="B622" i="3"/>
  <c r="I622" i="2"/>
  <c r="I622" i="3"/>
  <c r="A624" i="3"/>
  <c r="E623" i="3"/>
  <c r="D623" i="3"/>
  <c r="F623" i="3" s="1"/>
  <c r="G623" i="3" s="1"/>
  <c r="H623" i="3"/>
  <c r="M623" i="3"/>
  <c r="N623" i="3" s="1"/>
  <c r="J623" i="3"/>
  <c r="H623" i="2"/>
  <c r="A624" i="2"/>
  <c r="D623" i="2"/>
  <c r="F623" i="2" s="1"/>
  <c r="G623" i="2" s="1"/>
  <c r="J623" i="2"/>
  <c r="E623" i="2"/>
  <c r="M623" i="2"/>
  <c r="N623" i="2" s="1"/>
  <c r="B622" i="2"/>
  <c r="C621" i="2"/>
  <c r="I623" i="3" l="1"/>
  <c r="I623" i="2"/>
  <c r="D624" i="3"/>
  <c r="A625" i="3"/>
  <c r="H624" i="3"/>
  <c r="J624" i="3"/>
  <c r="F624" i="3"/>
  <c r="G624" i="3" s="1"/>
  <c r="E624" i="3"/>
  <c r="I624" i="3" s="1"/>
  <c r="D624" i="2"/>
  <c r="F624" i="2" s="1"/>
  <c r="G624" i="2" s="1"/>
  <c r="A625" i="2"/>
  <c r="E624" i="2"/>
  <c r="H624" i="2"/>
  <c r="J624" i="2"/>
  <c r="C622" i="3"/>
  <c r="B623" i="3"/>
  <c r="C622" i="2"/>
  <c r="B623" i="2"/>
  <c r="I624" i="2" l="1"/>
  <c r="B624" i="3"/>
  <c r="C623" i="3"/>
  <c r="M624" i="3"/>
  <c r="N624" i="3" s="1"/>
  <c r="H625" i="3"/>
  <c r="A626" i="3"/>
  <c r="J625" i="3"/>
  <c r="E625" i="3"/>
  <c r="D625" i="3"/>
  <c r="F625" i="3" s="1"/>
  <c r="G625" i="3" s="1"/>
  <c r="J625" i="2"/>
  <c r="H625" i="2"/>
  <c r="E625" i="2"/>
  <c r="D625" i="2"/>
  <c r="F625" i="2" s="1"/>
  <c r="G625" i="2" s="1"/>
  <c r="M625" i="2"/>
  <c r="N625" i="2" s="1"/>
  <c r="A626" i="2"/>
  <c r="B624" i="2"/>
  <c r="C623" i="2"/>
  <c r="M624" i="2"/>
  <c r="N624" i="2" s="1"/>
  <c r="I625" i="3" l="1"/>
  <c r="M625" i="3"/>
  <c r="N625" i="3" s="1"/>
  <c r="D626" i="3"/>
  <c r="J626" i="3"/>
  <c r="H626" i="3"/>
  <c r="F626" i="3"/>
  <c r="G626" i="3" s="1"/>
  <c r="A627" i="3"/>
  <c r="E626" i="3"/>
  <c r="I626" i="3" s="1"/>
  <c r="B625" i="3"/>
  <c r="C624" i="3"/>
  <c r="A627" i="2"/>
  <c r="E626" i="2"/>
  <c r="D626" i="2"/>
  <c r="F626" i="2" s="1"/>
  <c r="G626" i="2" s="1"/>
  <c r="J626" i="2"/>
  <c r="H626" i="2"/>
  <c r="M626" i="2"/>
  <c r="N626" i="2" s="1"/>
  <c r="I625" i="2"/>
  <c r="C624" i="2"/>
  <c r="B625" i="2"/>
  <c r="B626" i="3" l="1"/>
  <c r="C625" i="3"/>
  <c r="I626" i="2"/>
  <c r="J627" i="2"/>
  <c r="A628" i="2"/>
  <c r="E627" i="2"/>
  <c r="H627" i="2"/>
  <c r="D627" i="2"/>
  <c r="F627" i="2" s="1"/>
  <c r="G627" i="2" s="1"/>
  <c r="M626" i="3"/>
  <c r="N626" i="3" s="1"/>
  <c r="C625" i="2"/>
  <c r="B626" i="2"/>
  <c r="J627" i="3"/>
  <c r="H627" i="3"/>
  <c r="D627" i="3"/>
  <c r="F627" i="3" s="1"/>
  <c r="G627" i="3" s="1"/>
  <c r="E627" i="3"/>
  <c r="A628" i="3"/>
  <c r="I627" i="2" l="1"/>
  <c r="H628" i="2"/>
  <c r="A629" i="2"/>
  <c r="J628" i="2"/>
  <c r="E628" i="2"/>
  <c r="M628" i="2" s="1"/>
  <c r="N628" i="2" s="1"/>
  <c r="D628" i="2"/>
  <c r="F628" i="2" s="1"/>
  <c r="G628" i="2" s="1"/>
  <c r="M627" i="2"/>
  <c r="N627" i="2" s="1"/>
  <c r="I627" i="3"/>
  <c r="B627" i="2"/>
  <c r="C626" i="2"/>
  <c r="M627" i="3"/>
  <c r="N627" i="3" s="1"/>
  <c r="E628" i="3"/>
  <c r="J628" i="3"/>
  <c r="H628" i="3"/>
  <c r="D628" i="3"/>
  <c r="F628" i="3" s="1"/>
  <c r="G628" i="3" s="1"/>
  <c r="A629" i="3"/>
  <c r="C626" i="3"/>
  <c r="B627" i="3"/>
  <c r="I628" i="3" l="1"/>
  <c r="I628" i="2"/>
  <c r="C627" i="3"/>
  <c r="B628" i="3"/>
  <c r="D629" i="2"/>
  <c r="F629" i="2" s="1"/>
  <c r="G629" i="2" s="1"/>
  <c r="A630" i="2"/>
  <c r="E629" i="2"/>
  <c r="H629" i="2"/>
  <c r="J629" i="2"/>
  <c r="M628" i="3"/>
  <c r="N628" i="3" s="1"/>
  <c r="A630" i="3"/>
  <c r="D629" i="3"/>
  <c r="F629" i="3" s="1"/>
  <c r="G629" i="3" s="1"/>
  <c r="J629" i="3"/>
  <c r="H629" i="3"/>
  <c r="E629" i="3"/>
  <c r="M629" i="3" s="1"/>
  <c r="N629" i="3" s="1"/>
  <c r="C627" i="2"/>
  <c r="B628" i="2"/>
  <c r="I629" i="2" l="1"/>
  <c r="I629" i="3"/>
  <c r="M629" i="2"/>
  <c r="N629" i="2" s="1"/>
  <c r="J630" i="3"/>
  <c r="H630" i="3"/>
  <c r="A631" i="3"/>
  <c r="E630" i="3"/>
  <c r="D630" i="3"/>
  <c r="F630" i="3" s="1"/>
  <c r="G630" i="3" s="1"/>
  <c r="J630" i="2"/>
  <c r="H630" i="2"/>
  <c r="E630" i="2"/>
  <c r="D630" i="2"/>
  <c r="F630" i="2" s="1"/>
  <c r="G630" i="2" s="1"/>
  <c r="A631" i="2"/>
  <c r="M630" i="2"/>
  <c r="N630" i="2" s="1"/>
  <c r="B629" i="3"/>
  <c r="C628" i="3"/>
  <c r="B629" i="2"/>
  <c r="C628" i="2"/>
  <c r="C629" i="3" l="1"/>
  <c r="B630" i="3"/>
  <c r="I630" i="3"/>
  <c r="A632" i="3"/>
  <c r="E631" i="3"/>
  <c r="H631" i="3"/>
  <c r="M631" i="3"/>
  <c r="N631" i="3" s="1"/>
  <c r="D631" i="3"/>
  <c r="F631" i="3" s="1"/>
  <c r="G631" i="3" s="1"/>
  <c r="J631" i="3"/>
  <c r="A632" i="2"/>
  <c r="E631" i="2"/>
  <c r="M631" i="2" s="1"/>
  <c r="N631" i="2" s="1"/>
  <c r="D631" i="2"/>
  <c r="F631" i="2" s="1"/>
  <c r="G631" i="2" s="1"/>
  <c r="H631" i="2"/>
  <c r="J631" i="2"/>
  <c r="M630" i="3"/>
  <c r="N630" i="3" s="1"/>
  <c r="I630" i="2"/>
  <c r="C629" i="2"/>
  <c r="B630" i="2"/>
  <c r="I631" i="2" l="1"/>
  <c r="C630" i="2"/>
  <c r="B631" i="2"/>
  <c r="J632" i="2"/>
  <c r="H632" i="2"/>
  <c r="A633" i="2"/>
  <c r="E632" i="2"/>
  <c r="D632" i="2"/>
  <c r="F632" i="2" s="1"/>
  <c r="G632" i="2" s="1"/>
  <c r="C630" i="3"/>
  <c r="B631" i="3"/>
  <c r="I631" i="3"/>
  <c r="E632" i="3"/>
  <c r="A633" i="3"/>
  <c r="D632" i="3"/>
  <c r="F632" i="3" s="1"/>
  <c r="G632" i="3" s="1"/>
  <c r="M632" i="3"/>
  <c r="N632" i="3" s="1"/>
  <c r="J632" i="3"/>
  <c r="H632" i="3"/>
  <c r="I632" i="2" l="1"/>
  <c r="H633" i="2"/>
  <c r="D633" i="2"/>
  <c r="F633" i="2" s="1"/>
  <c r="G633" i="2" s="1"/>
  <c r="E633" i="2"/>
  <c r="A634" i="2"/>
  <c r="J633" i="2"/>
  <c r="A634" i="3"/>
  <c r="E633" i="3"/>
  <c r="M633" i="3" s="1"/>
  <c r="N633" i="3" s="1"/>
  <c r="D633" i="3"/>
  <c r="F633" i="3" s="1"/>
  <c r="G633" i="3" s="1"/>
  <c r="J633" i="3"/>
  <c r="H633" i="3"/>
  <c r="I632" i="3"/>
  <c r="M632" i="2"/>
  <c r="N632" i="2" s="1"/>
  <c r="C631" i="3"/>
  <c r="B632" i="3"/>
  <c r="B632" i="2"/>
  <c r="C631" i="2"/>
  <c r="D634" i="2" l="1"/>
  <c r="A635" i="2"/>
  <c r="E634" i="2"/>
  <c r="H634" i="2"/>
  <c r="J634" i="2"/>
  <c r="F634" i="2"/>
  <c r="G634" i="2" s="1"/>
  <c r="B633" i="3"/>
  <c r="C632" i="3"/>
  <c r="I633" i="2"/>
  <c r="M633" i="2"/>
  <c r="N633" i="2" s="1"/>
  <c r="I633" i="3"/>
  <c r="C632" i="2"/>
  <c r="B633" i="2"/>
  <c r="J634" i="3"/>
  <c r="D634" i="3"/>
  <c r="F634" i="3" s="1"/>
  <c r="G634" i="3" s="1"/>
  <c r="H634" i="3"/>
  <c r="A635" i="3"/>
  <c r="E634" i="3"/>
  <c r="M634" i="3" s="1"/>
  <c r="N634" i="3" s="1"/>
  <c r="C633" i="3" l="1"/>
  <c r="B634" i="3"/>
  <c r="B634" i="2"/>
  <c r="C633" i="2"/>
  <c r="I634" i="2"/>
  <c r="J635" i="2"/>
  <c r="H635" i="2"/>
  <c r="A636" i="2"/>
  <c r="D635" i="2"/>
  <c r="F635" i="2" s="1"/>
  <c r="G635" i="2" s="1"/>
  <c r="E635" i="2"/>
  <c r="M635" i="2" s="1"/>
  <c r="N635" i="2" s="1"/>
  <c r="H635" i="3"/>
  <c r="D635" i="3"/>
  <c r="F635" i="3" s="1"/>
  <c r="G635" i="3" s="1"/>
  <c r="A636" i="3"/>
  <c r="J635" i="3"/>
  <c r="E635" i="3"/>
  <c r="I634" i="3"/>
  <c r="M634" i="2"/>
  <c r="N634" i="2" s="1"/>
  <c r="A637" i="2" l="1"/>
  <c r="E636" i="2"/>
  <c r="D636" i="2"/>
  <c r="F636" i="2" s="1"/>
  <c r="G636" i="2" s="1"/>
  <c r="H636" i="2"/>
  <c r="M636" i="2"/>
  <c r="N636" i="2" s="1"/>
  <c r="J636" i="2"/>
  <c r="A637" i="3"/>
  <c r="E636" i="3"/>
  <c r="M636" i="3" s="1"/>
  <c r="N636" i="3" s="1"/>
  <c r="D636" i="3"/>
  <c r="F636" i="3" s="1"/>
  <c r="G636" i="3" s="1"/>
  <c r="H636" i="3"/>
  <c r="J636" i="3"/>
  <c r="C634" i="3"/>
  <c r="B635" i="3"/>
  <c r="I635" i="3"/>
  <c r="M635" i="3"/>
  <c r="N635" i="3" s="1"/>
  <c r="C634" i="2"/>
  <c r="B635" i="2"/>
  <c r="I635" i="2"/>
  <c r="H637" i="3" l="1"/>
  <c r="A638" i="3"/>
  <c r="J637" i="3"/>
  <c r="D637" i="3"/>
  <c r="F637" i="3" s="1"/>
  <c r="G637" i="3" s="1"/>
  <c r="E637" i="3"/>
  <c r="C635" i="3"/>
  <c r="B636" i="3"/>
  <c r="I636" i="3"/>
  <c r="I636" i="2"/>
  <c r="C635" i="2"/>
  <c r="B636" i="2"/>
  <c r="J637" i="2"/>
  <c r="E637" i="2"/>
  <c r="M637" i="2" s="1"/>
  <c r="N637" i="2" s="1"/>
  <c r="H637" i="2"/>
  <c r="D637" i="2"/>
  <c r="F637" i="2" s="1"/>
  <c r="G637" i="2" s="1"/>
  <c r="A638" i="2"/>
  <c r="B637" i="3" l="1"/>
  <c r="C636" i="3"/>
  <c r="I637" i="2"/>
  <c r="I637" i="3"/>
  <c r="J638" i="3"/>
  <c r="H638" i="3"/>
  <c r="A639" i="3"/>
  <c r="E638" i="3"/>
  <c r="M638" i="3" s="1"/>
  <c r="N638" i="3" s="1"/>
  <c r="D638" i="3"/>
  <c r="F638" i="3" s="1"/>
  <c r="G638" i="3" s="1"/>
  <c r="B637" i="2"/>
  <c r="C636" i="2"/>
  <c r="H638" i="2"/>
  <c r="J638" i="2"/>
  <c r="E638" i="2"/>
  <c r="M638" i="2" s="1"/>
  <c r="N638" i="2" s="1"/>
  <c r="A639" i="2"/>
  <c r="D638" i="2"/>
  <c r="F638" i="2" s="1"/>
  <c r="G638" i="2" s="1"/>
  <c r="M637" i="3"/>
  <c r="N637" i="3" s="1"/>
  <c r="D639" i="2" l="1"/>
  <c r="A640" i="2"/>
  <c r="E639" i="2"/>
  <c r="J639" i="2"/>
  <c r="F639" i="2"/>
  <c r="G639" i="2" s="1"/>
  <c r="H639" i="2"/>
  <c r="I638" i="2"/>
  <c r="C637" i="2"/>
  <c r="B638" i="2"/>
  <c r="H639" i="3"/>
  <c r="J639" i="3"/>
  <c r="E639" i="3"/>
  <c r="D639" i="3"/>
  <c r="F639" i="3" s="1"/>
  <c r="G639" i="3" s="1"/>
  <c r="A640" i="3"/>
  <c r="I638" i="3"/>
  <c r="C637" i="3"/>
  <c r="B638" i="3"/>
  <c r="I639" i="3" l="1"/>
  <c r="E640" i="3"/>
  <c r="A641" i="3"/>
  <c r="D640" i="3"/>
  <c r="M640" i="3"/>
  <c r="N640" i="3" s="1"/>
  <c r="F640" i="3"/>
  <c r="G640" i="3" s="1"/>
  <c r="J640" i="3"/>
  <c r="H640" i="3"/>
  <c r="I639" i="2"/>
  <c r="J640" i="2"/>
  <c r="H640" i="2"/>
  <c r="A641" i="2"/>
  <c r="E640" i="2"/>
  <c r="D640" i="2"/>
  <c r="F640" i="2" s="1"/>
  <c r="G640" i="2" s="1"/>
  <c r="C638" i="3"/>
  <c r="B639" i="3"/>
  <c r="M639" i="3"/>
  <c r="N639" i="3" s="1"/>
  <c r="M639" i="2"/>
  <c r="N639" i="2" s="1"/>
  <c r="B639" i="2"/>
  <c r="C638" i="2"/>
  <c r="A642" i="2" l="1"/>
  <c r="E641" i="2"/>
  <c r="D641" i="2"/>
  <c r="F641" i="2" s="1"/>
  <c r="G641" i="2" s="1"/>
  <c r="M641" i="2"/>
  <c r="N641" i="2" s="1"/>
  <c r="H641" i="2"/>
  <c r="J641" i="2"/>
  <c r="J641" i="3"/>
  <c r="A642" i="3"/>
  <c r="E641" i="3"/>
  <c r="M641" i="3" s="1"/>
  <c r="N641" i="3" s="1"/>
  <c r="D641" i="3"/>
  <c r="F641" i="3" s="1"/>
  <c r="G641" i="3" s="1"/>
  <c r="H641" i="3"/>
  <c r="C639" i="3"/>
  <c r="B640" i="3"/>
  <c r="I640" i="2"/>
  <c r="M640" i="2"/>
  <c r="N640" i="2" s="1"/>
  <c r="C639" i="2"/>
  <c r="B640" i="2"/>
  <c r="I640" i="3"/>
  <c r="B641" i="3" l="1"/>
  <c r="C640" i="3"/>
  <c r="I641" i="2"/>
  <c r="B641" i="2"/>
  <c r="C640" i="2"/>
  <c r="I641" i="3"/>
  <c r="J642" i="2"/>
  <c r="E642" i="2"/>
  <c r="D642" i="2"/>
  <c r="F642" i="2"/>
  <c r="G642" i="2" s="1"/>
  <c r="A643" i="2"/>
  <c r="H642" i="2"/>
  <c r="H642" i="3"/>
  <c r="A643" i="3"/>
  <c r="E642" i="3"/>
  <c r="D642" i="3"/>
  <c r="F642" i="3" s="1"/>
  <c r="G642" i="3" s="1"/>
  <c r="J642" i="3"/>
  <c r="I642" i="2" l="1"/>
  <c r="M642" i="2"/>
  <c r="N642" i="2" s="1"/>
  <c r="B642" i="2"/>
  <c r="C641" i="2"/>
  <c r="H643" i="2"/>
  <c r="E643" i="2"/>
  <c r="D643" i="2"/>
  <c r="F643" i="2" s="1"/>
  <c r="G643" i="2" s="1"/>
  <c r="J643" i="2"/>
  <c r="A644" i="2"/>
  <c r="M643" i="2"/>
  <c r="N643" i="2" s="1"/>
  <c r="I642" i="3"/>
  <c r="M642" i="3"/>
  <c r="N642" i="3" s="1"/>
  <c r="D643" i="3"/>
  <c r="F643" i="3" s="1"/>
  <c r="G643" i="3" s="1"/>
  <c r="A644" i="3"/>
  <c r="J643" i="3"/>
  <c r="H643" i="3"/>
  <c r="E643" i="3"/>
  <c r="B642" i="3"/>
  <c r="C641" i="3"/>
  <c r="I643" i="3" l="1"/>
  <c r="D644" i="2"/>
  <c r="A645" i="2"/>
  <c r="E644" i="2"/>
  <c r="M644" i="2" s="1"/>
  <c r="N644" i="2" s="1"/>
  <c r="H644" i="2"/>
  <c r="J644" i="2"/>
  <c r="F644" i="2"/>
  <c r="G644" i="2" s="1"/>
  <c r="M643" i="3"/>
  <c r="N643" i="3" s="1"/>
  <c r="I643" i="2"/>
  <c r="J644" i="3"/>
  <c r="H644" i="3"/>
  <c r="A645" i="3"/>
  <c r="E644" i="3"/>
  <c r="M644" i="3" s="1"/>
  <c r="N644" i="3" s="1"/>
  <c r="D644" i="3"/>
  <c r="F644" i="3" s="1"/>
  <c r="G644" i="3" s="1"/>
  <c r="B643" i="3"/>
  <c r="C642" i="3"/>
  <c r="C642" i="2"/>
  <c r="B643" i="2"/>
  <c r="D645" i="3" l="1"/>
  <c r="F645" i="3" s="1"/>
  <c r="G645" i="3" s="1"/>
  <c r="A646" i="3"/>
  <c r="E645" i="3"/>
  <c r="H645" i="3"/>
  <c r="J645" i="3"/>
  <c r="B644" i="2"/>
  <c r="C643" i="2"/>
  <c r="I644" i="2"/>
  <c r="B644" i="3"/>
  <c r="C643" i="3"/>
  <c r="I644" i="3"/>
  <c r="J645" i="2"/>
  <c r="H645" i="2"/>
  <c r="D645" i="2"/>
  <c r="F645" i="2" s="1"/>
  <c r="G645" i="2" s="1"/>
  <c r="E645" i="2"/>
  <c r="A646" i="2"/>
  <c r="I645" i="2" l="1"/>
  <c r="C644" i="2"/>
  <c r="B645" i="2"/>
  <c r="C644" i="3"/>
  <c r="B645" i="3"/>
  <c r="M645" i="2"/>
  <c r="N645" i="2" s="1"/>
  <c r="I645" i="3"/>
  <c r="M645" i="3"/>
  <c r="N645" i="3" s="1"/>
  <c r="J646" i="3"/>
  <c r="A647" i="3"/>
  <c r="E646" i="3"/>
  <c r="H646" i="3"/>
  <c r="M646" i="3"/>
  <c r="N646" i="3" s="1"/>
  <c r="D646" i="3"/>
  <c r="F646" i="3" s="1"/>
  <c r="G646" i="3" s="1"/>
  <c r="A647" i="2"/>
  <c r="E646" i="2"/>
  <c r="D646" i="2"/>
  <c r="F646" i="2" s="1"/>
  <c r="G646" i="2" s="1"/>
  <c r="H646" i="2"/>
  <c r="J646" i="2"/>
  <c r="J647" i="2" l="1"/>
  <c r="A648" i="2"/>
  <c r="D647" i="2"/>
  <c r="F647" i="2"/>
  <c r="G647" i="2" s="1"/>
  <c r="E647" i="2"/>
  <c r="M647" i="2" s="1"/>
  <c r="N647" i="2" s="1"/>
  <c r="H647" i="2"/>
  <c r="I646" i="3"/>
  <c r="I646" i="2"/>
  <c r="B646" i="3"/>
  <c r="C645" i="3"/>
  <c r="C645" i="2"/>
  <c r="B646" i="2"/>
  <c r="M646" i="2"/>
  <c r="N646" i="2" s="1"/>
  <c r="H647" i="3"/>
  <c r="A648" i="3"/>
  <c r="E647" i="3"/>
  <c r="M647" i="3" s="1"/>
  <c r="N647" i="3" s="1"/>
  <c r="D647" i="3"/>
  <c r="F647" i="3" s="1"/>
  <c r="G647" i="3" s="1"/>
  <c r="J647" i="3"/>
  <c r="B647" i="2" l="1"/>
  <c r="C646" i="2"/>
  <c r="D648" i="3"/>
  <c r="A649" i="3"/>
  <c r="E648" i="3"/>
  <c r="M648" i="3" s="1"/>
  <c r="N648" i="3" s="1"/>
  <c r="J648" i="3"/>
  <c r="F648" i="3"/>
  <c r="G648" i="3" s="1"/>
  <c r="H648" i="3"/>
  <c r="I647" i="2"/>
  <c r="H648" i="2"/>
  <c r="A649" i="2"/>
  <c r="D648" i="2"/>
  <c r="F648" i="2" s="1"/>
  <c r="G648" i="2" s="1"/>
  <c r="J648" i="2"/>
  <c r="E648" i="2"/>
  <c r="I647" i="3"/>
  <c r="C646" i="3"/>
  <c r="B647" i="3"/>
  <c r="I648" i="2" l="1"/>
  <c r="M648" i="2"/>
  <c r="N648" i="2" s="1"/>
  <c r="J649" i="3"/>
  <c r="H649" i="3"/>
  <c r="D649" i="3"/>
  <c r="F649" i="3" s="1"/>
  <c r="G649" i="3" s="1"/>
  <c r="A650" i="3"/>
  <c r="E649" i="3"/>
  <c r="I648" i="3"/>
  <c r="D649" i="2"/>
  <c r="F649" i="2" s="1"/>
  <c r="G649" i="2" s="1"/>
  <c r="A650" i="2"/>
  <c r="E649" i="2"/>
  <c r="H649" i="2"/>
  <c r="J649" i="2"/>
  <c r="B648" i="3"/>
  <c r="C647" i="3"/>
  <c r="C647" i="2"/>
  <c r="B648" i="2"/>
  <c r="I649" i="2" l="1"/>
  <c r="C648" i="3"/>
  <c r="B649" i="3"/>
  <c r="D650" i="3"/>
  <c r="F650" i="3" s="1"/>
  <c r="G650" i="3" s="1"/>
  <c r="A651" i="3"/>
  <c r="E650" i="3"/>
  <c r="J650" i="3"/>
  <c r="H650" i="3"/>
  <c r="J650" i="2"/>
  <c r="H650" i="2"/>
  <c r="E650" i="2"/>
  <c r="A651" i="2"/>
  <c r="D650" i="2"/>
  <c r="F650" i="2" s="1"/>
  <c r="G650" i="2" s="1"/>
  <c r="M650" i="2"/>
  <c r="N650" i="2" s="1"/>
  <c r="I649" i="3"/>
  <c r="M649" i="3"/>
  <c r="N649" i="3" s="1"/>
  <c r="B649" i="2"/>
  <c r="C648" i="2"/>
  <c r="M649" i="2"/>
  <c r="N649" i="2" s="1"/>
  <c r="I650" i="3" l="1"/>
  <c r="A652" i="2"/>
  <c r="E651" i="2"/>
  <c r="D651" i="2"/>
  <c r="F651" i="2" s="1"/>
  <c r="G651" i="2" s="1"/>
  <c r="J651" i="2"/>
  <c r="M651" i="2"/>
  <c r="N651" i="2" s="1"/>
  <c r="H651" i="2"/>
  <c r="M650" i="3"/>
  <c r="N650" i="3" s="1"/>
  <c r="J651" i="3"/>
  <c r="A652" i="3"/>
  <c r="E651" i="3"/>
  <c r="D651" i="3"/>
  <c r="H651" i="3"/>
  <c r="M651" i="3"/>
  <c r="N651" i="3" s="1"/>
  <c r="F651" i="3"/>
  <c r="G651" i="3" s="1"/>
  <c r="I650" i="2"/>
  <c r="C649" i="3"/>
  <c r="B650" i="3"/>
  <c r="C649" i="2"/>
  <c r="B650" i="2"/>
  <c r="I651" i="3" l="1"/>
  <c r="I651" i="2"/>
  <c r="B651" i="2"/>
  <c r="C650" i="2"/>
  <c r="H652" i="3"/>
  <c r="D652" i="3"/>
  <c r="F652" i="3" s="1"/>
  <c r="G652" i="3" s="1"/>
  <c r="A653" i="3"/>
  <c r="E652" i="3"/>
  <c r="J652" i="3"/>
  <c r="J652" i="2"/>
  <c r="A653" i="2"/>
  <c r="E652" i="2"/>
  <c r="D652" i="2"/>
  <c r="F652" i="2" s="1"/>
  <c r="G652" i="2" s="1"/>
  <c r="H652" i="2"/>
  <c r="B651" i="3"/>
  <c r="C650" i="3"/>
  <c r="I652" i="3" l="1"/>
  <c r="I652" i="2"/>
  <c r="D653" i="3"/>
  <c r="E653" i="3"/>
  <c r="M653" i="3"/>
  <c r="N653" i="3" s="1"/>
  <c r="J653" i="3"/>
  <c r="H653" i="3"/>
  <c r="F653" i="3"/>
  <c r="G653" i="3" s="1"/>
  <c r="A654" i="3"/>
  <c r="H653" i="2"/>
  <c r="A654" i="2"/>
  <c r="D653" i="2"/>
  <c r="F653" i="2" s="1"/>
  <c r="G653" i="2" s="1"/>
  <c r="E653" i="2"/>
  <c r="J653" i="2"/>
  <c r="B652" i="2"/>
  <c r="C651" i="2"/>
  <c r="M652" i="2"/>
  <c r="N652" i="2" s="1"/>
  <c r="M652" i="3"/>
  <c r="N652" i="3" s="1"/>
  <c r="C651" i="3"/>
  <c r="B652" i="3"/>
  <c r="I653" i="2" l="1"/>
  <c r="M653" i="2"/>
  <c r="N653" i="2" s="1"/>
  <c r="J654" i="3"/>
  <c r="H654" i="3"/>
  <c r="E654" i="3"/>
  <c r="D654" i="3"/>
  <c r="A655" i="3"/>
  <c r="F654" i="3"/>
  <c r="G654" i="3" s="1"/>
  <c r="C652" i="2"/>
  <c r="B653" i="2"/>
  <c r="I653" i="3"/>
  <c r="B653" i="3"/>
  <c r="C652" i="3"/>
  <c r="D654" i="2"/>
  <c r="F654" i="2" s="1"/>
  <c r="G654" i="2" s="1"/>
  <c r="A655" i="2"/>
  <c r="E654" i="2"/>
  <c r="H654" i="2"/>
  <c r="J654" i="2"/>
  <c r="J655" i="2" l="1"/>
  <c r="H655" i="2"/>
  <c r="E655" i="2"/>
  <c r="D655" i="2"/>
  <c r="F655" i="2"/>
  <c r="G655" i="2" s="1"/>
  <c r="M655" i="2"/>
  <c r="N655" i="2" s="1"/>
  <c r="A656" i="2"/>
  <c r="D655" i="3"/>
  <c r="F655" i="3" s="1"/>
  <c r="G655" i="3" s="1"/>
  <c r="E655" i="3"/>
  <c r="M655" i="3" s="1"/>
  <c r="N655" i="3" s="1"/>
  <c r="H655" i="3"/>
  <c r="J655" i="3"/>
  <c r="A656" i="3"/>
  <c r="I654" i="2"/>
  <c r="M654" i="2"/>
  <c r="N654" i="2" s="1"/>
  <c r="I654" i="3"/>
  <c r="M654" i="3"/>
  <c r="N654" i="3" s="1"/>
  <c r="C653" i="3"/>
  <c r="B654" i="3"/>
  <c r="B654" i="2"/>
  <c r="C653" i="2"/>
  <c r="J656" i="3" l="1"/>
  <c r="A657" i="3"/>
  <c r="E656" i="3"/>
  <c r="D656" i="3"/>
  <c r="F656" i="3" s="1"/>
  <c r="G656" i="3" s="1"/>
  <c r="M656" i="3"/>
  <c r="N656" i="3" s="1"/>
  <c r="H656" i="3"/>
  <c r="I655" i="2"/>
  <c r="C654" i="3"/>
  <c r="B655" i="3"/>
  <c r="A657" i="2"/>
  <c r="E656" i="2"/>
  <c r="D656" i="2"/>
  <c r="F656" i="2" s="1"/>
  <c r="G656" i="2" s="1"/>
  <c r="H656" i="2"/>
  <c r="J656" i="2"/>
  <c r="M656" i="2"/>
  <c r="N656" i="2" s="1"/>
  <c r="C654" i="2"/>
  <c r="B655" i="2"/>
  <c r="I655" i="3"/>
  <c r="I656" i="3" l="1"/>
  <c r="I656" i="2"/>
  <c r="J657" i="2"/>
  <c r="H657" i="2"/>
  <c r="D657" i="2"/>
  <c r="E657" i="2"/>
  <c r="A658" i="2"/>
  <c r="F657" i="2"/>
  <c r="G657" i="2" s="1"/>
  <c r="H657" i="3"/>
  <c r="E657" i="3"/>
  <c r="M657" i="3" s="1"/>
  <c r="N657" i="3" s="1"/>
  <c r="D657" i="3"/>
  <c r="F657" i="3" s="1"/>
  <c r="G657" i="3" s="1"/>
  <c r="A658" i="3"/>
  <c r="J657" i="3"/>
  <c r="C655" i="2"/>
  <c r="B656" i="2"/>
  <c r="B656" i="3"/>
  <c r="C655" i="3"/>
  <c r="B657" i="2" l="1"/>
  <c r="C656" i="2"/>
  <c r="I657" i="2"/>
  <c r="D658" i="3"/>
  <c r="F658" i="3"/>
  <c r="G658" i="3" s="1"/>
  <c r="E658" i="3"/>
  <c r="H658" i="3"/>
  <c r="A659" i="3"/>
  <c r="J658" i="3"/>
  <c r="H658" i="2"/>
  <c r="A659" i="2"/>
  <c r="D658" i="2"/>
  <c r="F658" i="2" s="1"/>
  <c r="G658" i="2" s="1"/>
  <c r="J658" i="2"/>
  <c r="E658" i="2"/>
  <c r="M658" i="2" s="1"/>
  <c r="N658" i="2" s="1"/>
  <c r="M657" i="2"/>
  <c r="N657" i="2" s="1"/>
  <c r="I657" i="3"/>
  <c r="C656" i="3"/>
  <c r="B657" i="3"/>
  <c r="I658" i="3" l="1"/>
  <c r="M658" i="3"/>
  <c r="N658" i="3" s="1"/>
  <c r="I658" i="2"/>
  <c r="J659" i="3"/>
  <c r="H659" i="3"/>
  <c r="E659" i="3"/>
  <c r="D659" i="3"/>
  <c r="F659" i="3" s="1"/>
  <c r="G659" i="3" s="1"/>
  <c r="A660" i="3"/>
  <c r="D659" i="2"/>
  <c r="F659" i="2" s="1"/>
  <c r="G659" i="2" s="1"/>
  <c r="A660" i="2"/>
  <c r="E659" i="2"/>
  <c r="M659" i="2" s="1"/>
  <c r="N659" i="2" s="1"/>
  <c r="J659" i="2"/>
  <c r="H659" i="2"/>
  <c r="B658" i="3"/>
  <c r="C657" i="3"/>
  <c r="C657" i="2"/>
  <c r="B658" i="2"/>
  <c r="D660" i="3" l="1"/>
  <c r="F660" i="3" s="1"/>
  <c r="G660" i="3" s="1"/>
  <c r="E660" i="3"/>
  <c r="A661" i="3"/>
  <c r="M660" i="3"/>
  <c r="N660" i="3" s="1"/>
  <c r="J660" i="3"/>
  <c r="H660" i="3"/>
  <c r="C658" i="3"/>
  <c r="B659" i="3"/>
  <c r="I659" i="3"/>
  <c r="M659" i="3"/>
  <c r="N659" i="3" s="1"/>
  <c r="J660" i="2"/>
  <c r="H660" i="2"/>
  <c r="A661" i="2"/>
  <c r="D660" i="2"/>
  <c r="F660" i="2"/>
  <c r="G660" i="2" s="1"/>
  <c r="E660" i="2"/>
  <c r="M660" i="2" s="1"/>
  <c r="N660" i="2" s="1"/>
  <c r="B659" i="2"/>
  <c r="C658" i="2"/>
  <c r="I659" i="2"/>
  <c r="I660" i="2" l="1"/>
  <c r="I660" i="3"/>
  <c r="A662" i="2"/>
  <c r="E661" i="2"/>
  <c r="M661" i="2" s="1"/>
  <c r="N661" i="2" s="1"/>
  <c r="D661" i="2"/>
  <c r="F661" i="2" s="1"/>
  <c r="G661" i="2" s="1"/>
  <c r="H661" i="2"/>
  <c r="J661" i="2"/>
  <c r="C659" i="3"/>
  <c r="B660" i="3"/>
  <c r="J661" i="3"/>
  <c r="A662" i="3"/>
  <c r="E661" i="3"/>
  <c r="M661" i="3" s="1"/>
  <c r="N661" i="3" s="1"/>
  <c r="D661" i="3"/>
  <c r="F661" i="3" s="1"/>
  <c r="G661" i="3" s="1"/>
  <c r="H661" i="3"/>
  <c r="C659" i="2"/>
  <c r="B660" i="2"/>
  <c r="I661" i="3" l="1"/>
  <c r="I661" i="2"/>
  <c r="H662" i="3"/>
  <c r="E662" i="3"/>
  <c r="D662" i="3"/>
  <c r="F662" i="3" s="1"/>
  <c r="G662" i="3" s="1"/>
  <c r="J662" i="3"/>
  <c r="A663" i="3"/>
  <c r="M662" i="3"/>
  <c r="N662" i="3" s="1"/>
  <c r="J662" i="2"/>
  <c r="E662" i="2"/>
  <c r="D662" i="2"/>
  <c r="F662" i="2" s="1"/>
  <c r="G662" i="2" s="1"/>
  <c r="H662" i="2"/>
  <c r="A663" i="2"/>
  <c r="C660" i="2"/>
  <c r="B661" i="2"/>
  <c r="B661" i="3"/>
  <c r="C660" i="3"/>
  <c r="H663" i="2" l="1"/>
  <c r="J663" i="2"/>
  <c r="E663" i="2"/>
  <c r="M663" i="2" s="1"/>
  <c r="N663" i="2" s="1"/>
  <c r="D663" i="2"/>
  <c r="F663" i="2" s="1"/>
  <c r="G663" i="2" s="1"/>
  <c r="A664" i="2"/>
  <c r="D663" i="3"/>
  <c r="F663" i="3" s="1"/>
  <c r="G663" i="3" s="1"/>
  <c r="H663" i="3"/>
  <c r="E663" i="3"/>
  <c r="A664" i="3"/>
  <c r="J663" i="3"/>
  <c r="I662" i="3"/>
  <c r="B662" i="2"/>
  <c r="C661" i="2"/>
  <c r="I662" i="2"/>
  <c r="M662" i="2"/>
  <c r="N662" i="2" s="1"/>
  <c r="C661" i="3"/>
  <c r="B662" i="3"/>
  <c r="C662" i="2" l="1"/>
  <c r="B663" i="2"/>
  <c r="D664" i="2"/>
  <c r="A665" i="2"/>
  <c r="E664" i="2"/>
  <c r="M664" i="2" s="1"/>
  <c r="N664" i="2" s="1"/>
  <c r="J664" i="2"/>
  <c r="H664" i="2"/>
  <c r="F664" i="2"/>
  <c r="G664" i="2" s="1"/>
  <c r="I663" i="3"/>
  <c r="M663" i="3"/>
  <c r="N663" i="3" s="1"/>
  <c r="J664" i="3"/>
  <c r="H664" i="3"/>
  <c r="E664" i="3"/>
  <c r="M664" i="3" s="1"/>
  <c r="N664" i="3" s="1"/>
  <c r="D664" i="3"/>
  <c r="F664" i="3" s="1"/>
  <c r="G664" i="3" s="1"/>
  <c r="A665" i="3"/>
  <c r="I663" i="2"/>
  <c r="B663" i="3"/>
  <c r="C662" i="3"/>
  <c r="D665" i="3" l="1"/>
  <c r="F665" i="3" s="1"/>
  <c r="G665" i="3" s="1"/>
  <c r="J665" i="3"/>
  <c r="H665" i="3"/>
  <c r="E665" i="3"/>
  <c r="M665" i="3" s="1"/>
  <c r="N665" i="3" s="1"/>
  <c r="A666" i="3"/>
  <c r="I664" i="3"/>
  <c r="J665" i="2"/>
  <c r="H665" i="2"/>
  <c r="A666" i="2"/>
  <c r="E665" i="2"/>
  <c r="M665" i="2" s="1"/>
  <c r="N665" i="2" s="1"/>
  <c r="D665" i="2"/>
  <c r="F665" i="2" s="1"/>
  <c r="G665" i="2" s="1"/>
  <c r="B664" i="3"/>
  <c r="C663" i="3"/>
  <c r="B664" i="2"/>
  <c r="C663" i="2"/>
  <c r="I664" i="2"/>
  <c r="C664" i="2" l="1"/>
  <c r="B665" i="2"/>
  <c r="C664" i="3"/>
  <c r="B665" i="3"/>
  <c r="J666" i="3"/>
  <c r="A667" i="3"/>
  <c r="E666" i="3"/>
  <c r="M666" i="3"/>
  <c r="N666" i="3" s="1"/>
  <c r="D666" i="3"/>
  <c r="F666" i="3" s="1"/>
  <c r="G666" i="3" s="1"/>
  <c r="H666" i="3"/>
  <c r="A667" i="2"/>
  <c r="E666" i="2"/>
  <c r="D666" i="2"/>
  <c r="F666" i="2" s="1"/>
  <c r="G666" i="2" s="1"/>
  <c r="M666" i="2"/>
  <c r="N666" i="2" s="1"/>
  <c r="H666" i="2"/>
  <c r="J666" i="2"/>
  <c r="I665" i="3"/>
  <c r="I665" i="2"/>
  <c r="I666" i="3" l="1"/>
  <c r="H667" i="3"/>
  <c r="A668" i="3"/>
  <c r="E667" i="3"/>
  <c r="D667" i="3"/>
  <c r="F667" i="3" s="1"/>
  <c r="G667" i="3" s="1"/>
  <c r="J667" i="3"/>
  <c r="I666" i="2"/>
  <c r="J667" i="2"/>
  <c r="E667" i="2"/>
  <c r="D667" i="2"/>
  <c r="F667" i="2" s="1"/>
  <c r="G667" i="2" s="1"/>
  <c r="H667" i="2"/>
  <c r="A668" i="2"/>
  <c r="B666" i="3"/>
  <c r="C665" i="3"/>
  <c r="B666" i="2"/>
  <c r="C665" i="2"/>
  <c r="I667" i="3" l="1"/>
  <c r="B667" i="3"/>
  <c r="C666" i="3"/>
  <c r="H668" i="2"/>
  <c r="E668" i="2"/>
  <c r="D668" i="2"/>
  <c r="F668" i="2" s="1"/>
  <c r="G668" i="2" s="1"/>
  <c r="J668" i="2"/>
  <c r="M668" i="2"/>
  <c r="N668" i="2" s="1"/>
  <c r="A669" i="2"/>
  <c r="M667" i="3"/>
  <c r="N667" i="3" s="1"/>
  <c r="D668" i="3"/>
  <c r="H668" i="3"/>
  <c r="A669" i="3"/>
  <c r="J668" i="3"/>
  <c r="F668" i="3"/>
  <c r="G668" i="3" s="1"/>
  <c r="E668" i="3"/>
  <c r="I667" i="2"/>
  <c r="M667" i="2"/>
  <c r="N667" i="2" s="1"/>
  <c r="B667" i="2"/>
  <c r="C666" i="2"/>
  <c r="I668" i="3" l="1"/>
  <c r="M668" i="3"/>
  <c r="N668" i="3" s="1"/>
  <c r="I668" i="2"/>
  <c r="B668" i="3"/>
  <c r="C667" i="3"/>
  <c r="J669" i="3"/>
  <c r="H669" i="3"/>
  <c r="D669" i="3"/>
  <c r="F669" i="3" s="1"/>
  <c r="G669" i="3" s="1"/>
  <c r="E669" i="3"/>
  <c r="M669" i="3" s="1"/>
  <c r="N669" i="3" s="1"/>
  <c r="A670" i="3"/>
  <c r="C667" i="2"/>
  <c r="B668" i="2"/>
  <c r="D669" i="2"/>
  <c r="F669" i="2" s="1"/>
  <c r="G669" i="2" s="1"/>
  <c r="A670" i="2"/>
  <c r="E669" i="2"/>
  <c r="M669" i="2" s="1"/>
  <c r="N669" i="2" s="1"/>
  <c r="H669" i="2"/>
  <c r="J669" i="2"/>
  <c r="I669" i="2" l="1"/>
  <c r="I669" i="3"/>
  <c r="B669" i="3"/>
  <c r="C668" i="3"/>
  <c r="B669" i="2"/>
  <c r="C668" i="2"/>
  <c r="J670" i="2"/>
  <c r="H670" i="2"/>
  <c r="M670" i="2"/>
  <c r="N670" i="2" s="1"/>
  <c r="A671" i="2"/>
  <c r="E670" i="2"/>
  <c r="D670" i="2"/>
  <c r="F670" i="2" s="1"/>
  <c r="G670" i="2" s="1"/>
  <c r="D670" i="3"/>
  <c r="F670" i="3" s="1"/>
  <c r="G670" i="3" s="1"/>
  <c r="J670" i="3"/>
  <c r="E670" i="3"/>
  <c r="M670" i="3" s="1"/>
  <c r="N670" i="3" s="1"/>
  <c r="A671" i="3"/>
  <c r="H670" i="3"/>
  <c r="I670" i="3" l="1"/>
  <c r="I670" i="2"/>
  <c r="C669" i="3"/>
  <c r="B670" i="3"/>
  <c r="C669" i="2"/>
  <c r="B670" i="2"/>
  <c r="A672" i="2"/>
  <c r="E671" i="2"/>
  <c r="D671" i="2"/>
  <c r="F671" i="2" s="1"/>
  <c r="G671" i="2" s="1"/>
  <c r="J671" i="2"/>
  <c r="H671" i="2"/>
  <c r="J671" i="3"/>
  <c r="A672" i="3"/>
  <c r="E671" i="3"/>
  <c r="H671" i="3"/>
  <c r="D671" i="3"/>
  <c r="F671" i="3" s="1"/>
  <c r="G671" i="3" s="1"/>
  <c r="I671" i="3" l="1"/>
  <c r="I671" i="2"/>
  <c r="B671" i="2"/>
  <c r="C670" i="2"/>
  <c r="B671" i="3"/>
  <c r="C670" i="3"/>
  <c r="H672" i="3"/>
  <c r="F672" i="3"/>
  <c r="G672" i="3" s="1"/>
  <c r="M672" i="3"/>
  <c r="N672" i="3" s="1"/>
  <c r="J672" i="3"/>
  <c r="E672" i="3"/>
  <c r="D672" i="3"/>
  <c r="A673" i="3"/>
  <c r="J672" i="2"/>
  <c r="A673" i="2"/>
  <c r="D672" i="2"/>
  <c r="F672" i="2" s="1"/>
  <c r="G672" i="2" s="1"/>
  <c r="H672" i="2"/>
  <c r="E672" i="2"/>
  <c r="M672" i="2" s="1"/>
  <c r="N672" i="2" s="1"/>
  <c r="M671" i="3"/>
  <c r="N671" i="3" s="1"/>
  <c r="M671" i="2"/>
  <c r="N671" i="2" s="1"/>
  <c r="H673" i="2" l="1"/>
  <c r="A674" i="2"/>
  <c r="D673" i="2"/>
  <c r="F673" i="2" s="1"/>
  <c r="G673" i="2" s="1"/>
  <c r="J673" i="2"/>
  <c r="E673" i="2"/>
  <c r="M673" i="2" s="1"/>
  <c r="N673" i="2" s="1"/>
  <c r="B672" i="3"/>
  <c r="C671" i="3"/>
  <c r="D673" i="3"/>
  <c r="F673" i="3" s="1"/>
  <c r="G673" i="3" s="1"/>
  <c r="H673" i="3"/>
  <c r="A674" i="3"/>
  <c r="J673" i="3"/>
  <c r="E673" i="3"/>
  <c r="B672" i="2"/>
  <c r="C671" i="2"/>
  <c r="I672" i="2"/>
  <c r="I672" i="3"/>
  <c r="C672" i="2" l="1"/>
  <c r="B673" i="2"/>
  <c r="B673" i="3"/>
  <c r="C672" i="3"/>
  <c r="I673" i="3"/>
  <c r="J674" i="3"/>
  <c r="H674" i="3"/>
  <c r="D674" i="3"/>
  <c r="F674" i="3" s="1"/>
  <c r="G674" i="3" s="1"/>
  <c r="M674" i="3"/>
  <c r="N674" i="3" s="1"/>
  <c r="A675" i="3"/>
  <c r="E674" i="3"/>
  <c r="D674" i="2"/>
  <c r="A675" i="2"/>
  <c r="E674" i="2"/>
  <c r="F674" i="2"/>
  <c r="G674" i="2" s="1"/>
  <c r="H674" i="2"/>
  <c r="J674" i="2"/>
  <c r="I673" i="2"/>
  <c r="M673" i="3"/>
  <c r="N673" i="3" s="1"/>
  <c r="I674" i="2" l="1"/>
  <c r="M674" i="2"/>
  <c r="N674" i="2" s="1"/>
  <c r="J675" i="2"/>
  <c r="H675" i="2"/>
  <c r="E675" i="2"/>
  <c r="M675" i="2" s="1"/>
  <c r="N675" i="2" s="1"/>
  <c r="D675" i="2"/>
  <c r="F675" i="2" s="1"/>
  <c r="G675" i="2" s="1"/>
  <c r="A676" i="2"/>
  <c r="D675" i="3"/>
  <c r="F675" i="3" s="1"/>
  <c r="G675" i="3" s="1"/>
  <c r="J675" i="3"/>
  <c r="A676" i="3"/>
  <c r="H675" i="3"/>
  <c r="E675" i="3"/>
  <c r="B674" i="3"/>
  <c r="C673" i="3"/>
  <c r="I674" i="3"/>
  <c r="B674" i="2"/>
  <c r="C673" i="2"/>
  <c r="A677" i="2" l="1"/>
  <c r="E676" i="2"/>
  <c r="D676" i="2"/>
  <c r="F676" i="2" s="1"/>
  <c r="G676" i="2" s="1"/>
  <c r="J676" i="2"/>
  <c r="H676" i="2"/>
  <c r="M676" i="2"/>
  <c r="N676" i="2" s="1"/>
  <c r="C674" i="3"/>
  <c r="B675" i="3"/>
  <c r="I675" i="3"/>
  <c r="C674" i="2"/>
  <c r="B675" i="2"/>
  <c r="I675" i="2"/>
  <c r="M675" i="3"/>
  <c r="N675" i="3" s="1"/>
  <c r="J676" i="3"/>
  <c r="A677" i="3"/>
  <c r="E676" i="3"/>
  <c r="D676" i="3"/>
  <c r="F676" i="3" s="1"/>
  <c r="G676" i="3" s="1"/>
  <c r="H676" i="3"/>
  <c r="I676" i="3" l="1"/>
  <c r="B676" i="3"/>
  <c r="C675" i="3"/>
  <c r="H677" i="3"/>
  <c r="E677" i="3"/>
  <c r="M677" i="3" s="1"/>
  <c r="N677" i="3" s="1"/>
  <c r="J677" i="3"/>
  <c r="D677" i="3"/>
  <c r="F677" i="3" s="1"/>
  <c r="G677" i="3" s="1"/>
  <c r="A678" i="3"/>
  <c r="C675" i="2"/>
  <c r="B676" i="2"/>
  <c r="I676" i="2"/>
  <c r="M676" i="3"/>
  <c r="N676" i="3" s="1"/>
  <c r="J677" i="2"/>
  <c r="A678" i="2"/>
  <c r="H677" i="2"/>
  <c r="E677" i="2"/>
  <c r="D677" i="2"/>
  <c r="F677" i="2"/>
  <c r="G677" i="2" s="1"/>
  <c r="I677" i="2" l="1"/>
  <c r="M677" i="2"/>
  <c r="N677" i="2" s="1"/>
  <c r="I677" i="3"/>
  <c r="D678" i="3"/>
  <c r="H678" i="3"/>
  <c r="J678" i="3"/>
  <c r="A679" i="3"/>
  <c r="F678" i="3"/>
  <c r="G678" i="3" s="1"/>
  <c r="E678" i="3"/>
  <c r="M678" i="3" s="1"/>
  <c r="N678" i="3" s="1"/>
  <c r="H678" i="2"/>
  <c r="J678" i="2"/>
  <c r="A679" i="2"/>
  <c r="D678" i="2"/>
  <c r="F678" i="2" s="1"/>
  <c r="G678" i="2" s="1"/>
  <c r="E678" i="2"/>
  <c r="B677" i="2"/>
  <c r="C676" i="2"/>
  <c r="B677" i="3"/>
  <c r="C676" i="3"/>
  <c r="I678" i="3" l="1"/>
  <c r="I678" i="2"/>
  <c r="M678" i="2"/>
  <c r="N678" i="2" s="1"/>
  <c r="A680" i="2"/>
  <c r="E679" i="2"/>
  <c r="D679" i="2"/>
  <c r="F679" i="2" s="1"/>
  <c r="G679" i="2" s="1"/>
  <c r="H679" i="2"/>
  <c r="J679" i="2"/>
  <c r="M679" i="2"/>
  <c r="N679" i="2" s="1"/>
  <c r="B678" i="3"/>
  <c r="C677" i="3"/>
  <c r="J679" i="3"/>
  <c r="H679" i="3"/>
  <c r="D679" i="3"/>
  <c r="A680" i="3"/>
  <c r="F679" i="3"/>
  <c r="G679" i="3" s="1"/>
  <c r="E679" i="3"/>
  <c r="M679" i="3" s="1"/>
  <c r="N679" i="3" s="1"/>
  <c r="C677" i="2"/>
  <c r="B678" i="2"/>
  <c r="D680" i="3" l="1"/>
  <c r="F680" i="3" s="1"/>
  <c r="G680" i="3" s="1"/>
  <c r="J680" i="3"/>
  <c r="A681" i="3"/>
  <c r="E680" i="3"/>
  <c r="M680" i="3" s="1"/>
  <c r="N680" i="3" s="1"/>
  <c r="H680" i="3"/>
  <c r="I679" i="2"/>
  <c r="M680" i="2"/>
  <c r="N680" i="2" s="1"/>
  <c r="A681" i="2"/>
  <c r="D680" i="2"/>
  <c r="F680" i="2" s="1"/>
  <c r="G680" i="2" s="1"/>
  <c r="H680" i="2"/>
  <c r="E680" i="2"/>
  <c r="J680" i="2"/>
  <c r="B679" i="2"/>
  <c r="C678" i="2"/>
  <c r="B679" i="3"/>
  <c r="C678" i="3"/>
  <c r="I679" i="3"/>
  <c r="I680" i="2" l="1"/>
  <c r="C679" i="3"/>
  <c r="B680" i="3"/>
  <c r="J681" i="2"/>
  <c r="H681" i="2"/>
  <c r="A682" i="2"/>
  <c r="E681" i="2"/>
  <c r="M681" i="2" s="1"/>
  <c r="N681" i="2" s="1"/>
  <c r="D681" i="2"/>
  <c r="F681" i="2" s="1"/>
  <c r="G681" i="2" s="1"/>
  <c r="B680" i="2"/>
  <c r="C679" i="2"/>
  <c r="I680" i="3"/>
  <c r="J681" i="3"/>
  <c r="A682" i="3"/>
  <c r="E681" i="3"/>
  <c r="D681" i="3"/>
  <c r="F681" i="3" s="1"/>
  <c r="G681" i="3" s="1"/>
  <c r="H681" i="3"/>
  <c r="I681" i="3" l="1"/>
  <c r="H682" i="2"/>
  <c r="A683" i="2"/>
  <c r="E682" i="2"/>
  <c r="J682" i="2"/>
  <c r="D682" i="2"/>
  <c r="F682" i="2" s="1"/>
  <c r="G682" i="2" s="1"/>
  <c r="H682" i="3"/>
  <c r="E682" i="3"/>
  <c r="M682" i="3" s="1"/>
  <c r="N682" i="3" s="1"/>
  <c r="D682" i="3"/>
  <c r="F682" i="3" s="1"/>
  <c r="G682" i="3" s="1"/>
  <c r="A683" i="3"/>
  <c r="J682" i="3"/>
  <c r="I681" i="2"/>
  <c r="B681" i="3"/>
  <c r="C680" i="3"/>
  <c r="M681" i="3"/>
  <c r="N681" i="3" s="1"/>
  <c r="C680" i="2"/>
  <c r="B681" i="2"/>
  <c r="E683" i="2" l="1"/>
  <c r="A684" i="2"/>
  <c r="D683" i="2"/>
  <c r="F683" i="2"/>
  <c r="G683" i="2" s="1"/>
  <c r="J683" i="2"/>
  <c r="H683" i="2"/>
  <c r="M683" i="2"/>
  <c r="N683" i="2" s="1"/>
  <c r="I682" i="3"/>
  <c r="B682" i="3"/>
  <c r="C681" i="3"/>
  <c r="I682" i="2"/>
  <c r="D683" i="3"/>
  <c r="H683" i="3"/>
  <c r="J683" i="3"/>
  <c r="A684" i="3"/>
  <c r="E683" i="3"/>
  <c r="F683" i="3"/>
  <c r="G683" i="3" s="1"/>
  <c r="C681" i="2"/>
  <c r="B682" i="2"/>
  <c r="M682" i="2"/>
  <c r="N682" i="2" s="1"/>
  <c r="B683" i="3" l="1"/>
  <c r="C682" i="3"/>
  <c r="I683" i="3"/>
  <c r="J684" i="3"/>
  <c r="H684" i="3"/>
  <c r="D684" i="3"/>
  <c r="F684" i="3" s="1"/>
  <c r="G684" i="3" s="1"/>
  <c r="A685" i="3"/>
  <c r="E684" i="3"/>
  <c r="C682" i="2"/>
  <c r="B683" i="2"/>
  <c r="A685" i="2"/>
  <c r="E684" i="2"/>
  <c r="H684" i="2"/>
  <c r="D684" i="2"/>
  <c r="F684" i="2" s="1"/>
  <c r="G684" i="2" s="1"/>
  <c r="J684" i="2"/>
  <c r="M683" i="3"/>
  <c r="N683" i="3" s="1"/>
  <c r="I683" i="2"/>
  <c r="I684" i="2" l="1"/>
  <c r="I684" i="3"/>
  <c r="A686" i="3"/>
  <c r="E685" i="3"/>
  <c r="D685" i="3"/>
  <c r="F685" i="3" s="1"/>
  <c r="G685" i="3" s="1"/>
  <c r="J685" i="3"/>
  <c r="H685" i="3"/>
  <c r="M685" i="3"/>
  <c r="N685" i="3" s="1"/>
  <c r="M684" i="2"/>
  <c r="N684" i="2" s="1"/>
  <c r="J685" i="2"/>
  <c r="H685" i="2"/>
  <c r="A686" i="2"/>
  <c r="E685" i="2"/>
  <c r="D685" i="2"/>
  <c r="F685" i="2" s="1"/>
  <c r="G685" i="2" s="1"/>
  <c r="B684" i="2"/>
  <c r="C683" i="2"/>
  <c r="M684" i="3"/>
  <c r="N684" i="3" s="1"/>
  <c r="C683" i="3"/>
  <c r="B684" i="3"/>
  <c r="I685" i="2" l="1"/>
  <c r="M685" i="2"/>
  <c r="N685" i="2" s="1"/>
  <c r="C684" i="2"/>
  <c r="B685" i="2"/>
  <c r="H686" i="2"/>
  <c r="E686" i="2"/>
  <c r="A687" i="2"/>
  <c r="M686" i="2"/>
  <c r="N686" i="2" s="1"/>
  <c r="D686" i="2"/>
  <c r="F686" i="2" s="1"/>
  <c r="G686" i="2" s="1"/>
  <c r="J686" i="2"/>
  <c r="I685" i="3"/>
  <c r="C684" i="3"/>
  <c r="B685" i="3"/>
  <c r="J686" i="3"/>
  <c r="A687" i="3"/>
  <c r="E686" i="3"/>
  <c r="H686" i="3"/>
  <c r="D686" i="3"/>
  <c r="F686" i="3" s="1"/>
  <c r="G686" i="3" s="1"/>
  <c r="I686" i="3" l="1"/>
  <c r="A688" i="2"/>
  <c r="E687" i="2"/>
  <c r="M687" i="2" s="1"/>
  <c r="N687" i="2" s="1"/>
  <c r="D687" i="2"/>
  <c r="F687" i="2"/>
  <c r="G687" i="2" s="1"/>
  <c r="J687" i="2"/>
  <c r="H687" i="2"/>
  <c r="H687" i="3"/>
  <c r="F687" i="3"/>
  <c r="G687" i="3" s="1"/>
  <c r="A688" i="3"/>
  <c r="J687" i="3"/>
  <c r="E687" i="3"/>
  <c r="M687" i="3" s="1"/>
  <c r="N687" i="3" s="1"/>
  <c r="D687" i="3"/>
  <c r="I686" i="2"/>
  <c r="B686" i="3"/>
  <c r="C685" i="3"/>
  <c r="B686" i="2"/>
  <c r="C685" i="2"/>
  <c r="M686" i="3"/>
  <c r="N686" i="3" s="1"/>
  <c r="B687" i="2" l="1"/>
  <c r="C686" i="2"/>
  <c r="B687" i="3"/>
  <c r="C686" i="3"/>
  <c r="I687" i="3"/>
  <c r="I687" i="2"/>
  <c r="D688" i="3"/>
  <c r="F688" i="3" s="1"/>
  <c r="G688" i="3" s="1"/>
  <c r="M688" i="3"/>
  <c r="J688" i="3"/>
  <c r="H688" i="3"/>
  <c r="E688" i="3"/>
  <c r="D688" i="2"/>
  <c r="F688" i="2" s="1"/>
  <c r="G688" i="2" s="1"/>
  <c r="H688" i="2"/>
  <c r="E688" i="2"/>
  <c r="J688" i="2"/>
  <c r="I688" i="2" l="1"/>
  <c r="N688" i="3"/>
  <c r="U2" i="3" s="1"/>
  <c r="T2" i="3"/>
  <c r="M688" i="2"/>
  <c r="I688" i="3"/>
  <c r="B688" i="3"/>
  <c r="C688" i="3" s="1"/>
  <c r="C687" i="3"/>
  <c r="C687" i="2"/>
  <c r="B688" i="2"/>
  <c r="C688" i="2" s="1"/>
  <c r="V2" i="3" l="1"/>
  <c r="W2" i="3" s="1"/>
  <c r="N688" i="2"/>
  <c r="U2" i="2" s="1"/>
  <c r="T2" i="2"/>
  <c r="V2" i="2" s="1"/>
  <c r="W2" i="2" s="1"/>
  <c r="D33" i="1"/>
  <c r="E33" i="1"/>
  <c r="H88" i="3"/>
  <c r="I88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K147" i="3" s="1"/>
  <c r="K148" i="3" s="1"/>
  <c r="K149" i="3" s="1"/>
  <c r="K150" i="3" s="1"/>
  <c r="K151" i="3" s="1"/>
  <c r="K152" i="3" s="1"/>
  <c r="K153" i="3" s="1"/>
  <c r="K154" i="3" s="1"/>
  <c r="K155" i="3" s="1"/>
  <c r="K156" i="3" s="1"/>
  <c r="K157" i="3" s="1"/>
  <c r="K158" i="3" s="1"/>
  <c r="K159" i="3" s="1"/>
  <c r="K160" i="3" s="1"/>
  <c r="K161" i="3" s="1"/>
  <c r="K162" i="3" s="1"/>
  <c r="K163" i="3" s="1"/>
  <c r="K164" i="3" s="1"/>
  <c r="K165" i="3" s="1"/>
  <c r="K166" i="3" s="1"/>
  <c r="K167" i="3" s="1"/>
  <c r="K168" i="3" s="1"/>
  <c r="K169" i="3" s="1"/>
  <c r="K170" i="3" s="1"/>
  <c r="K171" i="3" s="1"/>
  <c r="K172" i="3" s="1"/>
  <c r="K173" i="3" s="1"/>
  <c r="K174" i="3" s="1"/>
  <c r="K175" i="3" s="1"/>
  <c r="K176" i="3" s="1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K188" i="3" s="1"/>
  <c r="K189" i="3" s="1"/>
  <c r="K190" i="3" s="1"/>
  <c r="K191" i="3" s="1"/>
  <c r="K192" i="3" s="1"/>
  <c r="K193" i="3" s="1"/>
  <c r="K194" i="3" s="1"/>
  <c r="K195" i="3" s="1"/>
  <c r="K196" i="3" s="1"/>
  <c r="K197" i="3" s="1"/>
  <c r="K198" i="3" s="1"/>
  <c r="K199" i="3" s="1"/>
  <c r="K200" i="3" s="1"/>
  <c r="K201" i="3" s="1"/>
  <c r="K202" i="3" s="1"/>
  <c r="K203" i="3" s="1"/>
  <c r="K204" i="3" s="1"/>
  <c r="K205" i="3" s="1"/>
  <c r="K206" i="3" s="1"/>
  <c r="K207" i="3" s="1"/>
  <c r="K208" i="3" s="1"/>
  <c r="K209" i="3" s="1"/>
  <c r="K210" i="3" s="1"/>
  <c r="K211" i="3" s="1"/>
  <c r="K212" i="3" s="1"/>
  <c r="K213" i="3" s="1"/>
  <c r="K214" i="3" s="1"/>
  <c r="K215" i="3" s="1"/>
  <c r="K216" i="3" s="1"/>
  <c r="K217" i="3" s="1"/>
  <c r="K218" i="3" s="1"/>
  <c r="K219" i="3" s="1"/>
  <c r="K220" i="3" s="1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K231" i="3" s="1"/>
  <c r="K232" i="3" s="1"/>
  <c r="K233" i="3" s="1"/>
  <c r="K234" i="3" s="1"/>
  <c r="K235" i="3" s="1"/>
  <c r="K236" i="3" s="1"/>
  <c r="K237" i="3" s="1"/>
  <c r="K238" i="3" s="1"/>
  <c r="K239" i="3" s="1"/>
  <c r="K240" i="3" s="1"/>
  <c r="K241" i="3" s="1"/>
  <c r="K242" i="3" s="1"/>
  <c r="K243" i="3" s="1"/>
  <c r="K244" i="3" s="1"/>
  <c r="K245" i="3" s="1"/>
  <c r="K246" i="3" s="1"/>
  <c r="K247" i="3" s="1"/>
  <c r="K248" i="3" s="1"/>
  <c r="K249" i="3" s="1"/>
  <c r="K250" i="3" s="1"/>
  <c r="K251" i="3" s="1"/>
  <c r="K252" i="3" s="1"/>
  <c r="K253" i="3" s="1"/>
  <c r="K254" i="3" s="1"/>
  <c r="K255" i="3" s="1"/>
  <c r="K256" i="3" s="1"/>
  <c r="K257" i="3" s="1"/>
  <c r="K258" i="3" s="1"/>
  <c r="K259" i="3" s="1"/>
  <c r="K260" i="3" s="1"/>
  <c r="K261" i="3" s="1"/>
  <c r="K262" i="3" s="1"/>
  <c r="K263" i="3" s="1"/>
  <c r="K264" i="3" s="1"/>
  <c r="K265" i="3" s="1"/>
  <c r="K266" i="3" s="1"/>
  <c r="K267" i="3" s="1"/>
  <c r="K268" i="3" s="1"/>
  <c r="K269" i="3" s="1"/>
  <c r="K270" i="3" s="1"/>
  <c r="K271" i="3" s="1"/>
  <c r="K272" i="3" s="1"/>
  <c r="K273" i="3" s="1"/>
  <c r="K274" i="3" s="1"/>
  <c r="K275" i="3" s="1"/>
  <c r="K276" i="3" s="1"/>
  <c r="K277" i="3" s="1"/>
  <c r="K278" i="3" s="1"/>
  <c r="K279" i="3" s="1"/>
  <c r="K280" i="3" s="1"/>
  <c r="K281" i="3" s="1"/>
  <c r="K282" i="3" s="1"/>
  <c r="K283" i="3" s="1"/>
  <c r="K284" i="3" s="1"/>
  <c r="K285" i="3" s="1"/>
  <c r="K286" i="3" s="1"/>
  <c r="K287" i="3" s="1"/>
  <c r="K288" i="3" s="1"/>
  <c r="K289" i="3" s="1"/>
  <c r="K290" i="3" s="1"/>
  <c r="K291" i="3" s="1"/>
  <c r="K292" i="3" s="1"/>
  <c r="K293" i="3" s="1"/>
  <c r="K294" i="3" s="1"/>
  <c r="K295" i="3" s="1"/>
  <c r="K296" i="3" s="1"/>
  <c r="K297" i="3" s="1"/>
  <c r="K298" i="3" s="1"/>
  <c r="K299" i="3" s="1"/>
  <c r="K300" i="3" s="1"/>
  <c r="K301" i="3" s="1"/>
  <c r="K302" i="3" s="1"/>
  <c r="K303" i="3" s="1"/>
  <c r="K304" i="3" s="1"/>
  <c r="K305" i="3" s="1"/>
  <c r="K306" i="3" s="1"/>
  <c r="K307" i="3" s="1"/>
  <c r="K308" i="3" s="1"/>
  <c r="K309" i="3" s="1"/>
  <c r="K310" i="3" s="1"/>
  <c r="K311" i="3" s="1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K322" i="3" s="1"/>
  <c r="K323" i="3" s="1"/>
  <c r="K324" i="3" s="1"/>
  <c r="K325" i="3" s="1"/>
  <c r="K326" i="3" s="1"/>
  <c r="K327" i="3" s="1"/>
  <c r="K328" i="3" s="1"/>
  <c r="K329" i="3" s="1"/>
  <c r="K330" i="3" s="1"/>
  <c r="K331" i="3" s="1"/>
  <c r="K332" i="3" s="1"/>
  <c r="K333" i="3" s="1"/>
  <c r="K334" i="3" s="1"/>
  <c r="K335" i="3" s="1"/>
  <c r="K336" i="3" s="1"/>
  <c r="K337" i="3" s="1"/>
  <c r="K338" i="3" s="1"/>
  <c r="K339" i="3" s="1"/>
  <c r="K340" i="3" s="1"/>
  <c r="K341" i="3" s="1"/>
  <c r="K342" i="3" s="1"/>
  <c r="K343" i="3" s="1"/>
  <c r="K344" i="3" s="1"/>
  <c r="K345" i="3" s="1"/>
  <c r="K346" i="3" s="1"/>
  <c r="K347" i="3" s="1"/>
  <c r="K348" i="3" s="1"/>
  <c r="K349" i="3" s="1"/>
  <c r="K350" i="3" s="1"/>
  <c r="K351" i="3" s="1"/>
  <c r="K352" i="3" s="1"/>
  <c r="K353" i="3" s="1"/>
  <c r="K354" i="3" s="1"/>
  <c r="K355" i="3" s="1"/>
  <c r="K356" i="3" s="1"/>
  <c r="K357" i="3" s="1"/>
  <c r="K358" i="3" s="1"/>
  <c r="K359" i="3" s="1"/>
  <c r="K360" i="3" s="1"/>
  <c r="K361" i="3" s="1"/>
  <c r="K362" i="3" s="1"/>
  <c r="K363" i="3" s="1"/>
  <c r="K364" i="3" s="1"/>
  <c r="K365" i="3" s="1"/>
  <c r="K366" i="3" s="1"/>
  <c r="K367" i="3" s="1"/>
  <c r="K368" i="3" s="1"/>
  <c r="K369" i="3" s="1"/>
  <c r="K370" i="3" s="1"/>
  <c r="K371" i="3" s="1"/>
  <c r="K372" i="3" s="1"/>
  <c r="K373" i="3" s="1"/>
  <c r="K374" i="3" s="1"/>
  <c r="K375" i="3" s="1"/>
  <c r="K376" i="3" s="1"/>
  <c r="K377" i="3" s="1"/>
  <c r="K378" i="3" s="1"/>
  <c r="K379" i="3" s="1"/>
  <c r="K380" i="3" s="1"/>
  <c r="K381" i="3" s="1"/>
  <c r="K382" i="3" s="1"/>
  <c r="K383" i="3" s="1"/>
  <c r="K384" i="3" s="1"/>
  <c r="K385" i="3" s="1"/>
  <c r="K386" i="3" s="1"/>
  <c r="K387" i="3" s="1"/>
  <c r="K388" i="3" s="1"/>
  <c r="K389" i="3" l="1"/>
  <c r="F33" i="1"/>
  <c r="L388" i="3"/>
  <c r="D32" i="1"/>
  <c r="E32" i="1"/>
  <c r="H208" i="2"/>
  <c r="I208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l="1"/>
  <c r="F32" i="1"/>
  <c r="L388" i="2"/>
  <c r="K390" i="3"/>
  <c r="L389" i="3"/>
  <c r="K391" i="3" l="1"/>
  <c r="L390" i="3"/>
  <c r="K390" i="2"/>
  <c r="L389" i="2"/>
  <c r="K391" i="2" l="1"/>
  <c r="L390" i="2"/>
  <c r="K392" i="3"/>
  <c r="L391" i="3"/>
  <c r="K393" i="3" l="1"/>
  <c r="L392" i="3"/>
  <c r="K392" i="2"/>
  <c r="L391" i="2"/>
  <c r="K393" i="2" l="1"/>
  <c r="L392" i="2"/>
  <c r="K394" i="3"/>
  <c r="L393" i="3"/>
  <c r="K395" i="3" l="1"/>
  <c r="L394" i="3"/>
  <c r="K394" i="2"/>
  <c r="L393" i="2"/>
  <c r="K395" i="2" l="1"/>
  <c r="L394" i="2"/>
  <c r="K396" i="3"/>
  <c r="L395" i="3"/>
  <c r="K397" i="3" l="1"/>
  <c r="L396" i="3"/>
  <c r="K396" i="2"/>
  <c r="L395" i="2"/>
  <c r="K397" i="2" l="1"/>
  <c r="L396" i="2"/>
  <c r="K398" i="3"/>
  <c r="L397" i="3"/>
  <c r="K399" i="3" l="1"/>
  <c r="L398" i="3"/>
  <c r="K398" i="2"/>
  <c r="L397" i="2"/>
  <c r="K399" i="2" l="1"/>
  <c r="L398" i="2"/>
  <c r="K400" i="3"/>
  <c r="L399" i="3"/>
  <c r="K401" i="3" l="1"/>
  <c r="L400" i="3"/>
  <c r="K400" i="2"/>
  <c r="L399" i="2"/>
  <c r="K401" i="2" l="1"/>
  <c r="L400" i="2"/>
  <c r="K402" i="3"/>
  <c r="L401" i="3"/>
  <c r="K403" i="3" l="1"/>
  <c r="L402" i="3"/>
  <c r="K402" i="2"/>
  <c r="L401" i="2"/>
  <c r="K403" i="2" l="1"/>
  <c r="L402" i="2"/>
  <c r="K404" i="3"/>
  <c r="L403" i="3"/>
  <c r="K405" i="3" l="1"/>
  <c r="L404" i="3"/>
  <c r="K404" i="2"/>
  <c r="L403" i="2"/>
  <c r="K405" i="2" l="1"/>
  <c r="L404" i="2"/>
  <c r="K406" i="3"/>
  <c r="L405" i="3"/>
  <c r="K407" i="3" l="1"/>
  <c r="L406" i="3"/>
  <c r="K406" i="2"/>
  <c r="L405" i="2"/>
  <c r="K407" i="2" l="1"/>
  <c r="L406" i="2"/>
  <c r="K408" i="3"/>
  <c r="L407" i="3"/>
  <c r="K409" i="3" l="1"/>
  <c r="L408" i="3"/>
  <c r="K408" i="2"/>
  <c r="L407" i="2"/>
  <c r="K409" i="2" l="1"/>
  <c r="L408" i="2"/>
  <c r="K410" i="3"/>
  <c r="L409" i="3"/>
  <c r="K411" i="3" l="1"/>
  <c r="L410" i="3"/>
  <c r="K410" i="2"/>
  <c r="L409" i="2"/>
  <c r="K411" i="2" l="1"/>
  <c r="L410" i="2"/>
  <c r="K412" i="3"/>
  <c r="L411" i="3"/>
  <c r="K413" i="3" l="1"/>
  <c r="L412" i="3"/>
  <c r="K412" i="2"/>
  <c r="L411" i="2"/>
  <c r="K413" i="2" l="1"/>
  <c r="L412" i="2"/>
  <c r="K414" i="3"/>
  <c r="L413" i="3"/>
  <c r="K415" i="3" l="1"/>
  <c r="L414" i="3"/>
  <c r="K414" i="2"/>
  <c r="L413" i="2"/>
  <c r="K415" i="2" l="1"/>
  <c r="L414" i="2"/>
  <c r="K416" i="3"/>
  <c r="L415" i="3"/>
  <c r="K417" i="3" l="1"/>
  <c r="L416" i="3"/>
  <c r="K416" i="2"/>
  <c r="L415" i="2"/>
  <c r="K417" i="2" l="1"/>
  <c r="L416" i="2"/>
  <c r="K418" i="3"/>
  <c r="L417" i="3"/>
  <c r="K419" i="3" l="1"/>
  <c r="L418" i="3"/>
  <c r="K418" i="2"/>
  <c r="L417" i="2"/>
  <c r="K419" i="2" l="1"/>
  <c r="L418" i="2"/>
  <c r="K420" i="3"/>
  <c r="L419" i="3"/>
  <c r="K421" i="3" l="1"/>
  <c r="L420" i="3"/>
  <c r="K420" i="2"/>
  <c r="L419" i="2"/>
  <c r="K421" i="2" l="1"/>
  <c r="L420" i="2"/>
  <c r="K422" i="3"/>
  <c r="L421" i="3"/>
  <c r="K423" i="3" l="1"/>
  <c r="L422" i="3"/>
  <c r="K422" i="2"/>
  <c r="L421" i="2"/>
  <c r="K423" i="2" l="1"/>
  <c r="L422" i="2"/>
  <c r="K424" i="3"/>
  <c r="L423" i="3"/>
  <c r="K425" i="3" l="1"/>
  <c r="L424" i="3"/>
  <c r="K424" i="2"/>
  <c r="L423" i="2"/>
  <c r="K425" i="2" l="1"/>
  <c r="L424" i="2"/>
  <c r="K426" i="3"/>
  <c r="L425" i="3"/>
  <c r="K427" i="3" l="1"/>
  <c r="L426" i="3"/>
  <c r="K426" i="2"/>
  <c r="L425" i="2"/>
  <c r="K427" i="2" l="1"/>
  <c r="L426" i="2"/>
  <c r="K428" i="3"/>
  <c r="L427" i="3"/>
  <c r="K429" i="3" l="1"/>
  <c r="L428" i="3"/>
  <c r="K428" i="2"/>
  <c r="L427" i="2"/>
  <c r="K429" i="2" l="1"/>
  <c r="L428" i="2"/>
  <c r="K430" i="3"/>
  <c r="L429" i="3"/>
  <c r="K431" i="3" l="1"/>
  <c r="L430" i="3"/>
  <c r="K430" i="2"/>
  <c r="L429" i="2"/>
  <c r="K431" i="2" l="1"/>
  <c r="L430" i="2"/>
  <c r="K432" i="3"/>
  <c r="L431" i="3"/>
  <c r="K433" i="3" l="1"/>
  <c r="L432" i="3"/>
  <c r="K432" i="2"/>
  <c r="L431" i="2"/>
  <c r="K433" i="2" l="1"/>
  <c r="L432" i="2"/>
  <c r="K434" i="3"/>
  <c r="L433" i="3"/>
  <c r="K435" i="3" l="1"/>
  <c r="L434" i="3"/>
  <c r="K434" i="2"/>
  <c r="L433" i="2"/>
  <c r="K435" i="2" l="1"/>
  <c r="L434" i="2"/>
  <c r="K436" i="3"/>
  <c r="L435" i="3"/>
  <c r="K437" i="3" l="1"/>
  <c r="L436" i="3"/>
  <c r="K436" i="2"/>
  <c r="L435" i="2"/>
  <c r="K437" i="2" l="1"/>
  <c r="L436" i="2"/>
  <c r="K438" i="3"/>
  <c r="L437" i="3"/>
  <c r="K439" i="3" l="1"/>
  <c r="L438" i="3"/>
  <c r="K438" i="2"/>
  <c r="L437" i="2"/>
  <c r="K439" i="2" l="1"/>
  <c r="L438" i="2"/>
  <c r="K440" i="3"/>
  <c r="L439" i="3"/>
  <c r="K441" i="3" l="1"/>
  <c r="L440" i="3"/>
  <c r="K440" i="2"/>
  <c r="L439" i="2"/>
  <c r="K441" i="2" l="1"/>
  <c r="L440" i="2"/>
  <c r="K442" i="3"/>
  <c r="L441" i="3"/>
  <c r="K443" i="3" l="1"/>
  <c r="L442" i="3"/>
  <c r="K442" i="2"/>
  <c r="L441" i="2"/>
  <c r="K443" i="2" l="1"/>
  <c r="L442" i="2"/>
  <c r="K444" i="3"/>
  <c r="L443" i="3"/>
  <c r="K445" i="3" l="1"/>
  <c r="L444" i="3"/>
  <c r="K444" i="2"/>
  <c r="L443" i="2"/>
  <c r="K445" i="2" l="1"/>
  <c r="L444" i="2"/>
  <c r="K446" i="3"/>
  <c r="L445" i="3"/>
  <c r="K447" i="3" l="1"/>
  <c r="L446" i="3"/>
  <c r="K446" i="2"/>
  <c r="L445" i="2"/>
  <c r="K447" i="2" l="1"/>
  <c r="L446" i="2"/>
  <c r="K448" i="3"/>
  <c r="L447" i="3"/>
  <c r="K449" i="3" l="1"/>
  <c r="L448" i="3"/>
  <c r="K448" i="2"/>
  <c r="L447" i="2"/>
  <c r="K449" i="2" l="1"/>
  <c r="L448" i="2"/>
  <c r="K450" i="3"/>
  <c r="L449" i="3"/>
  <c r="K451" i="3" l="1"/>
  <c r="L450" i="3"/>
  <c r="K450" i="2"/>
  <c r="L449" i="2"/>
  <c r="K451" i="2" l="1"/>
  <c r="L450" i="2"/>
  <c r="K452" i="3"/>
  <c r="L451" i="3"/>
  <c r="K453" i="3" l="1"/>
  <c r="L452" i="3"/>
  <c r="K452" i="2"/>
  <c r="L451" i="2"/>
  <c r="K453" i="2" l="1"/>
  <c r="L452" i="2"/>
  <c r="K454" i="3"/>
  <c r="L453" i="3"/>
  <c r="K455" i="3" l="1"/>
  <c r="L454" i="3"/>
  <c r="K454" i="2"/>
  <c r="L453" i="2"/>
  <c r="K455" i="2" l="1"/>
  <c r="L454" i="2"/>
  <c r="K456" i="3"/>
  <c r="L455" i="3"/>
  <c r="K457" i="3" l="1"/>
  <c r="L456" i="3"/>
  <c r="K456" i="2"/>
  <c r="L455" i="2"/>
  <c r="K457" i="2" l="1"/>
  <c r="L456" i="2"/>
  <c r="K458" i="3"/>
  <c r="L457" i="3"/>
  <c r="K459" i="3" l="1"/>
  <c r="L458" i="3"/>
  <c r="K458" i="2"/>
  <c r="L457" i="2"/>
  <c r="K459" i="2" l="1"/>
  <c r="L458" i="2"/>
  <c r="K460" i="3"/>
  <c r="L459" i="3"/>
  <c r="K461" i="3" l="1"/>
  <c r="L460" i="3"/>
  <c r="K460" i="2"/>
  <c r="L459" i="2"/>
  <c r="K461" i="2" l="1"/>
  <c r="L460" i="2"/>
  <c r="K462" i="3"/>
  <c r="L461" i="3"/>
  <c r="K463" i="3" l="1"/>
  <c r="L462" i="3"/>
  <c r="K462" i="2"/>
  <c r="L461" i="2"/>
  <c r="K463" i="2" l="1"/>
  <c r="L462" i="2"/>
  <c r="K464" i="3"/>
  <c r="L463" i="3"/>
  <c r="K465" i="3" l="1"/>
  <c r="L464" i="3"/>
  <c r="K464" i="2"/>
  <c r="L463" i="2"/>
  <c r="K465" i="2" l="1"/>
  <c r="L464" i="2"/>
  <c r="K466" i="3"/>
  <c r="L465" i="3"/>
  <c r="K467" i="3" l="1"/>
  <c r="L466" i="3"/>
  <c r="K466" i="2"/>
  <c r="L465" i="2"/>
  <c r="K467" i="2" l="1"/>
  <c r="L466" i="2"/>
  <c r="K468" i="3"/>
  <c r="L467" i="3"/>
  <c r="K469" i="3" l="1"/>
  <c r="L468" i="3"/>
  <c r="K468" i="2"/>
  <c r="L467" i="2"/>
  <c r="K469" i="2" l="1"/>
  <c r="L468" i="2"/>
  <c r="K470" i="3"/>
  <c r="L469" i="3"/>
  <c r="K471" i="3" l="1"/>
  <c r="L470" i="3"/>
  <c r="K470" i="2"/>
  <c r="L469" i="2"/>
  <c r="K471" i="2" l="1"/>
  <c r="L470" i="2"/>
  <c r="K472" i="3"/>
  <c r="L471" i="3"/>
  <c r="K473" i="3" l="1"/>
  <c r="L472" i="3"/>
  <c r="K472" i="2"/>
  <c r="L471" i="2"/>
  <c r="K473" i="2" l="1"/>
  <c r="L472" i="2"/>
  <c r="K474" i="3"/>
  <c r="L473" i="3"/>
  <c r="K475" i="3" l="1"/>
  <c r="L474" i="3"/>
  <c r="K474" i="2"/>
  <c r="L473" i="2"/>
  <c r="K475" i="2" l="1"/>
  <c r="L474" i="2"/>
  <c r="K476" i="3"/>
  <c r="L475" i="3"/>
  <c r="K477" i="3" l="1"/>
  <c r="L476" i="3"/>
  <c r="K476" i="2"/>
  <c r="L475" i="2"/>
  <c r="K477" i="2" l="1"/>
  <c r="L476" i="2"/>
  <c r="K478" i="3"/>
  <c r="L477" i="3"/>
  <c r="K479" i="3" l="1"/>
  <c r="L478" i="3"/>
  <c r="K478" i="2"/>
  <c r="L477" i="2"/>
  <c r="K479" i="2" l="1"/>
  <c r="L478" i="2"/>
  <c r="K480" i="3"/>
  <c r="L479" i="3"/>
  <c r="K481" i="3" l="1"/>
  <c r="L480" i="3"/>
  <c r="K480" i="2"/>
  <c r="L479" i="2"/>
  <c r="K481" i="2" l="1"/>
  <c r="L480" i="2"/>
  <c r="K482" i="3"/>
  <c r="L481" i="3"/>
  <c r="K483" i="3" l="1"/>
  <c r="L482" i="3"/>
  <c r="K482" i="2"/>
  <c r="L481" i="2"/>
  <c r="K483" i="2" l="1"/>
  <c r="L482" i="2"/>
  <c r="K484" i="3"/>
  <c r="L483" i="3"/>
  <c r="K485" i="3" l="1"/>
  <c r="L484" i="3"/>
  <c r="K484" i="2"/>
  <c r="L483" i="2"/>
  <c r="K485" i="2" l="1"/>
  <c r="L484" i="2"/>
  <c r="K486" i="3"/>
  <c r="L485" i="3"/>
  <c r="K487" i="3" l="1"/>
  <c r="L486" i="3"/>
  <c r="K486" i="2"/>
  <c r="L485" i="2"/>
  <c r="K487" i="2" l="1"/>
  <c r="L486" i="2"/>
  <c r="K488" i="3"/>
  <c r="L487" i="3"/>
  <c r="K489" i="3" l="1"/>
  <c r="L488" i="3"/>
  <c r="K488" i="2"/>
  <c r="L487" i="2"/>
  <c r="K489" i="2" l="1"/>
  <c r="L488" i="2"/>
  <c r="K490" i="3"/>
  <c r="L489" i="3"/>
  <c r="K491" i="3" l="1"/>
  <c r="L490" i="3"/>
  <c r="K490" i="2"/>
  <c r="L489" i="2"/>
  <c r="K491" i="2" l="1"/>
  <c r="L490" i="2"/>
  <c r="K492" i="3"/>
  <c r="L491" i="3"/>
  <c r="K493" i="3" l="1"/>
  <c r="L492" i="3"/>
  <c r="K492" i="2"/>
  <c r="L491" i="2"/>
  <c r="K493" i="2" l="1"/>
  <c r="L492" i="2"/>
  <c r="K494" i="3"/>
  <c r="L493" i="3"/>
  <c r="K495" i="3" l="1"/>
  <c r="L494" i="3"/>
  <c r="K494" i="2"/>
  <c r="L493" i="2"/>
  <c r="K495" i="2" l="1"/>
  <c r="L494" i="2"/>
  <c r="K496" i="3"/>
  <c r="L495" i="3"/>
  <c r="K497" i="3" l="1"/>
  <c r="L496" i="3"/>
  <c r="K496" i="2"/>
  <c r="L495" i="2"/>
  <c r="K497" i="2" l="1"/>
  <c r="L496" i="2"/>
  <c r="K498" i="3"/>
  <c r="L497" i="3"/>
  <c r="K499" i="3" l="1"/>
  <c r="L498" i="3"/>
  <c r="K498" i="2"/>
  <c r="L497" i="2"/>
  <c r="K499" i="2" l="1"/>
  <c r="L498" i="2"/>
  <c r="K500" i="3"/>
  <c r="L499" i="3"/>
  <c r="K501" i="3" l="1"/>
  <c r="L500" i="3"/>
  <c r="K500" i="2"/>
  <c r="L499" i="2"/>
  <c r="K501" i="2" l="1"/>
  <c r="L500" i="2"/>
  <c r="K502" i="3"/>
  <c r="L501" i="3"/>
  <c r="K503" i="3" l="1"/>
  <c r="L502" i="3"/>
  <c r="K502" i="2"/>
  <c r="L501" i="2"/>
  <c r="K503" i="2" l="1"/>
  <c r="L502" i="2"/>
  <c r="K504" i="3"/>
  <c r="L503" i="3"/>
  <c r="K505" i="3" l="1"/>
  <c r="L504" i="3"/>
  <c r="K504" i="2"/>
  <c r="L503" i="2"/>
  <c r="K505" i="2" l="1"/>
  <c r="L504" i="2"/>
  <c r="K506" i="3"/>
  <c r="L505" i="3"/>
  <c r="K507" i="3" l="1"/>
  <c r="L506" i="3"/>
  <c r="K506" i="2"/>
  <c r="L505" i="2"/>
  <c r="K507" i="2" l="1"/>
  <c r="L506" i="2"/>
  <c r="K508" i="3"/>
  <c r="L507" i="3"/>
  <c r="K509" i="3" l="1"/>
  <c r="I33" i="1"/>
  <c r="L508" i="3"/>
  <c r="K508" i="2"/>
  <c r="L507" i="2"/>
  <c r="K509" i="2" l="1"/>
  <c r="I32" i="1"/>
  <c r="I35" i="1" s="1"/>
  <c r="L508" i="2"/>
  <c r="K510" i="3"/>
  <c r="L509" i="3"/>
  <c r="K511" i="3" l="1"/>
  <c r="L510" i="3"/>
  <c r="K510" i="2"/>
  <c r="L509" i="2"/>
  <c r="K511" i="2" l="1"/>
  <c r="L510" i="2"/>
  <c r="K512" i="3"/>
  <c r="L511" i="3"/>
  <c r="K513" i="3" l="1"/>
  <c r="L512" i="3"/>
  <c r="K512" i="2"/>
  <c r="L511" i="2"/>
  <c r="K513" i="2" l="1"/>
  <c r="L512" i="2"/>
  <c r="K514" i="3"/>
  <c r="L513" i="3"/>
  <c r="K515" i="3" l="1"/>
  <c r="L514" i="3"/>
  <c r="K514" i="2"/>
  <c r="L513" i="2"/>
  <c r="K515" i="2" l="1"/>
  <c r="L514" i="2"/>
  <c r="K516" i="3"/>
  <c r="L515" i="3"/>
  <c r="K517" i="3" l="1"/>
  <c r="L516" i="3"/>
  <c r="K516" i="2"/>
  <c r="L515" i="2"/>
  <c r="K517" i="2" l="1"/>
  <c r="L516" i="2"/>
  <c r="K518" i="3"/>
  <c r="L517" i="3"/>
  <c r="K519" i="3" l="1"/>
  <c r="L518" i="3"/>
  <c r="K518" i="2"/>
  <c r="L517" i="2"/>
  <c r="K519" i="2" l="1"/>
  <c r="L518" i="2"/>
  <c r="K520" i="3"/>
  <c r="L519" i="3"/>
  <c r="K521" i="3" l="1"/>
  <c r="L520" i="3"/>
  <c r="K520" i="2"/>
  <c r="L519" i="2"/>
  <c r="K521" i="2" l="1"/>
  <c r="L520" i="2"/>
  <c r="K522" i="3"/>
  <c r="L521" i="3"/>
  <c r="K523" i="3" l="1"/>
  <c r="L522" i="3"/>
  <c r="K522" i="2"/>
  <c r="L521" i="2"/>
  <c r="K523" i="2" l="1"/>
  <c r="L522" i="2"/>
  <c r="K524" i="3"/>
  <c r="L523" i="3"/>
  <c r="K525" i="3" l="1"/>
  <c r="L524" i="3"/>
  <c r="K524" i="2"/>
  <c r="L523" i="2"/>
  <c r="K525" i="2" l="1"/>
  <c r="L524" i="2"/>
  <c r="K526" i="3"/>
  <c r="L525" i="3"/>
  <c r="K527" i="3" l="1"/>
  <c r="L526" i="3"/>
  <c r="K526" i="2"/>
  <c r="L525" i="2"/>
  <c r="K527" i="2" l="1"/>
  <c r="L526" i="2"/>
  <c r="K528" i="3"/>
  <c r="L527" i="3"/>
  <c r="K529" i="3" l="1"/>
  <c r="L528" i="3"/>
  <c r="K528" i="2"/>
  <c r="L527" i="2"/>
  <c r="K529" i="2" l="1"/>
  <c r="L528" i="2"/>
  <c r="K530" i="3"/>
  <c r="L529" i="3"/>
  <c r="K531" i="3" l="1"/>
  <c r="L530" i="3"/>
  <c r="K530" i="2"/>
  <c r="L529" i="2"/>
  <c r="K531" i="2" l="1"/>
  <c r="L530" i="2"/>
  <c r="K532" i="3"/>
  <c r="L531" i="3"/>
  <c r="K533" i="3" l="1"/>
  <c r="L532" i="3"/>
  <c r="K532" i="2"/>
  <c r="L531" i="2"/>
  <c r="K533" i="2" l="1"/>
  <c r="L532" i="2"/>
  <c r="K534" i="3"/>
  <c r="L533" i="3"/>
  <c r="K535" i="3" l="1"/>
  <c r="L534" i="3"/>
  <c r="K534" i="2"/>
  <c r="L533" i="2"/>
  <c r="K535" i="2" l="1"/>
  <c r="L534" i="2"/>
  <c r="K536" i="3"/>
  <c r="L535" i="3"/>
  <c r="K537" i="3" l="1"/>
  <c r="L536" i="3"/>
  <c r="K536" i="2"/>
  <c r="L535" i="2"/>
  <c r="K537" i="2" l="1"/>
  <c r="L536" i="2"/>
  <c r="K538" i="3"/>
  <c r="L537" i="3"/>
  <c r="K539" i="3" l="1"/>
  <c r="L538" i="3"/>
  <c r="K538" i="2"/>
  <c r="L537" i="2"/>
  <c r="K539" i="2" l="1"/>
  <c r="L538" i="2"/>
  <c r="K540" i="3"/>
  <c r="L539" i="3"/>
  <c r="K541" i="3" l="1"/>
  <c r="L540" i="3"/>
  <c r="K540" i="2"/>
  <c r="L539" i="2"/>
  <c r="K541" i="2" l="1"/>
  <c r="L540" i="2"/>
  <c r="K542" i="3"/>
  <c r="L541" i="3"/>
  <c r="K543" i="3" l="1"/>
  <c r="L542" i="3"/>
  <c r="K542" i="2"/>
  <c r="L541" i="2"/>
  <c r="K543" i="2" l="1"/>
  <c r="L542" i="2"/>
  <c r="K544" i="3"/>
  <c r="L543" i="3"/>
  <c r="K545" i="3" l="1"/>
  <c r="L544" i="3"/>
  <c r="K544" i="2"/>
  <c r="L543" i="2"/>
  <c r="K545" i="2" l="1"/>
  <c r="L544" i="2"/>
  <c r="K546" i="3"/>
  <c r="L545" i="3"/>
  <c r="K547" i="3" l="1"/>
  <c r="L546" i="3"/>
  <c r="K546" i="2"/>
  <c r="L545" i="2"/>
  <c r="K547" i="2" l="1"/>
  <c r="L546" i="2"/>
  <c r="K548" i="3"/>
  <c r="L547" i="3"/>
  <c r="K549" i="3" l="1"/>
  <c r="L548" i="3"/>
  <c r="K548" i="2"/>
  <c r="L547" i="2"/>
  <c r="K549" i="2" l="1"/>
  <c r="L548" i="2"/>
  <c r="K550" i="3"/>
  <c r="L549" i="3"/>
  <c r="K551" i="3" l="1"/>
  <c r="L550" i="3"/>
  <c r="K550" i="2"/>
  <c r="L549" i="2"/>
  <c r="K551" i="2" l="1"/>
  <c r="L550" i="2"/>
  <c r="K552" i="3"/>
  <c r="L551" i="3"/>
  <c r="K553" i="3" l="1"/>
  <c r="L552" i="3"/>
  <c r="K552" i="2"/>
  <c r="L551" i="2"/>
  <c r="K553" i="2" l="1"/>
  <c r="L552" i="2"/>
  <c r="K554" i="3"/>
  <c r="L553" i="3"/>
  <c r="K555" i="3" l="1"/>
  <c r="L554" i="3"/>
  <c r="K554" i="2"/>
  <c r="L553" i="2"/>
  <c r="K555" i="2" l="1"/>
  <c r="L554" i="2"/>
  <c r="K556" i="3"/>
  <c r="L555" i="3"/>
  <c r="K557" i="3" l="1"/>
  <c r="L556" i="3"/>
  <c r="K556" i="2"/>
  <c r="L555" i="2"/>
  <c r="K557" i="2" l="1"/>
  <c r="L556" i="2"/>
  <c r="K558" i="3"/>
  <c r="L557" i="3"/>
  <c r="K559" i="3" l="1"/>
  <c r="L558" i="3"/>
  <c r="K558" i="2"/>
  <c r="L557" i="2"/>
  <c r="K559" i="2" l="1"/>
  <c r="L558" i="2"/>
  <c r="K560" i="3"/>
  <c r="L559" i="3"/>
  <c r="K561" i="3" l="1"/>
  <c r="L560" i="3"/>
  <c r="K560" i="2"/>
  <c r="L559" i="2"/>
  <c r="K561" i="2" l="1"/>
  <c r="L560" i="2"/>
  <c r="K562" i="3"/>
  <c r="L561" i="3"/>
  <c r="K563" i="3" l="1"/>
  <c r="L562" i="3"/>
  <c r="K562" i="2"/>
  <c r="L561" i="2"/>
  <c r="K563" i="2" l="1"/>
  <c r="L562" i="2"/>
  <c r="K564" i="3"/>
  <c r="L563" i="3"/>
  <c r="K565" i="3" l="1"/>
  <c r="L564" i="3"/>
  <c r="K564" i="2"/>
  <c r="L563" i="2"/>
  <c r="K565" i="2" l="1"/>
  <c r="L564" i="2"/>
  <c r="K566" i="3"/>
  <c r="L565" i="3"/>
  <c r="K567" i="3" l="1"/>
  <c r="L566" i="3"/>
  <c r="K566" i="2"/>
  <c r="L565" i="2"/>
  <c r="K567" i="2" l="1"/>
  <c r="L566" i="2"/>
  <c r="K568" i="3"/>
  <c r="L567" i="3"/>
  <c r="K569" i="3" l="1"/>
  <c r="L568" i="3"/>
  <c r="K568" i="2"/>
  <c r="L567" i="2"/>
  <c r="K569" i="2" l="1"/>
  <c r="L568" i="2"/>
  <c r="K570" i="3"/>
  <c r="L569" i="3"/>
  <c r="K571" i="3" l="1"/>
  <c r="L570" i="3"/>
  <c r="K570" i="2"/>
  <c r="L569" i="2"/>
  <c r="K571" i="2" l="1"/>
  <c r="L570" i="2"/>
  <c r="K572" i="3"/>
  <c r="L571" i="3"/>
  <c r="K573" i="3" l="1"/>
  <c r="L572" i="3"/>
  <c r="K572" i="2"/>
  <c r="L571" i="2"/>
  <c r="K573" i="2" l="1"/>
  <c r="L572" i="2"/>
  <c r="K574" i="3"/>
  <c r="L573" i="3"/>
  <c r="K575" i="3" l="1"/>
  <c r="L574" i="3"/>
  <c r="K574" i="2"/>
  <c r="L573" i="2"/>
  <c r="K575" i="2" l="1"/>
  <c r="L574" i="2"/>
  <c r="K576" i="3"/>
  <c r="L575" i="3"/>
  <c r="K577" i="3" l="1"/>
  <c r="L576" i="3"/>
  <c r="K576" i="2"/>
  <c r="L575" i="2"/>
  <c r="K577" i="2" l="1"/>
  <c r="L576" i="2"/>
  <c r="K578" i="3"/>
  <c r="L577" i="3"/>
  <c r="K579" i="3" l="1"/>
  <c r="L578" i="3"/>
  <c r="K578" i="2"/>
  <c r="L577" i="2"/>
  <c r="K579" i="2" l="1"/>
  <c r="L578" i="2"/>
  <c r="K580" i="3"/>
  <c r="L579" i="3"/>
  <c r="K581" i="3" l="1"/>
  <c r="L580" i="3"/>
  <c r="K580" i="2"/>
  <c r="L579" i="2"/>
  <c r="K581" i="2" l="1"/>
  <c r="L580" i="2"/>
  <c r="K582" i="3"/>
  <c r="L581" i="3"/>
  <c r="K583" i="3" l="1"/>
  <c r="L582" i="3"/>
  <c r="K582" i="2"/>
  <c r="L581" i="2"/>
  <c r="K583" i="2" l="1"/>
  <c r="L582" i="2"/>
  <c r="K584" i="3"/>
  <c r="L583" i="3"/>
  <c r="K585" i="3" l="1"/>
  <c r="L584" i="3"/>
  <c r="K584" i="2"/>
  <c r="L583" i="2"/>
  <c r="K585" i="2" l="1"/>
  <c r="L584" i="2"/>
  <c r="K586" i="3"/>
  <c r="L585" i="3"/>
  <c r="K587" i="3" l="1"/>
  <c r="L586" i="3"/>
  <c r="K586" i="2"/>
  <c r="L585" i="2"/>
  <c r="K587" i="2" l="1"/>
  <c r="L586" i="2"/>
  <c r="K588" i="3"/>
  <c r="L587" i="3"/>
  <c r="K589" i="3" l="1"/>
  <c r="L588" i="3"/>
  <c r="K588" i="2"/>
  <c r="L587" i="2"/>
  <c r="K589" i="2" l="1"/>
  <c r="L588" i="2"/>
  <c r="K590" i="3"/>
  <c r="L589" i="3"/>
  <c r="K591" i="3" l="1"/>
  <c r="L590" i="3"/>
  <c r="K590" i="2"/>
  <c r="L589" i="2"/>
  <c r="K591" i="2" l="1"/>
  <c r="L590" i="2"/>
  <c r="K592" i="3"/>
  <c r="L591" i="3"/>
  <c r="K593" i="3" l="1"/>
  <c r="L592" i="3"/>
  <c r="K592" i="2"/>
  <c r="L591" i="2"/>
  <c r="K593" i="2" l="1"/>
  <c r="L592" i="2"/>
  <c r="K594" i="3"/>
  <c r="L593" i="3"/>
  <c r="K595" i="3" l="1"/>
  <c r="L594" i="3"/>
  <c r="K594" i="2"/>
  <c r="L593" i="2"/>
  <c r="K595" i="2" l="1"/>
  <c r="L594" i="2"/>
  <c r="K596" i="3"/>
  <c r="L595" i="3"/>
  <c r="K597" i="3" l="1"/>
  <c r="L596" i="3"/>
  <c r="K596" i="2"/>
  <c r="L595" i="2"/>
  <c r="K597" i="2" l="1"/>
  <c r="L596" i="2"/>
  <c r="K598" i="3"/>
  <c r="L597" i="3"/>
  <c r="K599" i="3" l="1"/>
  <c r="L598" i="3"/>
  <c r="K598" i="2"/>
  <c r="L597" i="2"/>
  <c r="K599" i="2" l="1"/>
  <c r="L598" i="2"/>
  <c r="K600" i="3"/>
  <c r="L599" i="3"/>
  <c r="K601" i="3" l="1"/>
  <c r="L600" i="3"/>
  <c r="K600" i="2"/>
  <c r="L599" i="2"/>
  <c r="K601" i="2" l="1"/>
  <c r="L600" i="2"/>
  <c r="K602" i="3"/>
  <c r="L601" i="3"/>
  <c r="K603" i="3" l="1"/>
  <c r="L602" i="3"/>
  <c r="K602" i="2"/>
  <c r="L601" i="2"/>
  <c r="K603" i="2" l="1"/>
  <c r="L602" i="2"/>
  <c r="K604" i="3"/>
  <c r="L603" i="3"/>
  <c r="K605" i="3" l="1"/>
  <c r="L604" i="3"/>
  <c r="K604" i="2"/>
  <c r="L603" i="2"/>
  <c r="K605" i="2" l="1"/>
  <c r="L604" i="2"/>
  <c r="K606" i="3"/>
  <c r="L605" i="3"/>
  <c r="K607" i="3" l="1"/>
  <c r="L606" i="3"/>
  <c r="K606" i="2"/>
  <c r="L605" i="2"/>
  <c r="K607" i="2" l="1"/>
  <c r="L606" i="2"/>
  <c r="K608" i="3"/>
  <c r="L607" i="3"/>
  <c r="K609" i="3" l="1"/>
  <c r="L608" i="3"/>
  <c r="K608" i="2"/>
  <c r="L607" i="2"/>
  <c r="K609" i="2" l="1"/>
  <c r="L608" i="2"/>
  <c r="K610" i="3"/>
  <c r="L609" i="3"/>
  <c r="K611" i="3" l="1"/>
  <c r="L610" i="3"/>
  <c r="K610" i="2"/>
  <c r="L609" i="2"/>
  <c r="K611" i="2" l="1"/>
  <c r="L610" i="2"/>
  <c r="K612" i="3"/>
  <c r="L611" i="3"/>
  <c r="K613" i="3" l="1"/>
  <c r="L612" i="3"/>
  <c r="K612" i="2"/>
  <c r="L611" i="2"/>
  <c r="K613" i="2" l="1"/>
  <c r="L612" i="2"/>
  <c r="K614" i="3"/>
  <c r="L613" i="3"/>
  <c r="K615" i="3" l="1"/>
  <c r="L614" i="3"/>
  <c r="K614" i="2"/>
  <c r="L613" i="2"/>
  <c r="K615" i="2" l="1"/>
  <c r="L614" i="2"/>
  <c r="K616" i="3"/>
  <c r="L615" i="3"/>
  <c r="K617" i="3" l="1"/>
  <c r="L616" i="3"/>
  <c r="K616" i="2"/>
  <c r="L615" i="2"/>
  <c r="K617" i="2" l="1"/>
  <c r="L616" i="2"/>
  <c r="K618" i="3"/>
  <c r="L617" i="3"/>
  <c r="K619" i="3" l="1"/>
  <c r="L618" i="3"/>
  <c r="K618" i="2"/>
  <c r="L617" i="2"/>
  <c r="K619" i="2" l="1"/>
  <c r="L618" i="2"/>
  <c r="K620" i="3"/>
  <c r="L619" i="3"/>
  <c r="K621" i="3" l="1"/>
  <c r="L620" i="3"/>
  <c r="K620" i="2"/>
  <c r="L619" i="2"/>
  <c r="K621" i="2" l="1"/>
  <c r="L620" i="2"/>
  <c r="K622" i="3"/>
  <c r="L621" i="3"/>
  <c r="K623" i="3" l="1"/>
  <c r="L622" i="3"/>
  <c r="K622" i="2"/>
  <c r="L621" i="2"/>
  <c r="K623" i="2" l="1"/>
  <c r="L622" i="2"/>
  <c r="K624" i="3"/>
  <c r="L623" i="3"/>
  <c r="K625" i="3" l="1"/>
  <c r="L624" i="3"/>
  <c r="K624" i="2"/>
  <c r="L623" i="2"/>
  <c r="K625" i="2" l="1"/>
  <c r="L624" i="2"/>
  <c r="K626" i="3"/>
  <c r="L625" i="3"/>
  <c r="K627" i="3" l="1"/>
  <c r="L626" i="3"/>
  <c r="K626" i="2"/>
  <c r="L625" i="2"/>
  <c r="K627" i="2" l="1"/>
  <c r="L626" i="2"/>
  <c r="K628" i="3"/>
  <c r="L627" i="3"/>
  <c r="K629" i="3" l="1"/>
  <c r="L628" i="3"/>
  <c r="K628" i="2"/>
  <c r="L627" i="2"/>
  <c r="K629" i="2" l="1"/>
  <c r="L628" i="2"/>
  <c r="K630" i="3"/>
  <c r="L629" i="3"/>
  <c r="K631" i="3" l="1"/>
  <c r="L630" i="3"/>
  <c r="K630" i="2"/>
  <c r="L629" i="2"/>
  <c r="K631" i="2" l="1"/>
  <c r="L630" i="2"/>
  <c r="K632" i="3"/>
  <c r="L631" i="3"/>
  <c r="K633" i="3" l="1"/>
  <c r="L632" i="3"/>
  <c r="K632" i="2"/>
  <c r="L631" i="2"/>
  <c r="K633" i="2" l="1"/>
  <c r="L632" i="2"/>
  <c r="K634" i="3"/>
  <c r="L633" i="3"/>
  <c r="K635" i="3" l="1"/>
  <c r="L634" i="3"/>
  <c r="K634" i="2"/>
  <c r="L633" i="2"/>
  <c r="K635" i="2" l="1"/>
  <c r="L634" i="2"/>
  <c r="K636" i="3"/>
  <c r="L635" i="3"/>
  <c r="K637" i="3" l="1"/>
  <c r="L636" i="3"/>
  <c r="K636" i="2"/>
  <c r="L635" i="2"/>
  <c r="K637" i="2" l="1"/>
  <c r="L636" i="2"/>
  <c r="K638" i="3"/>
  <c r="L637" i="3"/>
  <c r="K639" i="3" l="1"/>
  <c r="L638" i="3"/>
  <c r="K638" i="2"/>
  <c r="L637" i="2"/>
  <c r="K639" i="2" l="1"/>
  <c r="L638" i="2"/>
  <c r="K640" i="3"/>
  <c r="L639" i="3"/>
  <c r="K641" i="3" l="1"/>
  <c r="L640" i="3"/>
  <c r="K640" i="2"/>
  <c r="L639" i="2"/>
  <c r="K641" i="2" l="1"/>
  <c r="L640" i="2"/>
  <c r="K642" i="3"/>
  <c r="L641" i="3"/>
  <c r="K643" i="3" l="1"/>
  <c r="L642" i="3"/>
  <c r="K642" i="2"/>
  <c r="L641" i="2"/>
  <c r="K643" i="2" l="1"/>
  <c r="L642" i="2"/>
  <c r="K644" i="3"/>
  <c r="L643" i="3"/>
  <c r="K645" i="3" l="1"/>
  <c r="L644" i="3"/>
  <c r="K644" i="2"/>
  <c r="L643" i="2"/>
  <c r="K645" i="2" l="1"/>
  <c r="L644" i="2"/>
  <c r="K646" i="3"/>
  <c r="L645" i="3"/>
  <c r="K647" i="3" l="1"/>
  <c r="L646" i="3"/>
  <c r="K646" i="2"/>
  <c r="L645" i="2"/>
  <c r="K647" i="2" l="1"/>
  <c r="L646" i="2"/>
  <c r="K648" i="3"/>
  <c r="L647" i="3"/>
  <c r="K649" i="3" l="1"/>
  <c r="L648" i="3"/>
  <c r="K648" i="2"/>
  <c r="L647" i="2"/>
  <c r="K649" i="2" l="1"/>
  <c r="L648" i="2"/>
  <c r="K650" i="3"/>
  <c r="L649" i="3"/>
  <c r="K651" i="3" l="1"/>
  <c r="L650" i="3"/>
  <c r="K650" i="2"/>
  <c r="L649" i="2"/>
  <c r="K651" i="2" l="1"/>
  <c r="L650" i="2"/>
  <c r="K652" i="3"/>
  <c r="L651" i="3"/>
  <c r="K653" i="3" l="1"/>
  <c r="L652" i="3"/>
  <c r="K652" i="2"/>
  <c r="L651" i="2"/>
  <c r="K653" i="2" l="1"/>
  <c r="L652" i="2"/>
  <c r="K654" i="3"/>
  <c r="L653" i="3"/>
  <c r="K655" i="3" l="1"/>
  <c r="L654" i="3"/>
  <c r="K654" i="2"/>
  <c r="L653" i="2"/>
  <c r="K655" i="2" l="1"/>
  <c r="L654" i="2"/>
  <c r="K656" i="3"/>
  <c r="L655" i="3"/>
  <c r="K657" i="3" l="1"/>
  <c r="L656" i="3"/>
  <c r="K656" i="2"/>
  <c r="L655" i="2"/>
  <c r="K657" i="2" l="1"/>
  <c r="L656" i="2"/>
  <c r="K658" i="3"/>
  <c r="L657" i="3"/>
  <c r="K659" i="3" l="1"/>
  <c r="L658" i="3"/>
  <c r="K658" i="2"/>
  <c r="L657" i="2"/>
  <c r="K659" i="2" l="1"/>
  <c r="L658" i="2"/>
  <c r="K660" i="3"/>
  <c r="L659" i="3"/>
  <c r="K661" i="3" l="1"/>
  <c r="L660" i="3"/>
  <c r="K660" i="2"/>
  <c r="L659" i="2"/>
  <c r="K661" i="2" l="1"/>
  <c r="L660" i="2"/>
  <c r="K662" i="3"/>
  <c r="L661" i="3"/>
  <c r="K663" i="3" l="1"/>
  <c r="L662" i="3"/>
  <c r="K662" i="2"/>
  <c r="L661" i="2"/>
  <c r="K663" i="2" l="1"/>
  <c r="L662" i="2"/>
  <c r="K664" i="3"/>
  <c r="L663" i="3"/>
  <c r="K665" i="3" l="1"/>
  <c r="L664" i="3"/>
  <c r="K664" i="2"/>
  <c r="L663" i="2"/>
  <c r="K665" i="2" l="1"/>
  <c r="L664" i="2"/>
  <c r="K666" i="3"/>
  <c r="L665" i="3"/>
  <c r="K667" i="3" l="1"/>
  <c r="L666" i="3"/>
  <c r="K666" i="2"/>
  <c r="L665" i="2"/>
  <c r="K667" i="2" l="1"/>
  <c r="L666" i="2"/>
  <c r="K668" i="3"/>
  <c r="L667" i="3"/>
  <c r="K669" i="3" l="1"/>
  <c r="L668" i="3"/>
  <c r="K668" i="2"/>
  <c r="L667" i="2"/>
  <c r="K669" i="2" l="1"/>
  <c r="L668" i="2"/>
  <c r="K670" i="3"/>
  <c r="L669" i="3"/>
  <c r="K671" i="3" l="1"/>
  <c r="L670" i="3"/>
  <c r="K670" i="2"/>
  <c r="L669" i="2"/>
  <c r="K671" i="2" l="1"/>
  <c r="L670" i="2"/>
  <c r="K672" i="3"/>
  <c r="L671" i="3"/>
  <c r="K673" i="3" l="1"/>
  <c r="L672" i="3"/>
  <c r="K672" i="2"/>
  <c r="L671" i="2"/>
  <c r="K673" i="2" l="1"/>
  <c r="L672" i="2"/>
  <c r="K674" i="3"/>
  <c r="L673" i="3"/>
  <c r="K675" i="3" l="1"/>
  <c r="L674" i="3"/>
  <c r="K674" i="2"/>
  <c r="L673" i="2"/>
  <c r="K675" i="2" l="1"/>
  <c r="L674" i="2"/>
  <c r="K676" i="3"/>
  <c r="L675" i="3"/>
  <c r="K677" i="3" l="1"/>
  <c r="L676" i="3"/>
  <c r="K676" i="2"/>
  <c r="L675" i="2"/>
  <c r="K677" i="2" l="1"/>
  <c r="L676" i="2"/>
  <c r="K678" i="3"/>
  <c r="L677" i="3"/>
  <c r="K679" i="3" l="1"/>
  <c r="L678" i="3"/>
  <c r="K678" i="2"/>
  <c r="L677" i="2"/>
  <c r="K679" i="2" l="1"/>
  <c r="L678" i="2"/>
  <c r="K680" i="3"/>
  <c r="L679" i="3"/>
  <c r="K681" i="3" l="1"/>
  <c r="L680" i="3"/>
  <c r="K680" i="2"/>
  <c r="L679" i="2"/>
  <c r="K681" i="2" l="1"/>
  <c r="L680" i="2"/>
  <c r="K682" i="3"/>
  <c r="L681" i="3"/>
  <c r="K683" i="3" l="1"/>
  <c r="L682" i="3"/>
  <c r="K682" i="2"/>
  <c r="L681" i="2"/>
  <c r="K683" i="2" l="1"/>
  <c r="L682" i="2"/>
  <c r="K684" i="3"/>
  <c r="L683" i="3"/>
  <c r="K685" i="3" l="1"/>
  <c r="L684" i="3"/>
  <c r="K684" i="2"/>
  <c r="L683" i="2"/>
  <c r="K685" i="2" l="1"/>
  <c r="L684" i="2"/>
  <c r="K686" i="3"/>
  <c r="L685" i="3"/>
  <c r="K687" i="3" l="1"/>
  <c r="L686" i="3"/>
  <c r="K686" i="2"/>
  <c r="L685" i="2"/>
  <c r="K687" i="2" l="1"/>
  <c r="L686" i="2"/>
  <c r="K688" i="3"/>
  <c r="L687" i="3"/>
  <c r="K33" i="1" l="1"/>
  <c r="L688" i="3"/>
  <c r="J33" i="1" s="1"/>
  <c r="K688" i="2"/>
  <c r="L687" i="2"/>
  <c r="K32" i="1" l="1"/>
  <c r="L688" i="2"/>
  <c r="J32" i="1" s="1"/>
</calcChain>
</file>

<file path=xl/sharedStrings.xml><?xml version="1.0" encoding="utf-8"?>
<sst xmlns="http://schemas.openxmlformats.org/spreadsheetml/2006/main" count="158" uniqueCount="114">
  <si>
    <t>INCOME  &amp;  TIMELINE</t>
  </si>
  <si>
    <t>Partner 1 income (per year)</t>
  </si>
  <si>
    <t>Partner 2 income (per year)</t>
  </si>
  <si>
    <t>Household after-tax (per year)</t>
  </si>
  <si>
    <t>Household after-tax (per month)</t>
  </si>
  <si>
    <t>Starting age (today)</t>
  </si>
  <si>
    <t>Model start — year</t>
  </si>
  <si>
    <t>Model start — month</t>
  </si>
  <si>
    <t>Financial plan starts at age (ramp target)</t>
  </si>
  <si>
    <t>Show final balance at age</t>
  </si>
  <si>
    <t>RATES  &amp;  CONTRIBUTIONS</t>
  </si>
  <si>
    <t>Investment return (EAR)</t>
  </si>
  <si>
    <t>Post-retirement return (EAR)</t>
  </si>
  <si>
    <t>Mortgage rate (p.a.)</t>
  </si>
  <si>
    <t>Inflation / CPI (p.a.)</t>
  </si>
  <si>
    <t>Splurge (% of after-tax)</t>
  </si>
  <si>
    <t>First-month lump investment</t>
  </si>
  <si>
    <t>Minimum monthly contribution</t>
  </si>
  <si>
    <t>Living expenses (per month)</t>
  </si>
  <si>
    <t>MONTHLY EXPENSES</t>
  </si>
  <si>
    <t>Insurance</t>
  </si>
  <si>
    <t>Groceries</t>
  </si>
  <si>
    <t>Eating out</t>
  </si>
  <si>
    <t>Bills</t>
  </si>
  <si>
    <t>Car</t>
  </si>
  <si>
    <t>Miscallenous</t>
  </si>
  <si>
    <t>Total expenses / month</t>
  </si>
  <si>
    <t>CGT — 2026-27 REFORM MODEL</t>
  </si>
  <si>
    <t>Marginal rate (incl. levies)</t>
  </si>
  <si>
    <t>Post-reform minimum rate</t>
  </si>
  <si>
    <t>Reform cutoff — year</t>
  </si>
  <si>
    <t>Reform cutoff — month</t>
  </si>
  <si>
    <t>STRATEGY INPUTS</t>
  </si>
  <si>
    <t>STRATEGY</t>
  </si>
  <si>
    <t>Rent (per month)</t>
  </si>
  <si>
    <t>Buy house at age</t>
  </si>
  <si>
    <t>Mortgage length (years)</t>
  </si>
  <si>
    <t>Retire — drawdowns start at age</t>
  </si>
  <si>
    <t>House price</t>
  </si>
  <si>
    <t>Deposit %</t>
  </si>
  <si>
    <t>Deposit funded from portfolio? (1 = yes, 0 = no)</t>
  </si>
  <si>
    <t>STRATEGY 1  ·  Rent first, buy later</t>
  </si>
  <si>
    <t>STRATEGY 2  ·  Buy at 25, no rent</t>
  </si>
  <si>
    <t>DERIVED</t>
  </si>
  <si>
    <t>Years renting (plan → purchase)</t>
  </si>
  <si>
    <t>Deposit ($)</t>
  </si>
  <si>
    <t>Loan amount</t>
  </si>
  <si>
    <t>Monthly repayment</t>
  </si>
  <si>
    <t>Mortgage paid off at age</t>
  </si>
  <si>
    <t>Investing / month — renting phase</t>
  </si>
  <si>
    <t>Investing / month — mortgage phase</t>
  </si>
  <si>
    <t>Investing / month — after payoff</t>
  </si>
  <si>
    <t>Target monthly investing (hit at plan age)</t>
  </si>
  <si>
    <t>Contribution ramp (growth per month)</t>
  </si>
  <si>
    <t>RESULTS</t>
  </si>
  <si>
    <t>Portfolio just before buying</t>
  </si>
  <si>
    <t>Sold to fund deposit (incl. CGT)</t>
  </si>
  <si>
    <t>CGT paid on that sale</t>
  </si>
  <si>
    <t>Portfolio at retirement</t>
  </si>
  <si>
    <t>Monthly need at retirement (after-tax)</t>
  </si>
  <si>
    <t>Monthly drawdown at retirement (pre-tax)</t>
  </si>
  <si>
    <t>Balance at final age</t>
  </si>
  <si>
    <t>Lowest balance after retiring</t>
  </si>
  <si>
    <t>Money runs out before 75?</t>
  </si>
  <si>
    <t>Strategy 2 minus Strategy 1 — balance at final age</t>
  </si>
  <si>
    <t>PORTFOLIO OVER TIME</t>
  </si>
  <si>
    <t>NOTES &amp; ASSUMPTIONS</t>
  </si>
  <si>
    <t>• Monthly investing = after-tax income − housing − saving − expenses − splurge. Housing switches automatically: $0 before the plan age → rent → mortgage repayment → $0 after payoff, so money freed up by the mortgage ending is invested.</t>
  </si>
  <si>
    <t>gm /mo</t>
  </si>
  <si>
    <t>post /mo</t>
  </si>
  <si>
    <t>cpi /mo</t>
  </si>
  <si>
    <t>M ramp</t>
  </si>
  <si>
    <t>S buy</t>
  </si>
  <si>
    <t>S retire</t>
  </si>
  <si>
    <t>S final</t>
  </si>
  <si>
    <t>n mort</t>
  </si>
  <si>
    <t>afterTax/mo</t>
  </si>
  <si>
    <t>target inv</t>
  </si>
  <si>
    <t>inv rent</t>
  </si>
  <si>
    <t>inv mort</t>
  </si>
  <si>
    <t>inv paid</t>
  </si>
  <si>
    <t>deposit</t>
  </si>
  <si>
    <t>loan</t>
  </si>
  <si>
    <t>repayment</t>
  </si>
  <si>
    <t>start abs</t>
  </si>
  <si>
    <t>cutoff abs</t>
  </si>
  <si>
    <t>sale abs</t>
  </si>
  <si>
    <t>tot value</t>
  </si>
  <si>
    <t>tot tax</t>
  </si>
  <si>
    <t>gross factor</t>
  </si>
  <si>
    <t>gross w/d</t>
  </si>
  <si>
    <t>needs base</t>
  </si>
  <si>
    <t>Period</t>
  </si>
  <si>
    <t>Age</t>
  </si>
  <si>
    <t>Age label</t>
  </si>
  <si>
    <t>Housing</t>
  </si>
  <si>
    <t>Contribution</t>
  </si>
  <si>
    <t>Need (after-tax)</t>
  </si>
  <si>
    <t>Drawdown (pre-tax)</t>
  </si>
  <si>
    <t>Purchase w/d</t>
  </si>
  <si>
    <t>Net flow</t>
  </si>
  <si>
    <t>Rate /mo</t>
  </si>
  <si>
    <t>Portfolio</t>
  </si>
  <si>
    <t>Post-ret balance</t>
  </si>
  <si>
    <t>Parcel value @ sale</t>
  </si>
  <si>
    <t>Parcel CGT</t>
  </si>
  <si>
    <t>INVESTING × HOME OWNERSHIP CALCULATOR</t>
  </si>
  <si>
    <t>Only Change Values in the Blue Cells. Red Coloured cells are showing values after calculations. The calculation engine lives on 2 hidden sheets named "Calc1" and "Calc2".</t>
  </si>
  <si>
    <t>• Contribution ramp: starts at the minimum contribution and grows geometrically so it reaches the target monthly investing amount exactly at the plan-start age (cell I6).</t>
  </si>
  <si>
    <t xml:space="preserve">• Retirement drawdown = (saving + expenses + splurge, indexed at CPI from retirement) + housing still owed (rent indexed; mortgage repayments fixed until payoff). </t>
  </si>
  <si>
    <t>• Treat Monthly expenses columns as guides, total monthly expenses can also be entered in cell H14 directly.</t>
  </si>
  <si>
    <t>• After tax figures are for 2026/2027 income tax. Note this may change in the future and may change the after tax figure.</t>
  </si>
  <si>
    <t>• Importantly, for specific retirement balances, the Solver function (Data - &gt; Solver) can be used to determine adequte house prices (Cells G22 and G23)</t>
  </si>
  <si>
    <t>Saving bucket (minimum cash saved 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</si>
</sst>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"/>
    <numFmt numFmtId="165" formatCode="0.0%"/>
    <numFmt numFmtId="166" formatCode="0.0"/>
    <numFmt numFmtId="167" formatCode="0.000000"/>
    <numFmt numFmtId="168" formatCode="0.0000%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8.5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9"/>
      <color rgb="FF1F3864"/>
      <name val="Arial"/>
      <family val="2"/>
    </font>
    <font>
      <b/>
      <sz val="10"/>
      <color rgb="FF008000"/>
      <name val="Arial"/>
      <family val="2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2F9"/>
        <bgColor rgb="FFF2F2F2"/>
      </patternFill>
    </fill>
    <fill>
      <patternFill patternType="solid">
        <fgColor rgb="FF2F5597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F2F9"/>
      </patternFill>
    </fill>
    <fill>
      <patternFill patternType="solid">
        <fgColor rgb="FFFFD966"/>
        <bgColor rgb="FFFFFF99"/>
      </patternFill>
    </fill>
    <fill>
      <patternFill patternType="solid">
        <fgColor rgb="FFE2EFDA"/>
        <bgColor rgb="FFE7EDF7"/>
      </patternFill>
    </fill>
    <fill>
      <patternFill patternType="solid">
        <fgColor rgb="FFE7EDF7"/>
        <bgColor rgb="FFEDF2F9"/>
      </patternFill>
    </fill>
  </fills>
  <borders count="3">
    <border>
      <left/>
      <right/>
      <top/>
      <bottom/>
      <diagonal/>
    </border>
    <border>
      <left style="thin">
        <color rgb="FFBFC9DA"/>
      </left>
      <right style="thin">
        <color rgb="FFBFC9DA"/>
      </right>
      <top style="thin">
        <color rgb="FFBFC9DA"/>
      </top>
      <bottom style="thin">
        <color rgb="FFBFC9DA"/>
      </bottom>
      <diagonal/>
    </border>
    <border>
      <left style="thin">
        <color rgb="FFBFC9DA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indent="1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 indent="1"/>
    </xf>
    <xf numFmtId="166" fontId="6" fillId="7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0" borderId="0" xfId="0" applyFont="1"/>
    <xf numFmtId="167" fontId="12" fillId="0" borderId="0" xfId="0" applyNumberFormat="1" applyFont="1"/>
    <xf numFmtId="0" fontId="13" fillId="2" borderId="0" xfId="0" applyFont="1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8" fontId="0" fillId="0" borderId="0" xfId="0" applyNumberFormat="1"/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/>
    </xf>
    <xf numFmtId="1" fontId="5" fillId="6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A"/>
      <rgbColor rgb="FF878787"/>
      <rgbColor rgb="FF9999FF"/>
      <rgbColor rgb="FFBE4B48"/>
      <rgbColor rgb="FFF2F2F2"/>
      <rgbColor rgb="FFE7ED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9"/>
      <rgbColor rgb="FFE2EFDA"/>
      <rgbColor rgb="FFFFFF99"/>
      <rgbColor rgb="FFD9E2F3"/>
      <rgbColor rgb="FFFF99CC"/>
      <rgbColor rgb="FFCC99FF"/>
      <rgbColor rgb="FFFFD96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lang="en-AU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Portfolio over time</a:t>
            </a:r>
          </a:p>
        </c:rich>
      </c:tx>
      <c:layout>
        <c:manualLayout>
          <c:xMode val="edge"/>
          <c:yMode val="edge"/>
          <c:x val="0.41005238114278902"/>
          <c:y val="1.5914064054107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Strategy 1 — rent first, buy later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Calc1!$B$5:$B$688</c:f>
              <c:numCache>
                <c:formatCode>0.00</c:formatCode>
                <c:ptCount val="684"/>
                <c:pt idx="0">
                  <c:v>18.054794520547944</c:v>
                </c:pt>
                <c:pt idx="1">
                  <c:v>18.138127853881276</c:v>
                </c:pt>
                <c:pt idx="2">
                  <c:v>18.221461187214608</c:v>
                </c:pt>
                <c:pt idx="3">
                  <c:v>18.30479452054794</c:v>
                </c:pt>
                <c:pt idx="4">
                  <c:v>18.388127853881272</c:v>
                </c:pt>
                <c:pt idx="5">
                  <c:v>18.471461187214604</c:v>
                </c:pt>
                <c:pt idx="6">
                  <c:v>18.554794520547937</c:v>
                </c:pt>
                <c:pt idx="7">
                  <c:v>18.638127853881269</c:v>
                </c:pt>
                <c:pt idx="8">
                  <c:v>18.721461187214601</c:v>
                </c:pt>
                <c:pt idx="9">
                  <c:v>18.804794520547933</c:v>
                </c:pt>
                <c:pt idx="10">
                  <c:v>18.888127853881265</c:v>
                </c:pt>
                <c:pt idx="11">
                  <c:v>18.971461187214597</c:v>
                </c:pt>
                <c:pt idx="12">
                  <c:v>19.054794520547929</c:v>
                </c:pt>
                <c:pt idx="13">
                  <c:v>19.138127853881262</c:v>
                </c:pt>
                <c:pt idx="14">
                  <c:v>19.221461187214594</c:v>
                </c:pt>
                <c:pt idx="15">
                  <c:v>19.304794520547926</c:v>
                </c:pt>
                <c:pt idx="16">
                  <c:v>19.388127853881258</c:v>
                </c:pt>
                <c:pt idx="17">
                  <c:v>19.47146118721459</c:v>
                </c:pt>
                <c:pt idx="18">
                  <c:v>19.554794520547922</c:v>
                </c:pt>
                <c:pt idx="19">
                  <c:v>19.638127853881254</c:v>
                </c:pt>
                <c:pt idx="20">
                  <c:v>19.721461187214587</c:v>
                </c:pt>
                <c:pt idx="21">
                  <c:v>19.804794520547919</c:v>
                </c:pt>
                <c:pt idx="22">
                  <c:v>19.888127853881251</c:v>
                </c:pt>
                <c:pt idx="23">
                  <c:v>19.971461187214583</c:v>
                </c:pt>
                <c:pt idx="24">
                  <c:v>20.054794520547915</c:v>
                </c:pt>
                <c:pt idx="25">
                  <c:v>20.138127853881247</c:v>
                </c:pt>
                <c:pt idx="26">
                  <c:v>20.22146118721458</c:v>
                </c:pt>
                <c:pt idx="27">
                  <c:v>20.304794520547912</c:v>
                </c:pt>
                <c:pt idx="28">
                  <c:v>20.388127853881244</c:v>
                </c:pt>
                <c:pt idx="29">
                  <c:v>20.471461187214576</c:v>
                </c:pt>
                <c:pt idx="30">
                  <c:v>20.554794520547908</c:v>
                </c:pt>
                <c:pt idx="31">
                  <c:v>20.63812785388124</c:v>
                </c:pt>
                <c:pt idx="32">
                  <c:v>20.721461187214572</c:v>
                </c:pt>
                <c:pt idx="33">
                  <c:v>20.804794520547905</c:v>
                </c:pt>
                <c:pt idx="34">
                  <c:v>20.888127853881237</c:v>
                </c:pt>
                <c:pt idx="35">
                  <c:v>20.971461187214569</c:v>
                </c:pt>
                <c:pt idx="36">
                  <c:v>21.054794520547901</c:v>
                </c:pt>
                <c:pt idx="37">
                  <c:v>21.138127853881233</c:v>
                </c:pt>
                <c:pt idx="38">
                  <c:v>21.221461187214565</c:v>
                </c:pt>
                <c:pt idx="39">
                  <c:v>21.304794520547897</c:v>
                </c:pt>
                <c:pt idx="40">
                  <c:v>21.38812785388123</c:v>
                </c:pt>
                <c:pt idx="41">
                  <c:v>21.471461187214562</c:v>
                </c:pt>
                <c:pt idx="42">
                  <c:v>21.554794520547894</c:v>
                </c:pt>
                <c:pt idx="43">
                  <c:v>21.638127853881226</c:v>
                </c:pt>
                <c:pt idx="44">
                  <c:v>21.721461187214558</c:v>
                </c:pt>
                <c:pt idx="45">
                  <c:v>21.80479452054789</c:v>
                </c:pt>
                <c:pt idx="46">
                  <c:v>21.888127853881223</c:v>
                </c:pt>
                <c:pt idx="47">
                  <c:v>21.971461187214555</c:v>
                </c:pt>
                <c:pt idx="48">
                  <c:v>22.054794520547887</c:v>
                </c:pt>
                <c:pt idx="49">
                  <c:v>22.138127853881219</c:v>
                </c:pt>
                <c:pt idx="50">
                  <c:v>22.221461187214551</c:v>
                </c:pt>
                <c:pt idx="51">
                  <c:v>22.304794520547883</c:v>
                </c:pt>
                <c:pt idx="52">
                  <c:v>22.388127853881215</c:v>
                </c:pt>
                <c:pt idx="53">
                  <c:v>22.471461187214548</c:v>
                </c:pt>
                <c:pt idx="54">
                  <c:v>22.55479452054788</c:v>
                </c:pt>
                <c:pt idx="55">
                  <c:v>22.638127853881212</c:v>
                </c:pt>
                <c:pt idx="56">
                  <c:v>22.721461187214544</c:v>
                </c:pt>
                <c:pt idx="57">
                  <c:v>22.804794520547876</c:v>
                </c:pt>
                <c:pt idx="58">
                  <c:v>22.888127853881208</c:v>
                </c:pt>
                <c:pt idx="59">
                  <c:v>22.97146118721454</c:v>
                </c:pt>
                <c:pt idx="60">
                  <c:v>23.054794520547873</c:v>
                </c:pt>
                <c:pt idx="61">
                  <c:v>23.138127853881205</c:v>
                </c:pt>
                <c:pt idx="62">
                  <c:v>23.221461187214537</c:v>
                </c:pt>
                <c:pt idx="63">
                  <c:v>23.304794520547869</c:v>
                </c:pt>
                <c:pt idx="64">
                  <c:v>23.388127853881201</c:v>
                </c:pt>
                <c:pt idx="65">
                  <c:v>23.471461187214533</c:v>
                </c:pt>
                <c:pt idx="66">
                  <c:v>23.554794520547865</c:v>
                </c:pt>
                <c:pt idx="67">
                  <c:v>23.638127853881198</c:v>
                </c:pt>
                <c:pt idx="68">
                  <c:v>23.72146118721453</c:v>
                </c:pt>
                <c:pt idx="69">
                  <c:v>23.804794520547862</c:v>
                </c:pt>
                <c:pt idx="70">
                  <c:v>23.888127853881194</c:v>
                </c:pt>
                <c:pt idx="71">
                  <c:v>23.971461187214526</c:v>
                </c:pt>
                <c:pt idx="72">
                  <c:v>24.054794520547858</c:v>
                </c:pt>
                <c:pt idx="73">
                  <c:v>24.138127853881191</c:v>
                </c:pt>
                <c:pt idx="74">
                  <c:v>24.221461187214523</c:v>
                </c:pt>
                <c:pt idx="75">
                  <c:v>24.304794520547855</c:v>
                </c:pt>
                <c:pt idx="76">
                  <c:v>24.388127853881187</c:v>
                </c:pt>
                <c:pt idx="77">
                  <c:v>24.471461187214519</c:v>
                </c:pt>
                <c:pt idx="78">
                  <c:v>24.554794520547851</c:v>
                </c:pt>
                <c:pt idx="79">
                  <c:v>24.638127853881183</c:v>
                </c:pt>
                <c:pt idx="80">
                  <c:v>24.721461187214516</c:v>
                </c:pt>
                <c:pt idx="81">
                  <c:v>24.804794520547848</c:v>
                </c:pt>
                <c:pt idx="82">
                  <c:v>24.88812785388118</c:v>
                </c:pt>
                <c:pt idx="83">
                  <c:v>24.971461187214512</c:v>
                </c:pt>
                <c:pt idx="84">
                  <c:v>25.054794520547844</c:v>
                </c:pt>
                <c:pt idx="85">
                  <c:v>25.138127853881176</c:v>
                </c:pt>
                <c:pt idx="86">
                  <c:v>25.221461187214508</c:v>
                </c:pt>
                <c:pt idx="87">
                  <c:v>25.304794520547841</c:v>
                </c:pt>
                <c:pt idx="88">
                  <c:v>25.388127853881173</c:v>
                </c:pt>
                <c:pt idx="89">
                  <c:v>25.471461187214505</c:v>
                </c:pt>
                <c:pt idx="90">
                  <c:v>25.554794520547837</c:v>
                </c:pt>
                <c:pt idx="91">
                  <c:v>25.638127853881169</c:v>
                </c:pt>
                <c:pt idx="92">
                  <c:v>25.721461187214501</c:v>
                </c:pt>
                <c:pt idx="93">
                  <c:v>25.804794520547834</c:v>
                </c:pt>
                <c:pt idx="94">
                  <c:v>25.888127853881166</c:v>
                </c:pt>
                <c:pt idx="95">
                  <c:v>25.971461187214498</c:v>
                </c:pt>
                <c:pt idx="96">
                  <c:v>26.05479452054783</c:v>
                </c:pt>
                <c:pt idx="97">
                  <c:v>26.138127853881162</c:v>
                </c:pt>
                <c:pt idx="98">
                  <c:v>26.221461187214494</c:v>
                </c:pt>
                <c:pt idx="99">
                  <c:v>26.304794520547826</c:v>
                </c:pt>
                <c:pt idx="100">
                  <c:v>26.388127853881159</c:v>
                </c:pt>
                <c:pt idx="101">
                  <c:v>26.471461187214491</c:v>
                </c:pt>
                <c:pt idx="102">
                  <c:v>26.554794520547823</c:v>
                </c:pt>
                <c:pt idx="103">
                  <c:v>26.638127853881155</c:v>
                </c:pt>
                <c:pt idx="104">
                  <c:v>26.721461187214487</c:v>
                </c:pt>
                <c:pt idx="105">
                  <c:v>26.804794520547819</c:v>
                </c:pt>
                <c:pt idx="106">
                  <c:v>26.888127853881151</c:v>
                </c:pt>
                <c:pt idx="107">
                  <c:v>26.971461187214484</c:v>
                </c:pt>
                <c:pt idx="108">
                  <c:v>27.054794520547816</c:v>
                </c:pt>
                <c:pt idx="109">
                  <c:v>27.138127853881148</c:v>
                </c:pt>
                <c:pt idx="110">
                  <c:v>27.22146118721448</c:v>
                </c:pt>
                <c:pt idx="111">
                  <c:v>27.304794520547812</c:v>
                </c:pt>
                <c:pt idx="112">
                  <c:v>27.388127853881144</c:v>
                </c:pt>
                <c:pt idx="113">
                  <c:v>27.471461187214476</c:v>
                </c:pt>
                <c:pt idx="114">
                  <c:v>27.554794520547809</c:v>
                </c:pt>
                <c:pt idx="115">
                  <c:v>27.638127853881141</c:v>
                </c:pt>
                <c:pt idx="116">
                  <c:v>27.721461187214473</c:v>
                </c:pt>
                <c:pt idx="117">
                  <c:v>27.804794520547805</c:v>
                </c:pt>
                <c:pt idx="118">
                  <c:v>27.888127853881137</c:v>
                </c:pt>
                <c:pt idx="119">
                  <c:v>27.971461187214469</c:v>
                </c:pt>
                <c:pt idx="120">
                  <c:v>28.054794520547802</c:v>
                </c:pt>
                <c:pt idx="121">
                  <c:v>28.138127853881134</c:v>
                </c:pt>
                <c:pt idx="122">
                  <c:v>28.221461187214466</c:v>
                </c:pt>
                <c:pt idx="123">
                  <c:v>28.304794520547798</c:v>
                </c:pt>
                <c:pt idx="124">
                  <c:v>28.38812785388113</c:v>
                </c:pt>
                <c:pt idx="125">
                  <c:v>28.471461187214462</c:v>
                </c:pt>
                <c:pt idx="126">
                  <c:v>28.554794520547794</c:v>
                </c:pt>
                <c:pt idx="127">
                  <c:v>28.638127853881127</c:v>
                </c:pt>
                <c:pt idx="128">
                  <c:v>28.721461187214459</c:v>
                </c:pt>
                <c:pt idx="129">
                  <c:v>28.804794520547791</c:v>
                </c:pt>
                <c:pt idx="130">
                  <c:v>28.888127853881123</c:v>
                </c:pt>
                <c:pt idx="131">
                  <c:v>28.971461187214455</c:v>
                </c:pt>
                <c:pt idx="132">
                  <c:v>29.054794520547787</c:v>
                </c:pt>
                <c:pt idx="133">
                  <c:v>29.138127853881119</c:v>
                </c:pt>
                <c:pt idx="134">
                  <c:v>29.221461187214452</c:v>
                </c:pt>
                <c:pt idx="135">
                  <c:v>29.304794520547784</c:v>
                </c:pt>
                <c:pt idx="136">
                  <c:v>29.388127853881116</c:v>
                </c:pt>
                <c:pt idx="137">
                  <c:v>29.471461187214448</c:v>
                </c:pt>
                <c:pt idx="138">
                  <c:v>29.55479452054778</c:v>
                </c:pt>
                <c:pt idx="139">
                  <c:v>29.638127853881112</c:v>
                </c:pt>
                <c:pt idx="140">
                  <c:v>29.721461187214445</c:v>
                </c:pt>
                <c:pt idx="141">
                  <c:v>29.804794520547777</c:v>
                </c:pt>
                <c:pt idx="142">
                  <c:v>29.888127853881109</c:v>
                </c:pt>
                <c:pt idx="143">
                  <c:v>29.971461187214441</c:v>
                </c:pt>
                <c:pt idx="144">
                  <c:v>30.054794520547773</c:v>
                </c:pt>
                <c:pt idx="145">
                  <c:v>30.138127853881105</c:v>
                </c:pt>
                <c:pt idx="146">
                  <c:v>30.221461187214437</c:v>
                </c:pt>
                <c:pt idx="147">
                  <c:v>30.30479452054777</c:v>
                </c:pt>
                <c:pt idx="148">
                  <c:v>30.388127853881102</c:v>
                </c:pt>
                <c:pt idx="149">
                  <c:v>30.471461187214434</c:v>
                </c:pt>
                <c:pt idx="150">
                  <c:v>30.554794520547766</c:v>
                </c:pt>
                <c:pt idx="151">
                  <c:v>30.638127853881098</c:v>
                </c:pt>
                <c:pt idx="152">
                  <c:v>30.72146118721443</c:v>
                </c:pt>
                <c:pt idx="153">
                  <c:v>30.804794520547762</c:v>
                </c:pt>
                <c:pt idx="154">
                  <c:v>30.888127853881095</c:v>
                </c:pt>
                <c:pt idx="155">
                  <c:v>30.971461187214427</c:v>
                </c:pt>
                <c:pt idx="156">
                  <c:v>31.054794520547759</c:v>
                </c:pt>
                <c:pt idx="157">
                  <c:v>31.138127853881091</c:v>
                </c:pt>
                <c:pt idx="158">
                  <c:v>31.221461187214423</c:v>
                </c:pt>
                <c:pt idx="159">
                  <c:v>31.304794520547755</c:v>
                </c:pt>
                <c:pt idx="160">
                  <c:v>31.388127853881088</c:v>
                </c:pt>
                <c:pt idx="161">
                  <c:v>31.47146118721442</c:v>
                </c:pt>
                <c:pt idx="162">
                  <c:v>31.554794520547752</c:v>
                </c:pt>
                <c:pt idx="163">
                  <c:v>31.638127853881084</c:v>
                </c:pt>
                <c:pt idx="164">
                  <c:v>31.721461187214416</c:v>
                </c:pt>
                <c:pt idx="165">
                  <c:v>31.804794520547748</c:v>
                </c:pt>
                <c:pt idx="166">
                  <c:v>31.88812785388108</c:v>
                </c:pt>
                <c:pt idx="167">
                  <c:v>31.971461187214413</c:v>
                </c:pt>
                <c:pt idx="168">
                  <c:v>32.054794520547745</c:v>
                </c:pt>
                <c:pt idx="169">
                  <c:v>32.13812785388108</c:v>
                </c:pt>
                <c:pt idx="170">
                  <c:v>32.221461187214416</c:v>
                </c:pt>
                <c:pt idx="171">
                  <c:v>32.304794520547752</c:v>
                </c:pt>
                <c:pt idx="172">
                  <c:v>32.388127853881088</c:v>
                </c:pt>
                <c:pt idx="173">
                  <c:v>32.471461187214423</c:v>
                </c:pt>
                <c:pt idx="174">
                  <c:v>32.554794520547759</c:v>
                </c:pt>
                <c:pt idx="175">
                  <c:v>32.638127853881095</c:v>
                </c:pt>
                <c:pt idx="176">
                  <c:v>32.72146118721443</c:v>
                </c:pt>
                <c:pt idx="177">
                  <c:v>32.804794520547766</c:v>
                </c:pt>
                <c:pt idx="178">
                  <c:v>32.888127853881102</c:v>
                </c:pt>
                <c:pt idx="179">
                  <c:v>32.971461187214437</c:v>
                </c:pt>
                <c:pt idx="180">
                  <c:v>33.054794520547773</c:v>
                </c:pt>
                <c:pt idx="181">
                  <c:v>33.138127853881109</c:v>
                </c:pt>
                <c:pt idx="182">
                  <c:v>33.221461187214445</c:v>
                </c:pt>
                <c:pt idx="183">
                  <c:v>33.30479452054778</c:v>
                </c:pt>
                <c:pt idx="184">
                  <c:v>33.388127853881116</c:v>
                </c:pt>
                <c:pt idx="185">
                  <c:v>33.471461187214452</c:v>
                </c:pt>
                <c:pt idx="186">
                  <c:v>33.554794520547787</c:v>
                </c:pt>
                <c:pt idx="187">
                  <c:v>33.638127853881123</c:v>
                </c:pt>
                <c:pt idx="188">
                  <c:v>33.721461187214459</c:v>
                </c:pt>
                <c:pt idx="189">
                  <c:v>33.804794520547794</c:v>
                </c:pt>
                <c:pt idx="190">
                  <c:v>33.88812785388113</c:v>
                </c:pt>
                <c:pt idx="191">
                  <c:v>33.971461187214466</c:v>
                </c:pt>
                <c:pt idx="192">
                  <c:v>34.054794520547802</c:v>
                </c:pt>
                <c:pt idx="193">
                  <c:v>34.138127853881137</c:v>
                </c:pt>
                <c:pt idx="194">
                  <c:v>34.221461187214473</c:v>
                </c:pt>
                <c:pt idx="195">
                  <c:v>34.304794520547809</c:v>
                </c:pt>
                <c:pt idx="196">
                  <c:v>34.388127853881144</c:v>
                </c:pt>
                <c:pt idx="197">
                  <c:v>34.47146118721448</c:v>
                </c:pt>
                <c:pt idx="198">
                  <c:v>34.554794520547816</c:v>
                </c:pt>
                <c:pt idx="199">
                  <c:v>34.638127853881151</c:v>
                </c:pt>
                <c:pt idx="200">
                  <c:v>34.721461187214487</c:v>
                </c:pt>
                <c:pt idx="201">
                  <c:v>34.804794520547823</c:v>
                </c:pt>
                <c:pt idx="202">
                  <c:v>34.888127853881159</c:v>
                </c:pt>
                <c:pt idx="203">
                  <c:v>34.971461187214494</c:v>
                </c:pt>
                <c:pt idx="204">
                  <c:v>35.05479452054783</c:v>
                </c:pt>
                <c:pt idx="205">
                  <c:v>35.138127853881166</c:v>
                </c:pt>
                <c:pt idx="206">
                  <c:v>35.221461187214501</c:v>
                </c:pt>
                <c:pt idx="207">
                  <c:v>35.304794520547837</c:v>
                </c:pt>
                <c:pt idx="208">
                  <c:v>35.388127853881173</c:v>
                </c:pt>
                <c:pt idx="209">
                  <c:v>35.471461187214508</c:v>
                </c:pt>
                <c:pt idx="210">
                  <c:v>35.554794520547844</c:v>
                </c:pt>
                <c:pt idx="211">
                  <c:v>35.63812785388118</c:v>
                </c:pt>
                <c:pt idx="212">
                  <c:v>35.721461187214516</c:v>
                </c:pt>
                <c:pt idx="213">
                  <c:v>35.804794520547851</c:v>
                </c:pt>
                <c:pt idx="214">
                  <c:v>35.888127853881187</c:v>
                </c:pt>
                <c:pt idx="215">
                  <c:v>35.971461187214523</c:v>
                </c:pt>
                <c:pt idx="216">
                  <c:v>36.054794520547858</c:v>
                </c:pt>
                <c:pt idx="217">
                  <c:v>36.138127853881194</c:v>
                </c:pt>
                <c:pt idx="218">
                  <c:v>36.22146118721453</c:v>
                </c:pt>
                <c:pt idx="219">
                  <c:v>36.304794520547865</c:v>
                </c:pt>
                <c:pt idx="220">
                  <c:v>36.388127853881201</c:v>
                </c:pt>
                <c:pt idx="221">
                  <c:v>36.471461187214537</c:v>
                </c:pt>
                <c:pt idx="222">
                  <c:v>36.554794520547873</c:v>
                </c:pt>
                <c:pt idx="223">
                  <c:v>36.638127853881208</c:v>
                </c:pt>
                <c:pt idx="224">
                  <c:v>36.721461187214544</c:v>
                </c:pt>
                <c:pt idx="225">
                  <c:v>36.80479452054788</c:v>
                </c:pt>
                <c:pt idx="226">
                  <c:v>36.888127853881215</c:v>
                </c:pt>
                <c:pt idx="227">
                  <c:v>36.971461187214551</c:v>
                </c:pt>
                <c:pt idx="228">
                  <c:v>37.054794520547887</c:v>
                </c:pt>
                <c:pt idx="229">
                  <c:v>37.138127853881223</c:v>
                </c:pt>
                <c:pt idx="230">
                  <c:v>37.221461187214558</c:v>
                </c:pt>
                <c:pt idx="231">
                  <c:v>37.304794520547894</c:v>
                </c:pt>
                <c:pt idx="232">
                  <c:v>37.38812785388123</c:v>
                </c:pt>
                <c:pt idx="233">
                  <c:v>37.471461187214565</c:v>
                </c:pt>
                <c:pt idx="234">
                  <c:v>37.554794520547901</c:v>
                </c:pt>
                <c:pt idx="235">
                  <c:v>37.638127853881237</c:v>
                </c:pt>
                <c:pt idx="236">
                  <c:v>37.721461187214572</c:v>
                </c:pt>
                <c:pt idx="237">
                  <c:v>37.804794520547908</c:v>
                </c:pt>
                <c:pt idx="238">
                  <c:v>37.888127853881244</c:v>
                </c:pt>
                <c:pt idx="239">
                  <c:v>37.97146118721458</c:v>
                </c:pt>
                <c:pt idx="240">
                  <c:v>38.054794520547915</c:v>
                </c:pt>
                <c:pt idx="241">
                  <c:v>38.138127853881251</c:v>
                </c:pt>
                <c:pt idx="242">
                  <c:v>38.221461187214587</c:v>
                </c:pt>
                <c:pt idx="243">
                  <c:v>38.304794520547922</c:v>
                </c:pt>
                <c:pt idx="244">
                  <c:v>38.388127853881258</c:v>
                </c:pt>
                <c:pt idx="245">
                  <c:v>38.471461187214594</c:v>
                </c:pt>
                <c:pt idx="246">
                  <c:v>38.554794520547929</c:v>
                </c:pt>
                <c:pt idx="247">
                  <c:v>38.638127853881265</c:v>
                </c:pt>
                <c:pt idx="248">
                  <c:v>38.721461187214601</c:v>
                </c:pt>
                <c:pt idx="249">
                  <c:v>38.804794520547937</c:v>
                </c:pt>
                <c:pt idx="250">
                  <c:v>38.888127853881272</c:v>
                </c:pt>
                <c:pt idx="251">
                  <c:v>38.971461187214608</c:v>
                </c:pt>
                <c:pt idx="252">
                  <c:v>39.054794520547944</c:v>
                </c:pt>
                <c:pt idx="253">
                  <c:v>39.138127853881279</c:v>
                </c:pt>
                <c:pt idx="254">
                  <c:v>39.221461187214615</c:v>
                </c:pt>
                <c:pt idx="255">
                  <c:v>39.304794520547951</c:v>
                </c:pt>
                <c:pt idx="256">
                  <c:v>39.388127853881286</c:v>
                </c:pt>
                <c:pt idx="257">
                  <c:v>39.471461187214622</c:v>
                </c:pt>
                <c:pt idx="258">
                  <c:v>39.554794520547958</c:v>
                </c:pt>
                <c:pt idx="259">
                  <c:v>39.638127853881294</c:v>
                </c:pt>
                <c:pt idx="260">
                  <c:v>39.721461187214629</c:v>
                </c:pt>
                <c:pt idx="261">
                  <c:v>39.804794520547965</c:v>
                </c:pt>
                <c:pt idx="262">
                  <c:v>39.888127853881301</c:v>
                </c:pt>
                <c:pt idx="263">
                  <c:v>39.971461187214636</c:v>
                </c:pt>
                <c:pt idx="264">
                  <c:v>40.054794520547972</c:v>
                </c:pt>
                <c:pt idx="265">
                  <c:v>40.138127853881308</c:v>
                </c:pt>
                <c:pt idx="266">
                  <c:v>40.221461187214643</c:v>
                </c:pt>
                <c:pt idx="267">
                  <c:v>40.304794520547979</c:v>
                </c:pt>
                <c:pt idx="268">
                  <c:v>40.388127853881315</c:v>
                </c:pt>
                <c:pt idx="269">
                  <c:v>40.471461187214651</c:v>
                </c:pt>
                <c:pt idx="270">
                  <c:v>40.554794520547986</c:v>
                </c:pt>
                <c:pt idx="271">
                  <c:v>40.638127853881322</c:v>
                </c:pt>
                <c:pt idx="272">
                  <c:v>40.721461187214658</c:v>
                </c:pt>
                <c:pt idx="273">
                  <c:v>40.804794520547993</c:v>
                </c:pt>
                <c:pt idx="274">
                  <c:v>40.888127853881329</c:v>
                </c:pt>
                <c:pt idx="275">
                  <c:v>40.971461187214665</c:v>
                </c:pt>
                <c:pt idx="276">
                  <c:v>41.054794520548</c:v>
                </c:pt>
                <c:pt idx="277">
                  <c:v>41.138127853881336</c:v>
                </c:pt>
                <c:pt idx="278">
                  <c:v>41.221461187214672</c:v>
                </c:pt>
                <c:pt idx="279">
                  <c:v>41.304794520548008</c:v>
                </c:pt>
                <c:pt idx="280">
                  <c:v>41.388127853881343</c:v>
                </c:pt>
                <c:pt idx="281">
                  <c:v>41.471461187214679</c:v>
                </c:pt>
                <c:pt idx="282">
                  <c:v>41.554794520548015</c:v>
                </c:pt>
                <c:pt idx="283">
                  <c:v>41.63812785388135</c:v>
                </c:pt>
                <c:pt idx="284">
                  <c:v>41.721461187214686</c:v>
                </c:pt>
                <c:pt idx="285">
                  <c:v>41.804794520548022</c:v>
                </c:pt>
                <c:pt idx="286">
                  <c:v>41.888127853881358</c:v>
                </c:pt>
                <c:pt idx="287">
                  <c:v>41.971461187214693</c:v>
                </c:pt>
                <c:pt idx="288">
                  <c:v>42.054794520548029</c:v>
                </c:pt>
                <c:pt idx="289">
                  <c:v>42.138127853881365</c:v>
                </c:pt>
                <c:pt idx="290">
                  <c:v>42.2214611872147</c:v>
                </c:pt>
                <c:pt idx="291">
                  <c:v>42.304794520548036</c:v>
                </c:pt>
                <c:pt idx="292">
                  <c:v>42.388127853881372</c:v>
                </c:pt>
                <c:pt idx="293">
                  <c:v>42.471461187214707</c:v>
                </c:pt>
                <c:pt idx="294">
                  <c:v>42.554794520548043</c:v>
                </c:pt>
                <c:pt idx="295">
                  <c:v>42.638127853881379</c:v>
                </c:pt>
                <c:pt idx="296">
                  <c:v>42.721461187214715</c:v>
                </c:pt>
                <c:pt idx="297">
                  <c:v>42.80479452054805</c:v>
                </c:pt>
                <c:pt idx="298">
                  <c:v>42.888127853881386</c:v>
                </c:pt>
                <c:pt idx="299">
                  <c:v>42.971461187214722</c:v>
                </c:pt>
                <c:pt idx="300">
                  <c:v>43.054794520548057</c:v>
                </c:pt>
                <c:pt idx="301">
                  <c:v>43.138127853881393</c:v>
                </c:pt>
                <c:pt idx="302">
                  <c:v>43.221461187214729</c:v>
                </c:pt>
                <c:pt idx="303">
                  <c:v>43.304794520548064</c:v>
                </c:pt>
                <c:pt idx="304">
                  <c:v>43.3881278538814</c:v>
                </c:pt>
                <c:pt idx="305">
                  <c:v>43.471461187214736</c:v>
                </c:pt>
                <c:pt idx="306">
                  <c:v>43.554794520548072</c:v>
                </c:pt>
                <c:pt idx="307">
                  <c:v>43.638127853881407</c:v>
                </c:pt>
                <c:pt idx="308">
                  <c:v>43.721461187214743</c:v>
                </c:pt>
                <c:pt idx="309">
                  <c:v>43.804794520548079</c:v>
                </c:pt>
                <c:pt idx="310">
                  <c:v>43.888127853881414</c:v>
                </c:pt>
                <c:pt idx="311">
                  <c:v>43.97146118721475</c:v>
                </c:pt>
                <c:pt idx="312">
                  <c:v>44.054794520548086</c:v>
                </c:pt>
                <c:pt idx="313">
                  <c:v>44.138127853881421</c:v>
                </c:pt>
                <c:pt idx="314">
                  <c:v>44.221461187214757</c:v>
                </c:pt>
                <c:pt idx="315">
                  <c:v>44.304794520548093</c:v>
                </c:pt>
                <c:pt idx="316">
                  <c:v>44.388127853881429</c:v>
                </c:pt>
                <c:pt idx="317">
                  <c:v>44.471461187214764</c:v>
                </c:pt>
                <c:pt idx="318">
                  <c:v>44.5547945205481</c:v>
                </c:pt>
                <c:pt idx="319">
                  <c:v>44.638127853881436</c:v>
                </c:pt>
                <c:pt idx="320">
                  <c:v>44.721461187214771</c:v>
                </c:pt>
                <c:pt idx="321">
                  <c:v>44.804794520548107</c:v>
                </c:pt>
                <c:pt idx="322">
                  <c:v>44.888127853881443</c:v>
                </c:pt>
                <c:pt idx="323">
                  <c:v>44.971461187214778</c:v>
                </c:pt>
                <c:pt idx="324">
                  <c:v>45.054794520548114</c:v>
                </c:pt>
                <c:pt idx="325">
                  <c:v>45.13812785388145</c:v>
                </c:pt>
                <c:pt idx="326">
                  <c:v>45.221461187214786</c:v>
                </c:pt>
                <c:pt idx="327">
                  <c:v>45.304794520548121</c:v>
                </c:pt>
                <c:pt idx="328">
                  <c:v>45.388127853881457</c:v>
                </c:pt>
                <c:pt idx="329">
                  <c:v>45.471461187214793</c:v>
                </c:pt>
                <c:pt idx="330">
                  <c:v>45.554794520548128</c:v>
                </c:pt>
                <c:pt idx="331">
                  <c:v>45.638127853881464</c:v>
                </c:pt>
                <c:pt idx="332">
                  <c:v>45.7214611872148</c:v>
                </c:pt>
                <c:pt idx="333">
                  <c:v>45.804794520548135</c:v>
                </c:pt>
                <c:pt idx="334">
                  <c:v>45.888127853881471</c:v>
                </c:pt>
                <c:pt idx="335">
                  <c:v>45.971461187214807</c:v>
                </c:pt>
                <c:pt idx="336">
                  <c:v>46.054794520548143</c:v>
                </c:pt>
                <c:pt idx="337">
                  <c:v>46.138127853881478</c:v>
                </c:pt>
                <c:pt idx="338">
                  <c:v>46.221461187214814</c:v>
                </c:pt>
                <c:pt idx="339">
                  <c:v>46.30479452054815</c:v>
                </c:pt>
                <c:pt idx="340">
                  <c:v>46.388127853881485</c:v>
                </c:pt>
                <c:pt idx="341">
                  <c:v>46.471461187214821</c:v>
                </c:pt>
                <c:pt idx="342">
                  <c:v>46.554794520548157</c:v>
                </c:pt>
                <c:pt idx="343">
                  <c:v>46.638127853881493</c:v>
                </c:pt>
                <c:pt idx="344">
                  <c:v>46.721461187214828</c:v>
                </c:pt>
                <c:pt idx="345">
                  <c:v>46.804794520548164</c:v>
                </c:pt>
                <c:pt idx="346">
                  <c:v>46.8881278538815</c:v>
                </c:pt>
                <c:pt idx="347">
                  <c:v>46.971461187214835</c:v>
                </c:pt>
                <c:pt idx="348">
                  <c:v>47.054794520548171</c:v>
                </c:pt>
                <c:pt idx="349">
                  <c:v>47.138127853881507</c:v>
                </c:pt>
                <c:pt idx="350">
                  <c:v>47.221461187214842</c:v>
                </c:pt>
                <c:pt idx="351">
                  <c:v>47.304794520548178</c:v>
                </c:pt>
                <c:pt idx="352">
                  <c:v>47.388127853881514</c:v>
                </c:pt>
                <c:pt idx="353">
                  <c:v>47.47146118721485</c:v>
                </c:pt>
                <c:pt idx="354">
                  <c:v>47.554794520548185</c:v>
                </c:pt>
                <c:pt idx="355">
                  <c:v>47.638127853881521</c:v>
                </c:pt>
                <c:pt idx="356">
                  <c:v>47.721461187214857</c:v>
                </c:pt>
                <c:pt idx="357">
                  <c:v>47.804794520548192</c:v>
                </c:pt>
                <c:pt idx="358">
                  <c:v>47.888127853881528</c:v>
                </c:pt>
                <c:pt idx="359">
                  <c:v>47.971461187214864</c:v>
                </c:pt>
                <c:pt idx="360">
                  <c:v>48.054794520548199</c:v>
                </c:pt>
                <c:pt idx="361">
                  <c:v>48.138127853881535</c:v>
                </c:pt>
                <c:pt idx="362">
                  <c:v>48.221461187214871</c:v>
                </c:pt>
                <c:pt idx="363">
                  <c:v>48.304794520548207</c:v>
                </c:pt>
                <c:pt idx="364">
                  <c:v>48.388127853881542</c:v>
                </c:pt>
                <c:pt idx="365">
                  <c:v>48.471461187214878</c:v>
                </c:pt>
                <c:pt idx="366">
                  <c:v>48.554794520548214</c:v>
                </c:pt>
                <c:pt idx="367">
                  <c:v>48.638127853881549</c:v>
                </c:pt>
                <c:pt idx="368">
                  <c:v>48.721461187214885</c:v>
                </c:pt>
                <c:pt idx="369">
                  <c:v>48.804794520548221</c:v>
                </c:pt>
                <c:pt idx="370">
                  <c:v>48.888127853881556</c:v>
                </c:pt>
                <c:pt idx="371">
                  <c:v>48.971461187214892</c:v>
                </c:pt>
                <c:pt idx="372">
                  <c:v>49.054794520548228</c:v>
                </c:pt>
                <c:pt idx="373">
                  <c:v>49.138127853881564</c:v>
                </c:pt>
                <c:pt idx="374">
                  <c:v>49.221461187214899</c:v>
                </c:pt>
                <c:pt idx="375">
                  <c:v>49.304794520548235</c:v>
                </c:pt>
                <c:pt idx="376">
                  <c:v>49.388127853881571</c:v>
                </c:pt>
                <c:pt idx="377">
                  <c:v>49.471461187214906</c:v>
                </c:pt>
                <c:pt idx="378">
                  <c:v>49.554794520548242</c:v>
                </c:pt>
                <c:pt idx="379">
                  <c:v>49.638127853881578</c:v>
                </c:pt>
                <c:pt idx="380">
                  <c:v>49.721461187214913</c:v>
                </c:pt>
                <c:pt idx="381">
                  <c:v>49.804794520548249</c:v>
                </c:pt>
                <c:pt idx="382">
                  <c:v>49.888127853881585</c:v>
                </c:pt>
                <c:pt idx="383">
                  <c:v>49.971461187214921</c:v>
                </c:pt>
                <c:pt idx="384">
                  <c:v>50.054794520548256</c:v>
                </c:pt>
                <c:pt idx="385">
                  <c:v>50.138127853881592</c:v>
                </c:pt>
                <c:pt idx="386">
                  <c:v>50.221461187214928</c:v>
                </c:pt>
                <c:pt idx="387">
                  <c:v>50.304794520548263</c:v>
                </c:pt>
                <c:pt idx="388">
                  <c:v>50.388127853881599</c:v>
                </c:pt>
                <c:pt idx="389">
                  <c:v>50.471461187214935</c:v>
                </c:pt>
                <c:pt idx="390">
                  <c:v>50.55479452054827</c:v>
                </c:pt>
                <c:pt idx="391">
                  <c:v>50.638127853881606</c:v>
                </c:pt>
                <c:pt idx="392">
                  <c:v>50.721461187214942</c:v>
                </c:pt>
                <c:pt idx="393">
                  <c:v>50.804794520548278</c:v>
                </c:pt>
                <c:pt idx="394">
                  <c:v>50.888127853881613</c:v>
                </c:pt>
                <c:pt idx="395">
                  <c:v>50.971461187214949</c:v>
                </c:pt>
                <c:pt idx="396">
                  <c:v>51.054794520548285</c:v>
                </c:pt>
                <c:pt idx="397">
                  <c:v>51.13812785388162</c:v>
                </c:pt>
                <c:pt idx="398">
                  <c:v>51.221461187214956</c:v>
                </c:pt>
                <c:pt idx="399">
                  <c:v>51.304794520548292</c:v>
                </c:pt>
                <c:pt idx="400">
                  <c:v>51.388127853881628</c:v>
                </c:pt>
                <c:pt idx="401">
                  <c:v>51.471461187214963</c:v>
                </c:pt>
                <c:pt idx="402">
                  <c:v>51.554794520548299</c:v>
                </c:pt>
                <c:pt idx="403">
                  <c:v>51.638127853881635</c:v>
                </c:pt>
                <c:pt idx="404">
                  <c:v>51.72146118721497</c:v>
                </c:pt>
                <c:pt idx="405">
                  <c:v>51.804794520548306</c:v>
                </c:pt>
                <c:pt idx="406">
                  <c:v>51.888127853881642</c:v>
                </c:pt>
                <c:pt idx="407">
                  <c:v>51.971461187214977</c:v>
                </c:pt>
                <c:pt idx="408">
                  <c:v>52.054794520548313</c:v>
                </c:pt>
                <c:pt idx="409">
                  <c:v>52.138127853881649</c:v>
                </c:pt>
                <c:pt idx="410">
                  <c:v>52.221461187214985</c:v>
                </c:pt>
                <c:pt idx="411">
                  <c:v>52.30479452054832</c:v>
                </c:pt>
                <c:pt idx="412">
                  <c:v>52.388127853881656</c:v>
                </c:pt>
                <c:pt idx="413">
                  <c:v>52.471461187214992</c:v>
                </c:pt>
                <c:pt idx="414">
                  <c:v>52.554794520548327</c:v>
                </c:pt>
                <c:pt idx="415">
                  <c:v>52.638127853881663</c:v>
                </c:pt>
                <c:pt idx="416">
                  <c:v>52.721461187214999</c:v>
                </c:pt>
                <c:pt idx="417">
                  <c:v>52.804794520548334</c:v>
                </c:pt>
                <c:pt idx="418">
                  <c:v>52.88812785388167</c:v>
                </c:pt>
                <c:pt idx="419">
                  <c:v>52.971461187215006</c:v>
                </c:pt>
                <c:pt idx="420">
                  <c:v>53.054794520548342</c:v>
                </c:pt>
                <c:pt idx="421">
                  <c:v>53.138127853881677</c:v>
                </c:pt>
                <c:pt idx="422">
                  <c:v>53.221461187215013</c:v>
                </c:pt>
                <c:pt idx="423">
                  <c:v>53.304794520548349</c:v>
                </c:pt>
                <c:pt idx="424">
                  <c:v>53.388127853881684</c:v>
                </c:pt>
                <c:pt idx="425">
                  <c:v>53.47146118721502</c:v>
                </c:pt>
                <c:pt idx="426">
                  <c:v>53.554794520548356</c:v>
                </c:pt>
                <c:pt idx="427">
                  <c:v>53.638127853881691</c:v>
                </c:pt>
                <c:pt idx="428">
                  <c:v>53.721461187215027</c:v>
                </c:pt>
                <c:pt idx="429">
                  <c:v>53.804794520548363</c:v>
                </c:pt>
                <c:pt idx="430">
                  <c:v>53.888127853881699</c:v>
                </c:pt>
                <c:pt idx="431">
                  <c:v>53.971461187215034</c:v>
                </c:pt>
                <c:pt idx="432">
                  <c:v>54.05479452054837</c:v>
                </c:pt>
                <c:pt idx="433">
                  <c:v>54.138127853881706</c:v>
                </c:pt>
                <c:pt idx="434">
                  <c:v>54.221461187215041</c:v>
                </c:pt>
                <c:pt idx="435">
                  <c:v>54.304794520548377</c:v>
                </c:pt>
                <c:pt idx="436">
                  <c:v>54.388127853881713</c:v>
                </c:pt>
                <c:pt idx="437">
                  <c:v>54.471461187215048</c:v>
                </c:pt>
                <c:pt idx="438">
                  <c:v>54.554794520548384</c:v>
                </c:pt>
                <c:pt idx="439">
                  <c:v>54.63812785388172</c:v>
                </c:pt>
                <c:pt idx="440">
                  <c:v>54.721461187215056</c:v>
                </c:pt>
                <c:pt idx="441">
                  <c:v>54.804794520548391</c:v>
                </c:pt>
                <c:pt idx="442">
                  <c:v>54.888127853881727</c:v>
                </c:pt>
                <c:pt idx="443">
                  <c:v>54.971461187215063</c:v>
                </c:pt>
                <c:pt idx="444">
                  <c:v>55.054794520548398</c:v>
                </c:pt>
                <c:pt idx="445">
                  <c:v>55.138127853881734</c:v>
                </c:pt>
                <c:pt idx="446">
                  <c:v>55.22146118721507</c:v>
                </c:pt>
                <c:pt idx="447">
                  <c:v>55.304794520548406</c:v>
                </c:pt>
                <c:pt idx="448">
                  <c:v>55.388127853881741</c:v>
                </c:pt>
                <c:pt idx="449">
                  <c:v>55.471461187215077</c:v>
                </c:pt>
                <c:pt idx="450">
                  <c:v>55.554794520548413</c:v>
                </c:pt>
                <c:pt idx="451">
                  <c:v>55.638127853881748</c:v>
                </c:pt>
                <c:pt idx="452">
                  <c:v>55.721461187215084</c:v>
                </c:pt>
                <c:pt idx="453">
                  <c:v>55.80479452054842</c:v>
                </c:pt>
                <c:pt idx="454">
                  <c:v>55.888127853881755</c:v>
                </c:pt>
                <c:pt idx="455">
                  <c:v>55.971461187215091</c:v>
                </c:pt>
                <c:pt idx="456">
                  <c:v>56.054794520548427</c:v>
                </c:pt>
                <c:pt idx="457">
                  <c:v>56.138127853881763</c:v>
                </c:pt>
                <c:pt idx="458">
                  <c:v>56.221461187215098</c:v>
                </c:pt>
                <c:pt idx="459">
                  <c:v>56.304794520548434</c:v>
                </c:pt>
                <c:pt idx="460">
                  <c:v>56.38812785388177</c:v>
                </c:pt>
                <c:pt idx="461">
                  <c:v>56.471461187215105</c:v>
                </c:pt>
                <c:pt idx="462">
                  <c:v>56.554794520548441</c:v>
                </c:pt>
                <c:pt idx="463">
                  <c:v>56.638127853881777</c:v>
                </c:pt>
                <c:pt idx="464">
                  <c:v>56.721461187215112</c:v>
                </c:pt>
                <c:pt idx="465">
                  <c:v>56.804794520548448</c:v>
                </c:pt>
                <c:pt idx="466">
                  <c:v>56.888127853881784</c:v>
                </c:pt>
                <c:pt idx="467">
                  <c:v>56.97146118721512</c:v>
                </c:pt>
                <c:pt idx="468">
                  <c:v>57.054794520548455</c:v>
                </c:pt>
                <c:pt idx="469">
                  <c:v>57.138127853881791</c:v>
                </c:pt>
                <c:pt idx="470">
                  <c:v>57.221461187215127</c:v>
                </c:pt>
                <c:pt idx="471">
                  <c:v>57.304794520548462</c:v>
                </c:pt>
                <c:pt idx="472">
                  <c:v>57.388127853881798</c:v>
                </c:pt>
                <c:pt idx="473">
                  <c:v>57.471461187215134</c:v>
                </c:pt>
                <c:pt idx="474">
                  <c:v>57.554794520548469</c:v>
                </c:pt>
                <c:pt idx="475">
                  <c:v>57.638127853881805</c:v>
                </c:pt>
                <c:pt idx="476">
                  <c:v>57.721461187215141</c:v>
                </c:pt>
                <c:pt idx="477">
                  <c:v>57.804794520548477</c:v>
                </c:pt>
                <c:pt idx="478">
                  <c:v>57.888127853881812</c:v>
                </c:pt>
                <c:pt idx="479">
                  <c:v>57.971461187215148</c:v>
                </c:pt>
                <c:pt idx="480">
                  <c:v>58.054794520548484</c:v>
                </c:pt>
                <c:pt idx="481">
                  <c:v>58.138127853881819</c:v>
                </c:pt>
                <c:pt idx="482">
                  <c:v>58.221461187215155</c:v>
                </c:pt>
                <c:pt idx="483">
                  <c:v>58.304794520548491</c:v>
                </c:pt>
                <c:pt idx="484">
                  <c:v>58.388127853881826</c:v>
                </c:pt>
                <c:pt idx="485">
                  <c:v>58.471461187215162</c:v>
                </c:pt>
                <c:pt idx="486">
                  <c:v>58.554794520548498</c:v>
                </c:pt>
                <c:pt idx="487">
                  <c:v>58.638127853881834</c:v>
                </c:pt>
                <c:pt idx="488">
                  <c:v>58.721461187215169</c:v>
                </c:pt>
                <c:pt idx="489">
                  <c:v>58.804794520548505</c:v>
                </c:pt>
                <c:pt idx="490">
                  <c:v>58.888127853881841</c:v>
                </c:pt>
                <c:pt idx="491">
                  <c:v>58.971461187215176</c:v>
                </c:pt>
                <c:pt idx="492">
                  <c:v>59.054794520548512</c:v>
                </c:pt>
                <c:pt idx="493">
                  <c:v>59.138127853881848</c:v>
                </c:pt>
                <c:pt idx="494">
                  <c:v>59.221461187215183</c:v>
                </c:pt>
                <c:pt idx="495">
                  <c:v>59.304794520548519</c:v>
                </c:pt>
                <c:pt idx="496">
                  <c:v>59.388127853881855</c:v>
                </c:pt>
                <c:pt idx="497">
                  <c:v>59.471461187215191</c:v>
                </c:pt>
                <c:pt idx="498">
                  <c:v>59.554794520548526</c:v>
                </c:pt>
                <c:pt idx="499">
                  <c:v>59.638127853881862</c:v>
                </c:pt>
                <c:pt idx="500">
                  <c:v>59.721461187215198</c:v>
                </c:pt>
                <c:pt idx="501">
                  <c:v>59.804794520548533</c:v>
                </c:pt>
                <c:pt idx="502">
                  <c:v>59.888127853881869</c:v>
                </c:pt>
                <c:pt idx="503">
                  <c:v>59.971461187215205</c:v>
                </c:pt>
                <c:pt idx="504">
                  <c:v>60.054794520548541</c:v>
                </c:pt>
                <c:pt idx="505">
                  <c:v>60.138127853881876</c:v>
                </c:pt>
                <c:pt idx="506">
                  <c:v>60.221461187215212</c:v>
                </c:pt>
                <c:pt idx="507">
                  <c:v>60.304794520548548</c:v>
                </c:pt>
                <c:pt idx="508">
                  <c:v>60.388127853881883</c:v>
                </c:pt>
                <c:pt idx="509">
                  <c:v>60.471461187215219</c:v>
                </c:pt>
                <c:pt idx="510">
                  <c:v>60.554794520548555</c:v>
                </c:pt>
                <c:pt idx="511">
                  <c:v>60.63812785388189</c:v>
                </c:pt>
                <c:pt idx="512">
                  <c:v>60.721461187215226</c:v>
                </c:pt>
                <c:pt idx="513">
                  <c:v>60.804794520548562</c:v>
                </c:pt>
                <c:pt idx="514">
                  <c:v>60.888127853881898</c:v>
                </c:pt>
                <c:pt idx="515">
                  <c:v>60.971461187215233</c:v>
                </c:pt>
                <c:pt idx="516">
                  <c:v>61.054794520548569</c:v>
                </c:pt>
                <c:pt idx="517">
                  <c:v>61.138127853881905</c:v>
                </c:pt>
                <c:pt idx="518">
                  <c:v>61.22146118721524</c:v>
                </c:pt>
                <c:pt idx="519">
                  <c:v>61.304794520548576</c:v>
                </c:pt>
                <c:pt idx="520">
                  <c:v>61.388127853881912</c:v>
                </c:pt>
                <c:pt idx="521">
                  <c:v>61.471461187215247</c:v>
                </c:pt>
                <c:pt idx="522">
                  <c:v>61.554794520548583</c:v>
                </c:pt>
                <c:pt idx="523">
                  <c:v>61.638127853881919</c:v>
                </c:pt>
                <c:pt idx="524">
                  <c:v>61.721461187215255</c:v>
                </c:pt>
                <c:pt idx="525">
                  <c:v>61.80479452054859</c:v>
                </c:pt>
                <c:pt idx="526">
                  <c:v>61.888127853881926</c:v>
                </c:pt>
                <c:pt idx="527">
                  <c:v>61.971461187215262</c:v>
                </c:pt>
                <c:pt idx="528">
                  <c:v>62.054794520548597</c:v>
                </c:pt>
                <c:pt idx="529">
                  <c:v>62.138127853881933</c:v>
                </c:pt>
                <c:pt idx="530">
                  <c:v>62.221461187215269</c:v>
                </c:pt>
                <c:pt idx="531">
                  <c:v>62.304794520548604</c:v>
                </c:pt>
                <c:pt idx="532">
                  <c:v>62.38812785388194</c:v>
                </c:pt>
                <c:pt idx="533">
                  <c:v>62.471461187215276</c:v>
                </c:pt>
                <c:pt idx="534">
                  <c:v>62.554794520548612</c:v>
                </c:pt>
                <c:pt idx="535">
                  <c:v>62.638127853881947</c:v>
                </c:pt>
                <c:pt idx="536">
                  <c:v>62.721461187215283</c:v>
                </c:pt>
                <c:pt idx="537">
                  <c:v>62.804794520548619</c:v>
                </c:pt>
                <c:pt idx="538">
                  <c:v>62.888127853881954</c:v>
                </c:pt>
                <c:pt idx="539">
                  <c:v>62.97146118721529</c:v>
                </c:pt>
                <c:pt idx="540">
                  <c:v>63.054794520548626</c:v>
                </c:pt>
                <c:pt idx="541">
                  <c:v>63.138127853881961</c:v>
                </c:pt>
                <c:pt idx="542">
                  <c:v>63.221461187215297</c:v>
                </c:pt>
                <c:pt idx="543">
                  <c:v>63.304794520548633</c:v>
                </c:pt>
                <c:pt idx="544">
                  <c:v>63.388127853881969</c:v>
                </c:pt>
                <c:pt idx="545">
                  <c:v>63.471461187215304</c:v>
                </c:pt>
                <c:pt idx="546">
                  <c:v>63.55479452054864</c:v>
                </c:pt>
                <c:pt idx="547">
                  <c:v>63.638127853881976</c:v>
                </c:pt>
                <c:pt idx="548">
                  <c:v>63.721461187215311</c:v>
                </c:pt>
                <c:pt idx="549">
                  <c:v>63.804794520548647</c:v>
                </c:pt>
                <c:pt idx="550">
                  <c:v>63.888127853881983</c:v>
                </c:pt>
                <c:pt idx="551">
                  <c:v>63.971461187215318</c:v>
                </c:pt>
                <c:pt idx="552">
                  <c:v>64.054794520548654</c:v>
                </c:pt>
                <c:pt idx="553">
                  <c:v>64.138127853881983</c:v>
                </c:pt>
                <c:pt idx="554">
                  <c:v>64.221461187215311</c:v>
                </c:pt>
                <c:pt idx="555">
                  <c:v>64.30479452054864</c:v>
                </c:pt>
                <c:pt idx="556">
                  <c:v>64.388127853881969</c:v>
                </c:pt>
                <c:pt idx="557">
                  <c:v>64.471461187215297</c:v>
                </c:pt>
                <c:pt idx="558">
                  <c:v>64.554794520548626</c:v>
                </c:pt>
                <c:pt idx="559">
                  <c:v>64.638127853881954</c:v>
                </c:pt>
                <c:pt idx="560">
                  <c:v>64.721461187215283</c:v>
                </c:pt>
                <c:pt idx="561">
                  <c:v>64.804794520548612</c:v>
                </c:pt>
                <c:pt idx="562">
                  <c:v>64.88812785388194</c:v>
                </c:pt>
                <c:pt idx="563">
                  <c:v>64.971461187215269</c:v>
                </c:pt>
                <c:pt idx="564">
                  <c:v>65.054794520548597</c:v>
                </c:pt>
                <c:pt idx="565">
                  <c:v>65.138127853881926</c:v>
                </c:pt>
                <c:pt idx="566">
                  <c:v>65.221461187215255</c:v>
                </c:pt>
                <c:pt idx="567">
                  <c:v>65.304794520548583</c:v>
                </c:pt>
                <c:pt idx="568">
                  <c:v>65.388127853881912</c:v>
                </c:pt>
                <c:pt idx="569">
                  <c:v>65.47146118721524</c:v>
                </c:pt>
                <c:pt idx="570">
                  <c:v>65.554794520548569</c:v>
                </c:pt>
                <c:pt idx="571">
                  <c:v>65.638127853881898</c:v>
                </c:pt>
                <c:pt idx="572">
                  <c:v>65.721461187215226</c:v>
                </c:pt>
                <c:pt idx="573">
                  <c:v>65.804794520548555</c:v>
                </c:pt>
                <c:pt idx="574">
                  <c:v>65.888127853881883</c:v>
                </c:pt>
                <c:pt idx="575">
                  <c:v>65.971461187215212</c:v>
                </c:pt>
                <c:pt idx="576">
                  <c:v>66.054794520548541</c:v>
                </c:pt>
                <c:pt idx="577">
                  <c:v>66.138127853881869</c:v>
                </c:pt>
                <c:pt idx="578">
                  <c:v>66.221461187215198</c:v>
                </c:pt>
                <c:pt idx="579">
                  <c:v>66.304794520548526</c:v>
                </c:pt>
                <c:pt idx="580">
                  <c:v>66.388127853881855</c:v>
                </c:pt>
                <c:pt idx="581">
                  <c:v>66.471461187215183</c:v>
                </c:pt>
                <c:pt idx="582">
                  <c:v>66.554794520548512</c:v>
                </c:pt>
                <c:pt idx="583">
                  <c:v>66.638127853881841</c:v>
                </c:pt>
                <c:pt idx="584">
                  <c:v>66.721461187215169</c:v>
                </c:pt>
                <c:pt idx="585">
                  <c:v>66.804794520548498</c:v>
                </c:pt>
                <c:pt idx="586">
                  <c:v>66.888127853881826</c:v>
                </c:pt>
                <c:pt idx="587">
                  <c:v>66.971461187215155</c:v>
                </c:pt>
                <c:pt idx="588">
                  <c:v>67.054794520548484</c:v>
                </c:pt>
                <c:pt idx="589">
                  <c:v>67.138127853881812</c:v>
                </c:pt>
                <c:pt idx="590">
                  <c:v>67.221461187215141</c:v>
                </c:pt>
                <c:pt idx="591">
                  <c:v>67.304794520548469</c:v>
                </c:pt>
                <c:pt idx="592">
                  <c:v>67.388127853881798</c:v>
                </c:pt>
                <c:pt idx="593">
                  <c:v>67.471461187215127</c:v>
                </c:pt>
                <c:pt idx="594">
                  <c:v>67.554794520548455</c:v>
                </c:pt>
                <c:pt idx="595">
                  <c:v>67.638127853881784</c:v>
                </c:pt>
                <c:pt idx="596">
                  <c:v>67.721461187215112</c:v>
                </c:pt>
                <c:pt idx="597">
                  <c:v>67.804794520548441</c:v>
                </c:pt>
                <c:pt idx="598">
                  <c:v>67.88812785388177</c:v>
                </c:pt>
                <c:pt idx="599">
                  <c:v>67.971461187215098</c:v>
                </c:pt>
                <c:pt idx="600">
                  <c:v>68.054794520548427</c:v>
                </c:pt>
                <c:pt idx="601">
                  <c:v>68.138127853881755</c:v>
                </c:pt>
                <c:pt idx="602">
                  <c:v>68.221461187215084</c:v>
                </c:pt>
                <c:pt idx="603">
                  <c:v>68.304794520548413</c:v>
                </c:pt>
                <c:pt idx="604">
                  <c:v>68.388127853881741</c:v>
                </c:pt>
                <c:pt idx="605">
                  <c:v>68.47146118721507</c:v>
                </c:pt>
                <c:pt idx="606">
                  <c:v>68.554794520548398</c:v>
                </c:pt>
                <c:pt idx="607">
                  <c:v>68.638127853881727</c:v>
                </c:pt>
                <c:pt idx="608">
                  <c:v>68.721461187215056</c:v>
                </c:pt>
                <c:pt idx="609">
                  <c:v>68.804794520548384</c:v>
                </c:pt>
                <c:pt idx="610">
                  <c:v>68.888127853881713</c:v>
                </c:pt>
                <c:pt idx="611">
                  <c:v>68.971461187215041</c:v>
                </c:pt>
                <c:pt idx="612">
                  <c:v>69.05479452054837</c:v>
                </c:pt>
                <c:pt idx="613">
                  <c:v>69.138127853881699</c:v>
                </c:pt>
                <c:pt idx="614">
                  <c:v>69.221461187215027</c:v>
                </c:pt>
                <c:pt idx="615">
                  <c:v>69.304794520548356</c:v>
                </c:pt>
                <c:pt idx="616">
                  <c:v>69.388127853881684</c:v>
                </c:pt>
                <c:pt idx="617">
                  <c:v>69.471461187215013</c:v>
                </c:pt>
                <c:pt idx="618">
                  <c:v>69.554794520548342</c:v>
                </c:pt>
                <c:pt idx="619">
                  <c:v>69.63812785388167</c:v>
                </c:pt>
                <c:pt idx="620">
                  <c:v>69.721461187214999</c:v>
                </c:pt>
                <c:pt idx="621">
                  <c:v>69.804794520548327</c:v>
                </c:pt>
                <c:pt idx="622">
                  <c:v>69.888127853881656</c:v>
                </c:pt>
                <c:pt idx="623">
                  <c:v>69.971461187214985</c:v>
                </c:pt>
                <c:pt idx="624">
                  <c:v>70.054794520548313</c:v>
                </c:pt>
                <c:pt idx="625">
                  <c:v>70.138127853881642</c:v>
                </c:pt>
                <c:pt idx="626">
                  <c:v>70.22146118721497</c:v>
                </c:pt>
                <c:pt idx="627">
                  <c:v>70.304794520548299</c:v>
                </c:pt>
                <c:pt idx="628">
                  <c:v>70.388127853881628</c:v>
                </c:pt>
                <c:pt idx="629">
                  <c:v>70.471461187214956</c:v>
                </c:pt>
                <c:pt idx="630">
                  <c:v>70.554794520548285</c:v>
                </c:pt>
                <c:pt idx="631">
                  <c:v>70.638127853881613</c:v>
                </c:pt>
                <c:pt idx="632">
                  <c:v>70.721461187214942</c:v>
                </c:pt>
                <c:pt idx="633">
                  <c:v>70.80479452054827</c:v>
                </c:pt>
                <c:pt idx="634">
                  <c:v>70.888127853881599</c:v>
                </c:pt>
                <c:pt idx="635">
                  <c:v>70.971461187214928</c:v>
                </c:pt>
                <c:pt idx="636">
                  <c:v>71.054794520548256</c:v>
                </c:pt>
                <c:pt idx="637">
                  <c:v>71.138127853881585</c:v>
                </c:pt>
                <c:pt idx="638">
                  <c:v>71.221461187214913</c:v>
                </c:pt>
                <c:pt idx="639">
                  <c:v>71.304794520548242</c:v>
                </c:pt>
                <c:pt idx="640">
                  <c:v>71.388127853881571</c:v>
                </c:pt>
                <c:pt idx="641">
                  <c:v>71.471461187214899</c:v>
                </c:pt>
                <c:pt idx="642">
                  <c:v>71.554794520548228</c:v>
                </c:pt>
                <c:pt idx="643">
                  <c:v>71.638127853881556</c:v>
                </c:pt>
                <c:pt idx="644">
                  <c:v>71.721461187214885</c:v>
                </c:pt>
                <c:pt idx="645">
                  <c:v>71.804794520548214</c:v>
                </c:pt>
                <c:pt idx="646">
                  <c:v>71.888127853881542</c:v>
                </c:pt>
                <c:pt idx="647">
                  <c:v>71.971461187214871</c:v>
                </c:pt>
                <c:pt idx="648">
                  <c:v>72.054794520548199</c:v>
                </c:pt>
                <c:pt idx="649">
                  <c:v>72.138127853881528</c:v>
                </c:pt>
                <c:pt idx="650">
                  <c:v>72.221461187214857</c:v>
                </c:pt>
                <c:pt idx="651">
                  <c:v>72.304794520548185</c:v>
                </c:pt>
                <c:pt idx="652">
                  <c:v>72.388127853881514</c:v>
                </c:pt>
                <c:pt idx="653">
                  <c:v>72.471461187214842</c:v>
                </c:pt>
                <c:pt idx="654">
                  <c:v>72.554794520548171</c:v>
                </c:pt>
                <c:pt idx="655">
                  <c:v>72.6381278538815</c:v>
                </c:pt>
                <c:pt idx="656">
                  <c:v>72.721461187214828</c:v>
                </c:pt>
                <c:pt idx="657">
                  <c:v>72.804794520548157</c:v>
                </c:pt>
                <c:pt idx="658">
                  <c:v>72.888127853881485</c:v>
                </c:pt>
                <c:pt idx="659">
                  <c:v>72.971461187214814</c:v>
                </c:pt>
                <c:pt idx="660">
                  <c:v>73.054794520548143</c:v>
                </c:pt>
                <c:pt idx="661">
                  <c:v>73.138127853881471</c:v>
                </c:pt>
                <c:pt idx="662">
                  <c:v>73.2214611872148</c:v>
                </c:pt>
                <c:pt idx="663">
                  <c:v>73.304794520548128</c:v>
                </c:pt>
                <c:pt idx="664">
                  <c:v>73.388127853881457</c:v>
                </c:pt>
                <c:pt idx="665">
                  <c:v>73.471461187214786</c:v>
                </c:pt>
                <c:pt idx="666">
                  <c:v>73.554794520548114</c:v>
                </c:pt>
                <c:pt idx="667">
                  <c:v>73.638127853881443</c:v>
                </c:pt>
                <c:pt idx="668">
                  <c:v>73.721461187214771</c:v>
                </c:pt>
                <c:pt idx="669">
                  <c:v>73.8047945205481</c:v>
                </c:pt>
                <c:pt idx="670">
                  <c:v>73.888127853881429</c:v>
                </c:pt>
                <c:pt idx="671">
                  <c:v>73.971461187214757</c:v>
                </c:pt>
                <c:pt idx="672">
                  <c:v>74.054794520548086</c:v>
                </c:pt>
                <c:pt idx="673">
                  <c:v>74.138127853881414</c:v>
                </c:pt>
                <c:pt idx="674">
                  <c:v>74.221461187214743</c:v>
                </c:pt>
                <c:pt idx="675">
                  <c:v>74.304794520548072</c:v>
                </c:pt>
                <c:pt idx="676">
                  <c:v>74.3881278538814</c:v>
                </c:pt>
                <c:pt idx="677">
                  <c:v>74.471461187214729</c:v>
                </c:pt>
                <c:pt idx="678">
                  <c:v>74.554794520548057</c:v>
                </c:pt>
                <c:pt idx="679">
                  <c:v>74.638127853881386</c:v>
                </c:pt>
                <c:pt idx="680">
                  <c:v>74.721461187214715</c:v>
                </c:pt>
                <c:pt idx="681">
                  <c:v>74.804794520548043</c:v>
                </c:pt>
                <c:pt idx="682">
                  <c:v>74.888127853881372</c:v>
                </c:pt>
                <c:pt idx="683">
                  <c:v>74.9714611872147</c:v>
                </c:pt>
              </c:numCache>
            </c:numRef>
          </c:xVal>
          <c:yVal>
            <c:numRef>
              <c:f>Calc1!$K$5:$K$688</c:f>
              <c:numCache>
                <c:formatCode>\$#,##0;"($"#,##0\)</c:formatCode>
                <c:ptCount val="684"/>
                <c:pt idx="0">
                  <c:v>100797.41404289038</c:v>
                </c:pt>
                <c:pt idx="1">
                  <c:v>102108.63071746768</c:v>
                </c:pt>
                <c:pt idx="2">
                  <c:v>103433.783798681</c:v>
                </c:pt>
                <c:pt idx="3">
                  <c:v>104773.00829085332</c:v>
                </c:pt>
                <c:pt idx="4">
                  <c:v>106126.44043860017</c:v>
                </c:pt>
                <c:pt idx="5">
                  <c:v>107494.21773784305</c:v>
                </c:pt>
                <c:pt idx="6">
                  <c:v>108876.47894691842</c:v>
                </c:pt>
                <c:pt idx="7">
                  <c:v>110273.36409778296</c:v>
                </c:pt>
                <c:pt idx="8">
                  <c:v>111685.01450731608</c:v>
                </c:pt>
                <c:pt idx="9">
                  <c:v>113111.57278872032</c:v>
                </c:pt>
                <c:pt idx="10">
                  <c:v>114553.18286302066</c:v>
                </c:pt>
                <c:pt idx="11">
                  <c:v>116009.98997066345</c:v>
                </c:pt>
                <c:pt idx="12">
                  <c:v>117482.14068321587</c:v>
                </c:pt>
                <c:pt idx="13">
                  <c:v>118969.78291516677</c:v>
                </c:pt>
                <c:pt idx="14">
                  <c:v>120473.06593582977</c:v>
                </c:pt>
                <c:pt idx="15">
                  <c:v>121992.14038134941</c:v>
                </c:pt>
                <c:pt idx="16">
                  <c:v>123527.15826681134</c:v>
                </c:pt>
                <c:pt idx="17">
                  <c:v>125078.27299845737</c:v>
                </c:pt>
                <c:pt idx="18">
                  <c:v>126645.63938600627</c:v>
                </c:pt>
                <c:pt idx="19">
                  <c:v>128229.41365508127</c:v>
                </c:pt>
                <c:pt idx="20">
                  <c:v>129829.7534597451</c:v>
                </c:pt>
                <c:pt idx="21">
                  <c:v>131446.81789514358</c:v>
                </c:pt>
                <c:pt idx="22">
                  <c:v>133080.76751025851</c:v>
                </c:pt>
                <c:pt idx="23">
                  <c:v>134731.76432077104</c:v>
                </c:pt>
                <c:pt idx="24">
                  <c:v>136399.97182203626</c:v>
                </c:pt>
                <c:pt idx="25">
                  <c:v>138085.55500217003</c:v>
                </c:pt>
                <c:pt idx="26">
                  <c:v>139788.680355249</c:v>
                </c:pt>
                <c:pt idx="27">
                  <c:v>141509.51589462475</c:v>
                </c:pt>
                <c:pt idx="28">
                  <c:v>143248.23116635316</c:v>
                </c:pt>
                <c:pt idx="29">
                  <c:v>145004.99726273969</c:v>
                </c:pt>
                <c:pt idx="30">
                  <c:v>146779.98683600203</c:v>
                </c:pt>
                <c:pt idx="31">
                  <c:v>148573.37411205054</c:v>
                </c:pt>
                <c:pt idx="32">
                  <c:v>150385.33490438797</c:v>
                </c:pt>
                <c:pt idx="33">
                  <c:v>152216.0466281292</c:v>
                </c:pt>
                <c:pt idx="34">
                  <c:v>154065.68831414214</c:v>
                </c:pt>
                <c:pt idx="35">
                  <c:v>155934.44062331086</c:v>
                </c:pt>
                <c:pt idx="36">
                  <c:v>157822.4858609217</c:v>
                </c:pt>
                <c:pt idx="37">
                  <c:v>159730.00799117383</c:v>
                </c:pt>
                <c:pt idx="38">
                  <c:v>161657.19265181496</c:v>
                </c:pt>
                <c:pt idx="39">
                  <c:v>163604.22716890357</c:v>
                </c:pt>
                <c:pt idx="40">
                  <c:v>165571.30057169843</c:v>
                </c:pt>
                <c:pt idx="41">
                  <c:v>167558.60360767666</c:v>
                </c:pt>
                <c:pt idx="42">
                  <c:v>169566.32875768148</c:v>
                </c:pt>
                <c:pt idx="43">
                  <c:v>171594.67025120059</c:v>
                </c:pt>
                <c:pt idx="44">
                  <c:v>173643.8240817764</c:v>
                </c:pt>
                <c:pt idx="45">
                  <c:v>175713.98802254922</c:v>
                </c:pt>
                <c:pt idx="46">
                  <c:v>177805.36164193455</c:v>
                </c:pt>
                <c:pt idx="47">
                  <c:v>179918.14631943533</c:v>
                </c:pt>
                <c:pt idx="48">
                  <c:v>182052.54526159103</c:v>
                </c:pt>
                <c:pt idx="49">
                  <c:v>184208.76351806376</c:v>
                </c:pt>
                <c:pt idx="50">
                  <c:v>186387.00799786334</c:v>
                </c:pt>
                <c:pt idx="51">
                  <c:v>188587.48748571219</c:v>
                </c:pt>
                <c:pt idx="52">
                  <c:v>190810.41265855118</c:v>
                </c:pt>
                <c:pt idx="53">
                  <c:v>193055.99610218778</c:v>
                </c:pt>
                <c:pt idx="54">
                  <c:v>195324.45232808773</c:v>
                </c:pt>
                <c:pt idx="55">
                  <c:v>197615.99779031126</c:v>
                </c:pt>
                <c:pt idx="56">
                  <c:v>199930.85090259521</c:v>
                </c:pt>
                <c:pt idx="57">
                  <c:v>202269.2320555824</c:v>
                </c:pt>
                <c:pt idx="58">
                  <c:v>204631.36363419931</c:v>
                </c:pt>
                <c:pt idx="59">
                  <c:v>207017.47003518327</c:v>
                </c:pt>
                <c:pt idx="60">
                  <c:v>209427.77768476086</c:v>
                </c:pt>
                <c:pt idx="61">
                  <c:v>211862.51505647821</c:v>
                </c:pt>
                <c:pt idx="62">
                  <c:v>214321.91268918492</c:v>
                </c:pt>
                <c:pt idx="63">
                  <c:v>216806.2032051727</c:v>
                </c:pt>
                <c:pt idx="64">
                  <c:v>219315.62132847018</c:v>
                </c:pt>
                <c:pt idx="65">
                  <c:v>221850.40390329508</c:v>
                </c:pt>
                <c:pt idx="66">
                  <c:v>224410.78991266515</c:v>
                </c:pt>
                <c:pt idx="67">
                  <c:v>226997.02049716911</c:v>
                </c:pt>
                <c:pt idx="68">
                  <c:v>229609.33897389928</c:v>
                </c:pt>
                <c:pt idx="69">
                  <c:v>232247.99085554673</c:v>
                </c:pt>
                <c:pt idx="70">
                  <c:v>234913.22386966087</c:v>
                </c:pt>
                <c:pt idx="71">
                  <c:v>237605.28797807454</c:v>
                </c:pt>
                <c:pt idx="72">
                  <c:v>240324.435396496</c:v>
                </c:pt>
                <c:pt idx="73">
                  <c:v>243070.92061426956</c:v>
                </c:pt>
                <c:pt idx="74">
                  <c:v>245845.0004143058</c:v>
                </c:pt>
                <c:pt idx="75">
                  <c:v>248646.93389318319</c:v>
                </c:pt>
                <c:pt idx="76">
                  <c:v>251476.98248142251</c:v>
                </c:pt>
                <c:pt idx="77">
                  <c:v>254335.40996393526</c:v>
                </c:pt>
                <c:pt idx="78">
                  <c:v>257222.48250064786</c:v>
                </c:pt>
                <c:pt idx="79">
                  <c:v>260138.46864730297</c:v>
                </c:pt>
                <c:pt idx="80">
                  <c:v>263083.63937643956</c:v>
                </c:pt>
                <c:pt idx="81">
                  <c:v>266058.26809855283</c:v>
                </c:pt>
                <c:pt idx="82">
                  <c:v>269062.63068343623</c:v>
                </c:pt>
                <c:pt idx="83">
                  <c:v>272097.00548170641</c:v>
                </c:pt>
                <c:pt idx="84">
                  <c:v>275155.5768107319</c:v>
                </c:pt>
                <c:pt idx="85">
                  <c:v>278238.53761704691</c:v>
                </c:pt>
                <c:pt idx="86">
                  <c:v>281346.08238576824</c:v>
                </c:pt>
                <c:pt idx="87">
                  <c:v>284478.4071528645</c:v>
                </c:pt>
                <c:pt idx="88">
                  <c:v>287635.70951752248</c:v>
                </c:pt>
                <c:pt idx="89">
                  <c:v>290818.18865461275</c:v>
                </c:pt>
                <c:pt idx="90">
                  <c:v>294026.04532725428</c:v>
                </c:pt>
                <c:pt idx="91">
                  <c:v>297259.48189947923</c:v>
                </c:pt>
                <c:pt idx="92">
                  <c:v>300518.70234899904</c:v>
                </c:pt>
                <c:pt idx="93">
                  <c:v>303803.91228007211</c:v>
                </c:pt>
                <c:pt idx="94">
                  <c:v>307115.31893647398</c:v>
                </c:pt>
                <c:pt idx="95">
                  <c:v>310453.13121457119</c:v>
                </c:pt>
                <c:pt idx="96">
                  <c:v>313817.55967649928</c:v>
                </c:pt>
                <c:pt idx="97">
                  <c:v>317208.81656344578</c:v>
                </c:pt>
                <c:pt idx="98">
                  <c:v>320627.11580903927</c:v>
                </c:pt>
                <c:pt idx="99">
                  <c:v>324072.67305284512</c:v>
                </c:pt>
                <c:pt idx="100">
                  <c:v>327545.70565396891</c:v>
                </c:pt>
                <c:pt idx="101">
                  <c:v>331046.4327047682</c:v>
                </c:pt>
                <c:pt idx="102">
                  <c:v>334575.07504467387</c:v>
                </c:pt>
                <c:pt idx="103">
                  <c:v>338131.85527412134</c:v>
                </c:pt>
                <c:pt idx="104">
                  <c:v>341716.99776859314</c:v>
                </c:pt>
                <c:pt idx="105">
                  <c:v>345330.7286927735</c:v>
                </c:pt>
                <c:pt idx="106">
                  <c:v>348973.27601481555</c:v>
                </c:pt>
                <c:pt idx="107">
                  <c:v>352644.86952072248</c:v>
                </c:pt>
                <c:pt idx="108">
                  <c:v>356345.74082884338</c:v>
                </c:pt>
                <c:pt idx="109">
                  <c:v>360076.12340448453</c:v>
                </c:pt>
                <c:pt idx="110">
                  <c:v>363836.25257463736</c:v>
                </c:pt>
                <c:pt idx="111">
                  <c:v>367626.3655428238</c:v>
                </c:pt>
                <c:pt idx="112">
                  <c:v>371446.70140406</c:v>
                </c:pt>
                <c:pt idx="113">
                  <c:v>375297.50115993927</c:v>
                </c:pt>
                <c:pt idx="114">
                  <c:v>379179.00773383549</c:v>
                </c:pt>
                <c:pt idx="115">
                  <c:v>383091.46598622767</c:v>
                </c:pt>
                <c:pt idx="116">
                  <c:v>387035.12273014669</c:v>
                </c:pt>
                <c:pt idx="117">
                  <c:v>391010.22674674506</c:v>
                </c:pt>
                <c:pt idx="118">
                  <c:v>395017.02880099131</c:v>
                </c:pt>
                <c:pt idx="119">
                  <c:v>399055.7816574889</c:v>
                </c:pt>
                <c:pt idx="120">
                  <c:v>403126.74009642185</c:v>
                </c:pt>
                <c:pt idx="121">
                  <c:v>407230.16092962713</c:v>
                </c:pt>
                <c:pt idx="122">
                  <c:v>411366.30301679525</c:v>
                </c:pt>
                <c:pt idx="123">
                  <c:v>415535.42728180037</c:v>
                </c:pt>
                <c:pt idx="124">
                  <c:v>419737.79672916018</c:v>
                </c:pt>
                <c:pt idx="125">
                  <c:v>423973.67646062735</c:v>
                </c:pt>
                <c:pt idx="126">
                  <c:v>428243.33369191323</c:v>
                </c:pt>
                <c:pt idx="127">
                  <c:v>432547.03776954464</c:v>
                </c:pt>
                <c:pt idx="128">
                  <c:v>436885.0601878555</c:v>
                </c:pt>
                <c:pt idx="129">
                  <c:v>441257.67460611375</c:v>
                </c:pt>
                <c:pt idx="130">
                  <c:v>445665.15686578461</c:v>
                </c:pt>
                <c:pt idx="131">
                  <c:v>450107.78500793199</c:v>
                </c:pt>
                <c:pt idx="132">
                  <c:v>454585.83929075825</c:v>
                </c:pt>
                <c:pt idx="133">
                  <c:v>459099.60220728401</c:v>
                </c:pt>
                <c:pt idx="134">
                  <c:v>463649.35850316897</c:v>
                </c:pt>
                <c:pt idx="135">
                  <c:v>468235.39519467461</c:v>
                </c:pt>
                <c:pt idx="136">
                  <c:v>472858.00158677041</c:v>
                </c:pt>
                <c:pt idx="137">
                  <c:v>477517.46929138433</c:v>
                </c:pt>
                <c:pt idx="138">
                  <c:v>482214.09224579879</c:v>
                </c:pt>
                <c:pt idx="139">
                  <c:v>486948.16673119331</c:v>
                </c:pt>
                <c:pt idx="140">
                  <c:v>491719.99139133526</c:v>
                </c:pt>
                <c:pt idx="141">
                  <c:v>496529.86725141935</c:v>
                </c:pt>
                <c:pt idx="142">
                  <c:v>501378.09773705731</c:v>
                </c:pt>
                <c:pt idx="143">
                  <c:v>506264.98869341944</c:v>
                </c:pt>
                <c:pt idx="144">
                  <c:v>511190.84840452834</c:v>
                </c:pt>
                <c:pt idx="145">
                  <c:v>516155.98761270673</c:v>
                </c:pt>
                <c:pt idx="146">
                  <c:v>521160.71953818016</c:v>
                </c:pt>
                <c:pt idx="147">
                  <c:v>526205.35989883635</c:v>
                </c:pt>
                <c:pt idx="148">
                  <c:v>531290.2269301418</c:v>
                </c:pt>
                <c:pt idx="149">
                  <c:v>536415.64140521712</c:v>
                </c:pt>
                <c:pt idx="150">
                  <c:v>541581.92665507307</c:v>
                </c:pt>
                <c:pt idx="151">
                  <c:v>546789.4085890071</c:v>
                </c:pt>
                <c:pt idx="152">
                  <c:v>552038.41571516334</c:v>
                </c:pt>
                <c:pt idx="153">
                  <c:v>557329.27916125581</c:v>
                </c:pt>
                <c:pt idx="154">
                  <c:v>562662.33269545762</c:v>
                </c:pt>
                <c:pt idx="155">
                  <c:v>568037.91274745599</c:v>
                </c:pt>
                <c:pt idx="156">
                  <c:v>573456.35842967581</c:v>
                </c:pt>
                <c:pt idx="157">
                  <c:v>578918.01155867206</c:v>
                </c:pt>
                <c:pt idx="158">
                  <c:v>584423.21667669294</c:v>
                </c:pt>
                <c:pt idx="159">
                  <c:v>589972.32107341476</c:v>
                </c:pt>
                <c:pt idx="160">
                  <c:v>595565.67480785074</c:v>
                </c:pt>
                <c:pt idx="161">
                  <c:v>601203.63073043362</c:v>
                </c:pt>
                <c:pt idx="162">
                  <c:v>606886.5445052752</c:v>
                </c:pt>
                <c:pt idx="163">
                  <c:v>612614.7746326027</c:v>
                </c:pt>
                <c:pt idx="164">
                  <c:v>618388.68247137452</c:v>
                </c:pt>
                <c:pt idx="165">
                  <c:v>624208.63226207625</c:v>
                </c:pt>
                <c:pt idx="166">
                  <c:v>630074.99114969827</c:v>
                </c:pt>
                <c:pt idx="167">
                  <c:v>635988.12920689653</c:v>
                </c:pt>
                <c:pt idx="168">
                  <c:v>641948.4194573384</c:v>
                </c:pt>
                <c:pt idx="169">
                  <c:v>647956.23789923429</c:v>
                </c:pt>
                <c:pt idx="170">
                  <c:v>654011.96352905722</c:v>
                </c:pt>
                <c:pt idx="171">
                  <c:v>660115.97836545121</c:v>
                </c:pt>
                <c:pt idx="172">
                  <c:v>666268.66747333074</c:v>
                </c:pt>
                <c:pt idx="173">
                  <c:v>672470.41898817196</c:v>
                </c:pt>
                <c:pt idx="174">
                  <c:v>678721.62414049765</c:v>
                </c:pt>
                <c:pt idx="175">
                  <c:v>685022.67728055792</c:v>
                </c:pt>
                <c:pt idx="176">
                  <c:v>691373.97590320697</c:v>
                </c:pt>
                <c:pt idx="177">
                  <c:v>697775.92067297897</c:v>
                </c:pt>
                <c:pt idx="178">
                  <c:v>704228.91544936318</c:v>
                </c:pt>
                <c:pt idx="179">
                  <c:v>710733.36731228128</c:v>
                </c:pt>
                <c:pt idx="180">
                  <c:v>717289.68658776733</c:v>
                </c:pt>
                <c:pt idx="181">
                  <c:v>723898.28687385283</c:v>
                </c:pt>
                <c:pt idx="182">
                  <c:v>730559.5850666581</c:v>
                </c:pt>
                <c:pt idx="183">
                  <c:v>737274.00138669158</c:v>
                </c:pt>
                <c:pt idx="184">
                  <c:v>744041.95940535911</c:v>
                </c:pt>
                <c:pt idx="185">
                  <c:v>750863.88607168442</c:v>
                </c:pt>
                <c:pt idx="186">
                  <c:v>757740.21173924266</c:v>
                </c:pt>
                <c:pt idx="187">
                  <c:v>764671.37019330892</c:v>
                </c:pt>
                <c:pt idx="188">
                  <c:v>771657.79867822293</c:v>
                </c:pt>
                <c:pt idx="189">
                  <c:v>778699.93792497204</c:v>
                </c:pt>
                <c:pt idx="190">
                  <c:v>785798.23217899469</c:v>
                </c:pt>
                <c:pt idx="191">
                  <c:v>792953.12922820461</c:v>
                </c:pt>
                <c:pt idx="192">
                  <c:v>800165.08043123921</c:v>
                </c:pt>
                <c:pt idx="193">
                  <c:v>807434.54074593319</c:v>
                </c:pt>
                <c:pt idx="194">
                  <c:v>814761.96875801892</c:v>
                </c:pt>
                <c:pt idx="195">
                  <c:v>822147.8267100557</c:v>
                </c:pt>
                <c:pt idx="196">
                  <c:v>829592.58053059003</c:v>
                </c:pt>
                <c:pt idx="197">
                  <c:v>837096.69986354781</c:v>
                </c:pt>
                <c:pt idx="198">
                  <c:v>844660.65809786192</c:v>
                </c:pt>
                <c:pt idx="199">
                  <c:v>852284.93239733484</c:v>
                </c:pt>
                <c:pt idx="200">
                  <c:v>859970.00373074017</c:v>
                </c:pt>
                <c:pt idx="201">
                  <c:v>867716.35690216429</c:v>
                </c:pt>
                <c:pt idx="202">
                  <c:v>875524.48058158916</c:v>
                </c:pt>
                <c:pt idx="203">
                  <c:v>471820.34684800962</c:v>
                </c:pt>
                <c:pt idx="204">
                  <c:v>482519.38499059336</c:v>
                </c:pt>
                <c:pt idx="205">
                  <c:v>493303.73876578023</c:v>
                </c:pt>
                <c:pt idx="206">
                  <c:v>504174.08849240543</c:v>
                </c:pt>
                <c:pt idx="207">
                  <c:v>515131.11991426203</c:v>
                </c:pt>
                <c:pt idx="208">
                  <c:v>526175.52424336039</c:v>
                </c:pt>
                <c:pt idx="209">
                  <c:v>537307.99820353265</c:v>
                </c:pt>
                <c:pt idx="210">
                  <c:v>548529.24407438445</c:v>
                </c:pt>
                <c:pt idx="211">
                  <c:v>559839.96973559773</c:v>
                </c:pt>
                <c:pt idx="212">
                  <c:v>571240.88871158625</c:v>
                </c:pt>
                <c:pt idx="213">
                  <c:v>582732.72021650791</c:v>
                </c:pt>
                <c:pt idx="214">
                  <c:v>594316.18919963506</c:v>
                </c:pt>
                <c:pt idx="215">
                  <c:v>605992.02639108757</c:v>
                </c:pt>
                <c:pt idx="216">
                  <c:v>617760.96834792977</c:v>
                </c:pt>
                <c:pt idx="217">
                  <c:v>629623.75750063546</c:v>
                </c:pt>
                <c:pt idx="218">
                  <c:v>641581.14219992328</c:v>
                </c:pt>
                <c:pt idx="219">
                  <c:v>653633.87676396559</c:v>
                </c:pt>
                <c:pt idx="220">
                  <c:v>665782.72152597387</c:v>
                </c:pt>
                <c:pt idx="221">
                  <c:v>678028.44288216345</c:v>
                </c:pt>
                <c:pt idx="222">
                  <c:v>690371.81334010046</c:v>
                </c:pt>
                <c:pt idx="223">
                  <c:v>702813.61156743509</c:v>
                </c:pt>
                <c:pt idx="224">
                  <c:v>715354.62244102254</c:v>
                </c:pt>
                <c:pt idx="225">
                  <c:v>727995.63709643635</c:v>
                </c:pt>
                <c:pt idx="226">
                  <c:v>740737.4529778763</c:v>
                </c:pt>
                <c:pt idx="227">
                  <c:v>753580.87388847407</c:v>
                </c:pt>
                <c:pt idx="228">
                  <c:v>766526.71004100051</c:v>
                </c:pt>
                <c:pt idx="229">
                  <c:v>779575.77810897666</c:v>
                </c:pt>
                <c:pt idx="230">
                  <c:v>792728.90127819323</c:v>
                </c:pt>
                <c:pt idx="231">
                  <c:v>805986.90929863986</c:v>
                </c:pt>
                <c:pt idx="232">
                  <c:v>819350.63853684906</c:v>
                </c:pt>
                <c:pt idx="233">
                  <c:v>832820.93202865752</c:v>
                </c:pt>
                <c:pt idx="234">
                  <c:v>846398.63953238819</c:v>
                </c:pt>
                <c:pt idx="235">
                  <c:v>860084.61758245621</c:v>
                </c:pt>
                <c:pt idx="236">
                  <c:v>873879.72954340233</c:v>
                </c:pt>
                <c:pt idx="237">
                  <c:v>887784.84566435753</c:v>
                </c:pt>
                <c:pt idx="238">
                  <c:v>901800.84313394141</c:v>
                </c:pt>
                <c:pt idx="239">
                  <c:v>915928.60613559897</c:v>
                </c:pt>
                <c:pt idx="240">
                  <c:v>930169.02590337803</c:v>
                </c:pt>
                <c:pt idx="241">
                  <c:v>944523.00077815191</c:v>
                </c:pt>
                <c:pt idx="242">
                  <c:v>958991.43626429013</c:v>
                </c:pt>
                <c:pt idx="243">
                  <c:v>973575.24508678133</c:v>
                </c:pt>
                <c:pt idx="244">
                  <c:v>988275.34724881139</c:v>
                </c:pt>
                <c:pt idx="245">
                  <c:v>1003092.6700898007</c:v>
                </c:pt>
                <c:pt idx="246">
                  <c:v>1018028.1483439045</c:v>
                </c:pt>
                <c:pt idx="247">
                  <c:v>1033082.7241989793</c:v>
                </c:pt>
                <c:pt idx="248">
                  <c:v>1048257.3473560201</c:v>
                </c:pt>
                <c:pt idx="249">
                  <c:v>1063552.9750890709</c:v>
                </c:pt>
                <c:pt idx="250">
                  <c:v>1078970.5723056132</c:v>
                </c:pt>
                <c:pt idx="251">
                  <c:v>1094511.1116074366</c:v>
                </c:pt>
                <c:pt idx="252">
                  <c:v>1110175.5733519935</c:v>
                </c:pt>
                <c:pt idx="253">
                  <c:v>1125964.9457142446</c:v>
                </c:pt>
                <c:pt idx="254">
                  <c:v>1141880.2247489968</c:v>
                </c:pt>
                <c:pt idx="255">
                  <c:v>1157922.4144537372</c:v>
                </c:pt>
                <c:pt idx="256">
                  <c:v>1174092.5268319703</c:v>
                </c:pt>
                <c:pt idx="257">
                  <c:v>1190391.5819570585</c:v>
                </c:pt>
                <c:pt idx="258">
                  <c:v>1206820.6080365726</c:v>
                </c:pt>
                <c:pt idx="259">
                  <c:v>1223380.6414771548</c:v>
                </c:pt>
                <c:pt idx="260">
                  <c:v>1240072.7269498997</c:v>
                </c:pt>
                <c:pt idx="261">
                  <c:v>1256897.9174562555</c:v>
                </c:pt>
                <c:pt idx="262">
                  <c:v>1273857.2743944521</c:v>
                </c:pt>
                <c:pt idx="263">
                  <c:v>1290951.8676264577</c:v>
                </c:pt>
                <c:pt idx="264">
                  <c:v>1308182.7755454704</c:v>
                </c:pt>
                <c:pt idx="265">
                  <c:v>1325551.0851439468</c:v>
                </c:pt>
                <c:pt idx="266">
                  <c:v>1343057.8920821741</c:v>
                </c:pt>
                <c:pt idx="267">
                  <c:v>1360704.3007573886</c:v>
                </c:pt>
                <c:pt idx="268">
                  <c:v>1378491.4243734449</c:v>
                </c:pt>
                <c:pt idx="269">
                  <c:v>1396420.385011042</c:v>
                </c:pt>
                <c:pt idx="270">
                  <c:v>1414492.3136985076</c:v>
                </c:pt>
                <c:pt idx="271">
                  <c:v>1432708.3504831481</c:v>
                </c:pt>
                <c:pt idx="272">
                  <c:v>1451069.6445031676</c:v>
                </c:pt>
                <c:pt idx="273">
                  <c:v>1469577.3540601591</c:v>
                </c:pt>
                <c:pt idx="274">
                  <c:v>1488232.6466921752</c:v>
                </c:pt>
                <c:pt idx="275">
                  <c:v>1507036.6992473814</c:v>
                </c:pt>
                <c:pt idx="276">
                  <c:v>1525990.6979582952</c:v>
                </c:pt>
                <c:pt idx="277">
                  <c:v>1545095.8385166193</c:v>
                </c:pt>
                <c:pt idx="278">
                  <c:v>1564353.3261486692</c:v>
                </c:pt>
                <c:pt idx="279">
                  <c:v>1583764.375691405</c:v>
                </c:pt>
                <c:pt idx="280">
                  <c:v>1603330.2116690672</c:v>
                </c:pt>
                <c:pt idx="281">
                  <c:v>1623052.068370424</c:v>
                </c:pt>
                <c:pt idx="282">
                  <c:v>1642931.1899266362</c:v>
                </c:pt>
                <c:pt idx="283">
                  <c:v>1662968.8303897409</c:v>
                </c:pt>
                <c:pt idx="284">
                  <c:v>1683166.2538117622</c:v>
                </c:pt>
                <c:pt idx="285">
                  <c:v>1703524.7343244527</c:v>
                </c:pt>
                <c:pt idx="286">
                  <c:v>1724045.5562196705</c:v>
                </c:pt>
                <c:pt idx="287">
                  <c:v>1744730.0140303972</c:v>
                </c:pt>
                <c:pt idx="288">
                  <c:v>1765579.4126124026</c:v>
                </c:pt>
                <c:pt idx="289">
                  <c:v>1786595.0672265589</c:v>
                </c:pt>
                <c:pt idx="290">
                  <c:v>1807778.3036218139</c:v>
                </c:pt>
                <c:pt idx="291">
                  <c:v>1829130.4581188234</c:v>
                </c:pt>
                <c:pt idx="292">
                  <c:v>1850652.8776942517</c:v>
                </c:pt>
                <c:pt idx="293">
                  <c:v>1872346.9200657443</c:v>
                </c:pt>
                <c:pt idx="294">
                  <c:v>1894213.9537775777</c:v>
                </c:pt>
                <c:pt idx="295">
                  <c:v>1916255.3582869929</c:v>
                </c:pt>
                <c:pt idx="296">
                  <c:v>1938472.5240512164</c:v>
                </c:pt>
                <c:pt idx="297">
                  <c:v>1960866.852615176</c:v>
                </c:pt>
                <c:pt idx="298">
                  <c:v>1983439.7566999157</c:v>
                </c:pt>
                <c:pt idx="299">
                  <c:v>2006192.6602917153</c:v>
                </c:pt>
                <c:pt idx="300">
                  <c:v>2029126.9987319212</c:v>
                </c:pt>
                <c:pt idx="301">
                  <c:v>2052244.2188074933</c:v>
                </c:pt>
                <c:pt idx="302">
                  <c:v>2075545.7788422739</c:v>
                </c:pt>
                <c:pt idx="303">
                  <c:v>2099033.1487889844</c:v>
                </c:pt>
                <c:pt idx="304">
                  <c:v>2122707.8103219555</c:v>
                </c:pt>
                <c:pt idx="305">
                  <c:v>2146571.2569305971</c:v>
                </c:pt>
                <c:pt idx="306">
                  <c:v>2170624.9940136136</c:v>
                </c:pt>
                <c:pt idx="307">
                  <c:v>2194870.5389739699</c:v>
                </c:pt>
                <c:pt idx="308">
                  <c:v>2219309.4213146153</c:v>
                </c:pt>
                <c:pt idx="309">
                  <c:v>2243943.1827349705</c:v>
                </c:pt>
                <c:pt idx="310">
                  <c:v>2268773.3772281837</c:v>
                </c:pt>
                <c:pt idx="311">
                  <c:v>2293801.5711791627</c:v>
                </c:pt>
                <c:pt idx="312">
                  <c:v>2319029.3434633887</c:v>
                </c:pt>
                <c:pt idx="313">
                  <c:v>2344458.2855465179</c:v>
                </c:pt>
                <c:pt idx="314">
                  <c:v>2370090.0015847762</c:v>
                </c:pt>
                <c:pt idx="315">
                  <c:v>2395926.1085261572</c:v>
                </c:pt>
                <c:pt idx="316">
                  <c:v>2421968.2362124249</c:v>
                </c:pt>
                <c:pt idx="317">
                  <c:v>2448218.0274819308</c:v>
                </c:pt>
                <c:pt idx="318">
                  <c:v>2474677.1382732489</c:v>
                </c:pt>
                <c:pt idx="319">
                  <c:v>2501347.2377296411</c:v>
                </c:pt>
                <c:pt idx="320">
                  <c:v>2528230.0083043515</c:v>
                </c:pt>
                <c:pt idx="321">
                  <c:v>2555327.1458667424</c:v>
                </c:pt>
                <c:pt idx="322">
                  <c:v>2582640.3598092771</c:v>
                </c:pt>
                <c:pt idx="323">
                  <c:v>2610171.3731553541</c:v>
                </c:pt>
                <c:pt idx="324">
                  <c:v>2637921.922668003</c:v>
                </c:pt>
                <c:pt idx="325">
                  <c:v>2665893.7589594447</c:v>
                </c:pt>
                <c:pt idx="326">
                  <c:v>2694088.6466015289</c:v>
                </c:pt>
                <c:pt idx="327">
                  <c:v>2722508.3642370482</c:v>
                </c:pt>
                <c:pt idx="328">
                  <c:v>2751154.7046919428</c:v>
                </c:pt>
                <c:pt idx="329">
                  <c:v>2780029.4750883989</c:v>
                </c:pt>
                <c:pt idx="330">
                  <c:v>2809134.496958849</c:v>
                </c:pt>
                <c:pt idx="331">
                  <c:v>2838471.6063608802</c:v>
                </c:pt>
                <c:pt idx="332">
                  <c:v>2868042.6539930613</c:v>
                </c:pt>
                <c:pt idx="333">
                  <c:v>2897849.5053116912</c:v>
                </c:pt>
                <c:pt idx="334">
                  <c:v>2927894.0406484795</c:v>
                </c:pt>
                <c:pt idx="335">
                  <c:v>2958178.1553291646</c:v>
                </c:pt>
                <c:pt idx="336">
                  <c:v>2988703.7597930781</c:v>
                </c:pt>
                <c:pt idx="337">
                  <c:v>3019472.7797136642</c:v>
                </c:pt>
                <c:pt idx="338">
                  <c:v>3050487.1561199566</c:v>
                </c:pt>
                <c:pt idx="339">
                  <c:v>3081748.8455190277</c:v>
                </c:pt>
                <c:pt idx="340">
                  <c:v>3113259.8200194119</c:v>
                </c:pt>
                <c:pt idx="341">
                  <c:v>3145022.0674555139</c:v>
                </c:pt>
                <c:pt idx="342">
                  <c:v>3177037.5915130088</c:v>
                </c:pt>
                <c:pt idx="343">
                  <c:v>3209308.4118552431</c:v>
                </c:pt>
                <c:pt idx="344">
                  <c:v>3241836.5642506424</c:v>
                </c:pt>
                <c:pt idx="345">
                  <c:v>3274624.1007011356</c:v>
                </c:pt>
                <c:pt idx="346">
                  <c:v>3307673.0895716026</c:v>
                </c:pt>
                <c:pt idx="347">
                  <c:v>3340985.6157203559</c:v>
                </c:pt>
                <c:pt idx="348">
                  <c:v>3374563.7806306612</c:v>
                </c:pt>
                <c:pt idx="349">
                  <c:v>3408409.7025433057</c:v>
                </c:pt>
                <c:pt idx="350">
                  <c:v>3442525.5165902274</c:v>
                </c:pt>
                <c:pt idx="351">
                  <c:v>3476913.374929206</c:v>
                </c:pt>
                <c:pt idx="352">
                  <c:v>3511575.4468796286</c:v>
                </c:pt>
                <c:pt idx="353">
                  <c:v>3546513.9190593408</c:v>
                </c:pt>
                <c:pt idx="354">
                  <c:v>3581730.9955225852</c:v>
                </c:pt>
                <c:pt idx="355">
                  <c:v>3617228.8978990433</c:v>
                </c:pt>
                <c:pt idx="356">
                  <c:v>3653009.8655339824</c:v>
                </c:pt>
                <c:pt idx="357">
                  <c:v>3689076.1556295245</c:v>
                </c:pt>
                <c:pt idx="358">
                  <c:v>3725430.0433870382</c:v>
                </c:pt>
                <c:pt idx="359">
                  <c:v>3762073.8221506667</c:v>
                </c:pt>
                <c:pt idx="360">
                  <c:v>3799009.8035520022</c:v>
                </c:pt>
                <c:pt idx="361">
                  <c:v>3836240.3176559112</c:v>
                </c:pt>
                <c:pt idx="362">
                  <c:v>3873767.7131075254</c:v>
                </c:pt>
                <c:pt idx="363">
                  <c:v>3911594.3572804015</c:v>
                </c:pt>
                <c:pt idx="364">
                  <c:v>3949722.6364258663</c:v>
                </c:pt>
                <c:pt idx="365">
                  <c:v>3988154.9558235495</c:v>
                </c:pt>
                <c:pt idx="366">
                  <c:v>4026893.7399331182</c:v>
                </c:pt>
                <c:pt idx="367">
                  <c:v>4065941.4325472219</c:v>
                </c:pt>
                <c:pt idx="368">
                  <c:v>4105300.496945655</c:v>
                </c:pt>
                <c:pt idx="369">
                  <c:v>4144973.4160507517</c:v>
                </c:pt>
                <c:pt idx="370">
                  <c:v>4184962.6925840168</c:v>
                </c:pt>
                <c:pt idx="371">
                  <c:v>4225270.8492240086</c:v>
                </c:pt>
                <c:pt idx="372">
                  <c:v>4265900.4287654776</c:v>
                </c:pt>
                <c:pt idx="373">
                  <c:v>4306853.9942797776</c:v>
                </c:pt>
                <c:pt idx="374">
                  <c:v>4348134.1292765532</c:v>
                </c:pt>
                <c:pt idx="375">
                  <c:v>4389743.4378667166</c:v>
                </c:pt>
                <c:pt idx="376">
                  <c:v>4431684.5449267281</c:v>
                </c:pt>
                <c:pt idx="377">
                  <c:v>4473960.0962641798</c:v>
                </c:pt>
                <c:pt idx="378">
                  <c:v>4516572.7587847058</c:v>
                </c:pt>
                <c:pt idx="379">
                  <c:v>4559525.2206602199</c:v>
                </c:pt>
                <c:pt idx="380">
                  <c:v>4602820.1914984966</c:v>
                </c:pt>
                <c:pt idx="381">
                  <c:v>4646460.4025141029</c:v>
                </c:pt>
                <c:pt idx="382">
                  <c:v>4690448.6067006942</c:v>
                </c:pt>
                <c:pt idx="383">
                  <c:v>4719855.4596881252</c:v>
                </c:pt>
                <c:pt idx="384">
                  <c:v>4749478.0607806286</c:v>
                </c:pt>
                <c:pt idx="385">
                  <c:v>4779318.0917696431</c:v>
                </c:pt>
                <c:pt idx="386">
                  <c:v>4809377.2477779118</c:v>
                </c:pt>
                <c:pt idx="387">
                  <c:v>4839657.2373656193</c:v>
                </c:pt>
                <c:pt idx="388">
                  <c:v>4870159.7826373838</c:v>
                </c:pt>
                <c:pt idx="389">
                  <c:v>4900886.6193500953</c:v>
                </c:pt>
                <c:pt idx="390">
                  <c:v>4931839.4970216164</c:v>
                </c:pt>
                <c:pt idx="391">
                  <c:v>4963020.179040351</c:v>
                </c:pt>
                <c:pt idx="392">
                  <c:v>4994430.4427756798</c:v>
                </c:pt>
                <c:pt idx="393">
                  <c:v>5026072.0796892848</c:v>
                </c:pt>
                <c:pt idx="394">
                  <c:v>5057946.8954473557</c:v>
                </c:pt>
                <c:pt idx="395">
                  <c:v>5090056.7100336943</c:v>
                </c:pt>
                <c:pt idx="396">
                  <c:v>5122403.3578637121</c:v>
                </c:pt>
                <c:pt idx="397">
                  <c:v>5154988.6878993502</c:v>
                </c:pt>
                <c:pt idx="398">
                  <c:v>5187814.5637649028</c:v>
                </c:pt>
                <c:pt idx="399">
                  <c:v>5220882.8638637699</c:v>
                </c:pt>
                <c:pt idx="400">
                  <c:v>5254195.4814961422</c:v>
                </c:pt>
                <c:pt idx="401">
                  <c:v>5287754.3249776177</c:v>
                </c:pt>
                <c:pt idx="402">
                  <c:v>5321561.3177587716</c:v>
                </c:pt>
                <c:pt idx="403">
                  <c:v>5355618.3985456713</c:v>
                </c:pt>
                <c:pt idx="404">
                  <c:v>5389927.5214213608</c:v>
                </c:pt>
                <c:pt idx="405">
                  <c:v>5424490.6559683038</c:v>
                </c:pt>
                <c:pt idx="406">
                  <c:v>5459309.7873918125</c:v>
                </c:pt>
                <c:pt idx="407">
                  <c:v>5494386.9166444521</c:v>
                </c:pt>
                <c:pt idx="408">
                  <c:v>5529724.0605514431</c:v>
                </c:pt>
                <c:pt idx="409">
                  <c:v>5565323.2519370597</c:v>
                </c:pt>
                <c:pt idx="410">
                  <c:v>5601186.5397520354</c:v>
                </c:pt>
                <c:pt idx="411">
                  <c:v>5637315.9892019881</c:v>
                </c:pt>
                <c:pt idx="412">
                  <c:v>5673713.6818768643</c:v>
                </c:pt>
                <c:pt idx="413">
                  <c:v>5710381.7158814184</c:v>
                </c:pt>
                <c:pt idx="414">
                  <c:v>5747322.2059667297</c:v>
                </c:pt>
                <c:pt idx="415">
                  <c:v>5784537.2836627699</c:v>
                </c:pt>
                <c:pt idx="416">
                  <c:v>5822029.0974120265</c:v>
                </c:pt>
                <c:pt idx="417">
                  <c:v>5859799.8127041906</c:v>
                </c:pt>
                <c:pt idx="418">
                  <c:v>5897851.6122119203</c:v>
                </c:pt>
                <c:pt idx="419">
                  <c:v>5936186.6959276842</c:v>
                </c:pt>
                <c:pt idx="420">
                  <c:v>5974807.2813016949</c:v>
                </c:pt>
                <c:pt idx="421">
                  <c:v>6013715.6033809483</c:v>
                </c:pt>
                <c:pt idx="422">
                  <c:v>6052913.9149493622</c:v>
                </c:pt>
                <c:pt idx="423">
                  <c:v>6092404.4866690394</c:v>
                </c:pt>
                <c:pt idx="424">
                  <c:v>6132189.6072226521</c:v>
                </c:pt>
                <c:pt idx="425">
                  <c:v>6172271.5834569652</c:v>
                </c:pt>
                <c:pt idx="426">
                  <c:v>6212652.7405275004</c:v>
                </c:pt>
                <c:pt idx="427">
                  <c:v>6253335.4220443564</c:v>
                </c:pt>
                <c:pt idx="428">
                  <c:v>6294321.990219187</c:v>
                </c:pt>
                <c:pt idx="429">
                  <c:v>6335614.8260133574</c:v>
                </c:pt>
                <c:pt idx="430">
                  <c:v>6377216.3292872785</c:v>
                </c:pt>
                <c:pt idx="431">
                  <c:v>6419128.9189509246</c:v>
                </c:pt>
                <c:pt idx="432">
                  <c:v>6461355.0331155648</c:v>
                </c:pt>
                <c:pt idx="433">
                  <c:v>6503897.129246695</c:v>
                </c:pt>
                <c:pt idx="434">
                  <c:v>6546757.6843181886</c:v>
                </c:pt>
                <c:pt idx="435">
                  <c:v>6589939.1949676797</c:v>
                </c:pt>
                <c:pt idx="436">
                  <c:v>6633444.1776531832</c:v>
                </c:pt>
                <c:pt idx="437">
                  <c:v>6677275.1688109636</c:v>
                </c:pt>
                <c:pt idx="438">
                  <c:v>6721434.7250146624</c:v>
                </c:pt>
                <c:pt idx="439">
                  <c:v>6765925.423135695</c:v>
                </c:pt>
                <c:pt idx="440">
                  <c:v>6810749.8605049234</c:v>
                </c:pt>
                <c:pt idx="441">
                  <c:v>6855910.6550756218</c:v>
                </c:pt>
                <c:pt idx="442">
                  <c:v>6901410.4455877366</c:v>
                </c:pt>
                <c:pt idx="443">
                  <c:v>6947251.8917334611</c:v>
                </c:pt>
                <c:pt idx="444">
                  <c:v>6993437.6743241251</c:v>
                </c:pt>
                <c:pt idx="445">
                  <c:v>7039970.4954584194</c:v>
                </c:pt>
                <c:pt idx="446">
                  <c:v>7086853.0786919575</c:v>
                </c:pt>
                <c:pt idx="447">
                  <c:v>7134088.1692081904</c:v>
                </c:pt>
                <c:pt idx="448">
                  <c:v>7181678.5339906868</c:v>
                </c:pt>
                <c:pt idx="449">
                  <c:v>7229626.9619967826</c:v>
                </c:pt>
                <c:pt idx="450">
                  <c:v>7277936.2643326148</c:v>
                </c:pt>
                <c:pt idx="451">
                  <c:v>7326609.2744295551</c:v>
                </c:pt>
                <c:pt idx="452">
                  <c:v>7375648.8482220443</c:v>
                </c:pt>
                <c:pt idx="453">
                  <c:v>7425057.8643268496</c:v>
                </c:pt>
                <c:pt idx="454">
                  <c:v>7474839.2242237497</c:v>
                </c:pt>
                <c:pt idx="455">
                  <c:v>7524995.8524376536</c:v>
                </c:pt>
                <c:pt idx="456">
                  <c:v>7575530.6967221834</c:v>
                </c:pt>
                <c:pt idx="457">
                  <c:v>7626446.7282447098</c:v>
                </c:pt>
                <c:pt idx="458">
                  <c:v>7677746.9417728689</c:v>
                </c:pt>
                <c:pt idx="459">
                  <c:v>7729434.3558625635</c:v>
                </c:pt>
                <c:pt idx="460">
                  <c:v>7781512.0130474642</c:v>
                </c:pt>
                <c:pt idx="461">
                  <c:v>7833982.9800300198</c:v>
                </c:pt>
                <c:pt idx="462">
                  <c:v>7886850.3478739923</c:v>
                </c:pt>
                <c:pt idx="463">
                  <c:v>7940117.2321985252</c:v>
                </c:pt>
                <c:pt idx="464">
                  <c:v>7993786.7733737594</c:v>
                </c:pt>
                <c:pt idx="465">
                  <c:v>8047862.1367180096</c:v>
                </c:pt>
                <c:pt idx="466">
                  <c:v>8102346.5126965111</c:v>
                </c:pt>
                <c:pt idx="467">
                  <c:v>8157243.1171217524</c:v>
                </c:pt>
                <c:pt idx="468">
                  <c:v>8212555.1913554035</c:v>
                </c:pt>
                <c:pt idx="469">
                  <c:v>8268286.0025118543</c:v>
                </c:pt>
                <c:pt idx="470">
                  <c:v>8324438.8436633777</c:v>
                </c:pt>
                <c:pt idx="471">
                  <c:v>8381017.0340469256</c:v>
                </c:pt>
                <c:pt idx="472">
                  <c:v>8438023.9192725755</c:v>
                </c:pt>
                <c:pt idx="473">
                  <c:v>8495462.8715336341</c:v>
                </c:pt>
                <c:pt idx="474">
                  <c:v>8553337.2898184247</c:v>
                </c:pt>
                <c:pt idx="475">
                  <c:v>8611650.6001237575</c:v>
                </c:pt>
                <c:pt idx="476">
                  <c:v>8670406.2556700967</c:v>
                </c:pt>
                <c:pt idx="477">
                  <c:v>8729607.7371184602</c:v>
                </c:pt>
                <c:pt idx="478">
                  <c:v>8789258.5527890213</c:v>
                </c:pt>
                <c:pt idx="479">
                  <c:v>8849362.2388814818</c:v>
                </c:pt>
                <c:pt idx="480">
                  <c:v>8909922.3596971817</c:v>
                </c:pt>
                <c:pt idx="481">
                  <c:v>8970942.5078629926</c:v>
                </c:pt>
                <c:pt idx="482">
                  <c:v>9032426.3045569826</c:v>
                </c:pt>
                <c:pt idx="483">
                  <c:v>9094377.3997358922</c:v>
                </c:pt>
                <c:pt idx="484">
                  <c:v>9156799.4723644201</c:v>
                </c:pt>
                <c:pt idx="485">
                  <c:v>9219696.2306463383</c:v>
                </c:pt>
                <c:pt idx="486">
                  <c:v>9283071.4122574404</c:v>
                </c:pt>
                <c:pt idx="487">
                  <c:v>9346928.7845803611</c:v>
                </c:pt>
                <c:pt idx="488">
                  <c:v>9411272.1449412592</c:v>
                </c:pt>
                <c:pt idx="489">
                  <c:v>9476105.3208483886</c:v>
                </c:pt>
                <c:pt idx="490">
                  <c:v>9541432.1702325717</c:v>
                </c:pt>
                <c:pt idx="491">
                  <c:v>9607256.5816895925</c:v>
                </c:pt>
                <c:pt idx="492">
                  <c:v>9673582.4747245163</c:v>
                </c:pt>
                <c:pt idx="493">
                  <c:v>9740413.7999979649</c:v>
                </c:pt>
                <c:pt idx="494">
                  <c:v>9807754.5395743474</c:v>
                </c:pt>
                <c:pt idx="495">
                  <c:v>9875608.7071720771</c:v>
                </c:pt>
                <c:pt idx="496">
                  <c:v>9943980.3484157808</c:v>
                </c:pt>
                <c:pt idx="497">
                  <c:v>10012873.541090513</c:v>
                </c:pt>
                <c:pt idx="498">
                  <c:v>10082292.395398002</c:v>
                </c:pt>
                <c:pt idx="499">
                  <c:v>10152241.054214947</c:v>
                </c:pt>
                <c:pt idx="500">
                  <c:v>10222723.693353357</c:v>
                </c:pt>
                <c:pt idx="501">
                  <c:v>10293744.521822976</c:v>
                </c:pt>
                <c:pt idx="502">
                  <c:v>10365307.782095807</c:v>
                </c:pt>
                <c:pt idx="503">
                  <c:v>10437417.750372725</c:v>
                </c:pt>
                <c:pt idx="504">
                  <c:v>10510078.736852232</c:v>
                </c:pt>
                <c:pt idx="505">
                  <c:v>10583295.086001357</c:v>
                </c:pt>
                <c:pt idx="506">
                  <c:v>10657071.176828699</c:v>
                </c:pt>
                <c:pt idx="507">
                  <c:v>10731411.423159657</c:v>
                </c:pt>
                <c:pt idx="508">
                  <c:v>10806320.27391386</c:v>
                </c:pt>
                <c:pt idx="509">
                  <c:v>10881802.213384802</c:v>
                </c:pt>
                <c:pt idx="510">
                  <c:v>10957861.761521699</c:v>
                </c:pt>
                <c:pt idx="511">
                  <c:v>11034503.474213611</c:v>
                </c:pt>
                <c:pt idx="512">
                  <c:v>11111731.943575818</c:v>
                </c:pt>
                <c:pt idx="513">
                  <c:v>11189551.798238473</c:v>
                </c:pt>
                <c:pt idx="514">
                  <c:v>11267967.70363757</c:v>
                </c:pt>
                <c:pt idx="515">
                  <c:v>11346984.36230823</c:v>
                </c:pt>
                <c:pt idx="516">
                  <c:v>11426606.514180312</c:v>
                </c:pt>
                <c:pt idx="517">
                  <c:v>11506838.936876392</c:v>
                </c:pt>
                <c:pt idx="518">
                  <c:v>11587686.446012121</c:v>
                </c:pt>
                <c:pt idx="519">
                  <c:v>11669153.895498965</c:v>
                </c:pt>
                <c:pt idx="520">
                  <c:v>11751246.177849373</c:v>
                </c:pt>
                <c:pt idx="521">
                  <c:v>11833968.224484364</c:v>
                </c:pt>
                <c:pt idx="522">
                  <c:v>11917325.006043576</c:v>
                </c:pt>
                <c:pt idx="523">
                  <c:v>12001321.532697788</c:v>
                </c:pt>
                <c:pt idx="524">
                  <c:v>12085962.85446392</c:v>
                </c:pt>
                <c:pt idx="525">
                  <c:v>12171254.061522566</c:v>
                </c:pt>
                <c:pt idx="526">
                  <c:v>12257200.284538034</c:v>
                </c:pt>
                <c:pt idx="527">
                  <c:v>12343806.694980962</c:v>
                </c:pt>
                <c:pt idx="528">
                  <c:v>12431078.505453488</c:v>
                </c:pt>
                <c:pt idx="529">
                  <c:v>12519020.97001702</c:v>
                </c:pt>
                <c:pt idx="530">
                  <c:v>12607639.384522615</c:v>
                </c:pt>
                <c:pt idx="531">
                  <c:v>12696939.086944006</c:v>
                </c:pt>
                <c:pt idx="532">
                  <c:v>12786925.457713258</c:v>
                </c:pt>
                <c:pt idx="533">
                  <c:v>12877603.920059126</c:v>
                </c:pt>
                <c:pt idx="534">
                  <c:v>12968979.940348102</c:v>
                </c:pt>
                <c:pt idx="535">
                  <c:v>13061059.028428169</c:v>
                </c:pt>
                <c:pt idx="536">
                  <c:v>13153844.149062432</c:v>
                </c:pt>
                <c:pt idx="537">
                  <c:v>13247340.614716489</c:v>
                </c:pt>
                <c:pt idx="538">
                  <c:v>13341554.038974773</c:v>
                </c:pt>
                <c:pt idx="539">
                  <c:v>13436490.080064155</c:v>
                </c:pt>
                <c:pt idx="540">
                  <c:v>13532154.441209668</c:v>
                </c:pt>
                <c:pt idx="541">
                  <c:v>13628552.870993089</c:v>
                </c:pt>
                <c:pt idx="542">
                  <c:v>13725691.163714362</c:v>
                </c:pt>
                <c:pt idx="543">
                  <c:v>13823575.159755917</c:v>
                </c:pt>
                <c:pt idx="544">
                  <c:v>13922210.745949879</c:v>
                </c:pt>
                <c:pt idx="545">
                  <c:v>14021603.855948221</c:v>
                </c:pt>
                <c:pt idx="546">
                  <c:v>14121760.47059585</c:v>
                </c:pt>
                <c:pt idx="547">
                  <c:v>14222686.618306683</c:v>
                </c:pt>
                <c:pt idx="548">
                  <c:v>14324388.375442715</c:v>
                </c:pt>
                <c:pt idx="549">
                  <c:v>14426871.866696112</c:v>
                </c:pt>
                <c:pt idx="550">
                  <c:v>14530143.265474342</c:v>
                </c:pt>
                <c:pt idx="551">
                  <c:v>14634208.794288386</c:v>
                </c:pt>
                <c:pt idx="552">
                  <c:v>14739074.725144042</c:v>
                </c:pt>
                <c:pt idx="553">
                  <c:v>14844747.379936341</c:v>
                </c:pt>
                <c:pt idx="554">
                  <c:v>14951233.130847126</c:v>
                </c:pt>
                <c:pt idx="555">
                  <c:v>15058538.400745776</c:v>
                </c:pt>
                <c:pt idx="556">
                  <c:v>15166669.663593143</c:v>
                </c:pt>
                <c:pt idx="557">
                  <c:v>15275633.444848711</c:v>
                </c:pt>
                <c:pt idx="558">
                  <c:v>15385436.321880981</c:v>
                </c:pt>
                <c:pt idx="559">
                  <c:v>15496084.924381154</c:v>
                </c:pt>
                <c:pt idx="560">
                  <c:v>15607585.934780091</c:v>
                </c:pt>
                <c:pt idx="561">
                  <c:v>15719946.088668611</c:v>
                </c:pt>
                <c:pt idx="562">
                  <c:v>15833172.175221134</c:v>
                </c:pt>
                <c:pt idx="563">
                  <c:v>15947271.037622701</c:v>
                </c:pt>
                <c:pt idx="564">
                  <c:v>16062249.573499402</c:v>
                </c:pt>
                <c:pt idx="565">
                  <c:v>16178114.735352233</c:v>
                </c:pt>
                <c:pt idx="566">
                  <c:v>16294873.530994413</c:v>
                </c:pt>
                <c:pt idx="567">
                  <c:v>16412533.02399219</c:v>
                </c:pt>
                <c:pt idx="568">
                  <c:v>16531100.334109155</c:v>
                </c:pt>
                <c:pt idx="569">
                  <c:v>16650582.637754107</c:v>
                </c:pt>
                <c:pt idx="570">
                  <c:v>16770987.168432482</c:v>
                </c:pt>
                <c:pt idx="571">
                  <c:v>16892321.217201386</c:v>
                </c:pt>
                <c:pt idx="572">
                  <c:v>17014592.133128248</c:v>
                </c:pt>
                <c:pt idx="573">
                  <c:v>17137807.323753148</c:v>
                </c:pt>
                <c:pt idx="574">
                  <c:v>17261974.255554806</c:v>
                </c:pt>
                <c:pt idx="575">
                  <c:v>17387100.454420302</c:v>
                </c:pt>
                <c:pt idx="576">
                  <c:v>17513193.50611854</c:v>
                </c:pt>
                <c:pt idx="577">
                  <c:v>17640261.056777488</c:v>
                </c:pt>
                <c:pt idx="578">
                  <c:v>17768310.813365214</c:v>
                </c:pt>
                <c:pt idx="579">
                  <c:v>17897350.544174761</c:v>
                </c:pt>
                <c:pt idx="580">
                  <c:v>18027388.079312902</c:v>
                </c:pt>
                <c:pt idx="581">
                  <c:v>18158431.31119277</c:v>
                </c:pt>
                <c:pt idx="582">
                  <c:v>18290488.195030432</c:v>
                </c:pt>
                <c:pt idx="583">
                  <c:v>18423566.749345407</c:v>
                </c:pt>
                <c:pt idx="584">
                  <c:v>18557675.056465194</c:v>
                </c:pt>
                <c:pt idx="585">
                  <c:v>18692821.2630338</c:v>
                </c:pt>
                <c:pt idx="586">
                  <c:v>18829013.580524351</c:v>
                </c:pt>
                <c:pt idx="587">
                  <c:v>18966260.285755765</c:v>
                </c:pt>
                <c:pt idx="588">
                  <c:v>19104569.721413542</c:v>
                </c:pt>
                <c:pt idx="589">
                  <c:v>19243950.296574734</c:v>
                </c:pt>
                <c:pt idx="590">
                  <c:v>19384410.487237088</c:v>
                </c:pt>
                <c:pt idx="591">
                  <c:v>19525958.836852383</c:v>
                </c:pt>
                <c:pt idx="592">
                  <c:v>19668603.956864055</c:v>
                </c:pt>
                <c:pt idx="593">
                  <c:v>19812354.527249094</c:v>
                </c:pt>
                <c:pt idx="594">
                  <c:v>19957219.297064256</c:v>
                </c:pt>
                <c:pt idx="595">
                  <c:v>20103207.084996641</c:v>
                </c:pt>
                <c:pt idx="596">
                  <c:v>20250326.779918645</c:v>
                </c:pt>
                <c:pt idx="597">
                  <c:v>20398587.341447361</c:v>
                </c:pt>
                <c:pt idx="598">
                  <c:v>20547997.800508417</c:v>
                </c:pt>
                <c:pt idx="599">
                  <c:v>20698567.259904321</c:v>
                </c:pt>
                <c:pt idx="600">
                  <c:v>20850304.894887332</c:v>
                </c:pt>
                <c:pt idx="601">
                  <c:v>21003219.953736912</c:v>
                </c:pt>
                <c:pt idx="602">
                  <c:v>21157321.758341759</c:v>
                </c:pt>
                <c:pt idx="603">
                  <c:v>21312619.704786498</c:v>
                </c:pt>
                <c:pt idx="604">
                  <c:v>21469123.26394305</c:v>
                </c:pt>
                <c:pt idx="605">
                  <c:v>21626841.982066706</c:v>
                </c:pt>
                <c:pt idx="606">
                  <c:v>21785785.481396966</c:v>
                </c:pt>
                <c:pt idx="607">
                  <c:v>21945963.460763145</c:v>
                </c:pt>
                <c:pt idx="608">
                  <c:v>22107385.696194846</c:v>
                </c:pt>
                <c:pt idx="609">
                  <c:v>22270062.041537262</c:v>
                </c:pt>
                <c:pt idx="610">
                  <c:v>22434002.429071408</c:v>
                </c:pt>
                <c:pt idx="611">
                  <c:v>22599216.870139286</c:v>
                </c:pt>
                <c:pt idx="612">
                  <c:v>22765715.455774039</c:v>
                </c:pt>
                <c:pt idx="613">
                  <c:v>22933508.357335143</c:v>
                </c:pt>
                <c:pt idx="614">
                  <c:v>23102605.827148631</c:v>
                </c:pt>
                <c:pt idx="615">
                  <c:v>23273018.199152455</c:v>
                </c:pt>
                <c:pt idx="616">
                  <c:v>23444755.889546968</c:v>
                </c:pt>
                <c:pt idx="617">
                  <c:v>23617829.397450607</c:v>
                </c:pt>
                <c:pt idx="618">
                  <c:v>23792249.305560812</c:v>
                </c:pt>
                <c:pt idx="619">
                  <c:v>23968026.280820183</c:v>
                </c:pt>
                <c:pt idx="620">
                  <c:v>24145171.075087991</c:v>
                </c:pt>
                <c:pt idx="621">
                  <c:v>24323694.525816996</c:v>
                </c:pt>
                <c:pt idx="622">
                  <c:v>24503607.556735713</c:v>
                </c:pt>
                <c:pt idx="623">
                  <c:v>24684921.178536069</c:v>
                </c:pt>
                <c:pt idx="624">
                  <c:v>24867646.489566579</c:v>
                </c:pt>
                <c:pt idx="625">
                  <c:v>25051794.676531028</c:v>
                </c:pt>
                <c:pt idx="626">
                  <c:v>25237377.015192732</c:v>
                </c:pt>
                <c:pt idx="627">
                  <c:v>25424404.871084411</c:v>
                </c:pt>
                <c:pt idx="628">
                  <c:v>25612889.700223736</c:v>
                </c:pt>
                <c:pt idx="629">
                  <c:v>25802843.049834546</c:v>
                </c:pt>
                <c:pt idx="630">
                  <c:v>25994276.559073862</c:v>
                </c:pt>
                <c:pt idx="631">
                  <c:v>26187201.959764656</c:v>
                </c:pt>
                <c:pt idx="632">
                  <c:v>26381631.077134497</c:v>
                </c:pt>
                <c:pt idx="633">
                  <c:v>26577575.830560062</c:v>
                </c:pt>
                <c:pt idx="634">
                  <c:v>26775048.234317586</c:v>
                </c:pt>
                <c:pt idx="635">
                  <c:v>26974060.398339316</c:v>
                </c:pt>
                <c:pt idx="636">
                  <c:v>27174624.528975967</c:v>
                </c:pt>
                <c:pt idx="637">
                  <c:v>27376752.929765277</c:v>
                </c:pt>
                <c:pt idx="638">
                  <c:v>27580458.002206687</c:v>
                </c:pt>
                <c:pt idx="639">
                  <c:v>27785752.2465422</c:v>
                </c:pt>
                <c:pt idx="640">
                  <c:v>27992648.262543451</c:v>
                </c:pt>
                <c:pt idx="641">
                  <c:v>28201158.750305068</c:v>
                </c:pt>
                <c:pt idx="642">
                  <c:v>28411296.511044357</c:v>
                </c:pt>
                <c:pt idx="643">
                  <c:v>28623074.447907355</c:v>
                </c:pt>
                <c:pt idx="644">
                  <c:v>28836505.56678132</c:v>
                </c:pt>
                <c:pt idx="645">
                  <c:v>29051602.97711369</c:v>
                </c:pt>
                <c:pt idx="646">
                  <c:v>29268379.892737579</c:v>
                </c:pt>
                <c:pt idx="647">
                  <c:v>29486849.632703848</c:v>
                </c:pt>
                <c:pt idx="648">
                  <c:v>29707025.622119825</c:v>
                </c:pt>
                <c:pt idx="649">
                  <c:v>29928921.392994691</c:v>
                </c:pt>
                <c:pt idx="650">
                  <c:v>30152550.585091621</c:v>
                </c:pt>
                <c:pt idx="651">
                  <c:v>30377926.946786717</c:v>
                </c:pt>
                <c:pt idx="652">
                  <c:v>30605064.335934788</c:v>
                </c:pt>
                <c:pt idx="653">
                  <c:v>30833976.720742039</c:v>
                </c:pt>
                <c:pt idx="654">
                  <c:v>31064678.180645701</c:v>
                </c:pt>
                <c:pt idx="655">
                  <c:v>31297182.907200702</c:v>
                </c:pt>
                <c:pt idx="656">
                  <c:v>31531505.204973377</c:v>
                </c:pt>
                <c:pt idx="657">
                  <c:v>31767659.49244234</c:v>
                </c:pt>
                <c:pt idx="658">
                  <c:v>32005660.302906491</c:v>
                </c:pt>
                <c:pt idx="659">
                  <c:v>32245522.285400312</c:v>
                </c:pt>
                <c:pt idx="660">
                  <c:v>32487260.205616441</c:v>
                </c:pt>
                <c:pt idx="661">
                  <c:v>32730888.946835581</c:v>
                </c:pt>
                <c:pt idx="662">
                  <c:v>32976423.510863859</c:v>
                </c:pt>
                <c:pt idx="663">
                  <c:v>33223879.018977646</c:v>
                </c:pt>
                <c:pt idx="664">
                  <c:v>33473270.712875888</c:v>
                </c:pt>
                <c:pt idx="665">
                  <c:v>33724613.95564007</c:v>
                </c:pt>
                <c:pt idx="666">
                  <c:v>33977924.232701801</c:v>
                </c:pt>
                <c:pt idx="667">
                  <c:v>34233217.152818151</c:v>
                </c:pt>
                <c:pt idx="668">
                  <c:v>34490508.449054696</c:v>
                </c:pt>
                <c:pt idx="669">
                  <c:v>34749813.979776487</c:v>
                </c:pt>
                <c:pt idx="670">
                  <c:v>35011149.729646876</c:v>
                </c:pt>
                <c:pt idx="671">
                  <c:v>35274531.810634285</c:v>
                </c:pt>
                <c:pt idx="672">
                  <c:v>35539976.463027045</c:v>
                </c:pt>
                <c:pt idx="673">
                  <c:v>35807500.056456305</c:v>
                </c:pt>
                <c:pt idx="674">
                  <c:v>36077119.090927117</c:v>
                </c:pt>
                <c:pt idx="675">
                  <c:v>36348850.197857693</c:v>
                </c:pt>
                <c:pt idx="676">
                  <c:v>36622705.588097066</c:v>
                </c:pt>
                <c:pt idx="677">
                  <c:v>36898701.139195457</c:v>
                </c:pt>
                <c:pt idx="678">
                  <c:v>37176853.827286243</c:v>
                </c:pt>
                <c:pt idx="679">
                  <c:v>37457180.763687879</c:v>
                </c:pt>
                <c:pt idx="680">
                  <c:v>37739699.19598151</c:v>
                </c:pt>
                <c:pt idx="681">
                  <c:v>38024426.509097151</c:v>
                </c:pt>
                <c:pt idx="682">
                  <c:v>38311380.226408549</c:v>
                </c:pt>
                <c:pt idx="683">
                  <c:v>38600578.010836788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9-534B-95D7-B06F29A9041D}"/>
            </c:ext>
          </c:extLst>
        </c:ser>
        <c:ser>
          <c:idx val="1"/>
          <c:order val="1"/>
          <c:tx>
            <c:v>Strategy 2 — buy at 25, no rent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Calc2!$B$5:$B$688</c:f>
              <c:numCache>
                <c:formatCode>0.00</c:formatCode>
                <c:ptCount val="684"/>
                <c:pt idx="0">
                  <c:v>18.054794520547944</c:v>
                </c:pt>
                <c:pt idx="1">
                  <c:v>18.138127853881276</c:v>
                </c:pt>
                <c:pt idx="2">
                  <c:v>18.221461187214608</c:v>
                </c:pt>
                <c:pt idx="3">
                  <c:v>18.30479452054794</c:v>
                </c:pt>
                <c:pt idx="4">
                  <c:v>18.388127853881272</c:v>
                </c:pt>
                <c:pt idx="5">
                  <c:v>18.471461187214604</c:v>
                </c:pt>
                <c:pt idx="6">
                  <c:v>18.554794520547937</c:v>
                </c:pt>
                <c:pt idx="7">
                  <c:v>18.638127853881269</c:v>
                </c:pt>
                <c:pt idx="8">
                  <c:v>18.721461187214601</c:v>
                </c:pt>
                <c:pt idx="9">
                  <c:v>18.804794520547933</c:v>
                </c:pt>
                <c:pt idx="10">
                  <c:v>18.888127853881265</c:v>
                </c:pt>
                <c:pt idx="11">
                  <c:v>18.971461187214597</c:v>
                </c:pt>
                <c:pt idx="12">
                  <c:v>19.054794520547929</c:v>
                </c:pt>
                <c:pt idx="13">
                  <c:v>19.138127853881262</c:v>
                </c:pt>
                <c:pt idx="14">
                  <c:v>19.221461187214594</c:v>
                </c:pt>
                <c:pt idx="15">
                  <c:v>19.304794520547926</c:v>
                </c:pt>
                <c:pt idx="16">
                  <c:v>19.388127853881258</c:v>
                </c:pt>
                <c:pt idx="17">
                  <c:v>19.47146118721459</c:v>
                </c:pt>
                <c:pt idx="18">
                  <c:v>19.554794520547922</c:v>
                </c:pt>
                <c:pt idx="19">
                  <c:v>19.638127853881254</c:v>
                </c:pt>
                <c:pt idx="20">
                  <c:v>19.721461187214587</c:v>
                </c:pt>
                <c:pt idx="21">
                  <c:v>19.804794520547919</c:v>
                </c:pt>
                <c:pt idx="22">
                  <c:v>19.888127853881251</c:v>
                </c:pt>
                <c:pt idx="23">
                  <c:v>19.971461187214583</c:v>
                </c:pt>
                <c:pt idx="24">
                  <c:v>20.054794520547915</c:v>
                </c:pt>
                <c:pt idx="25">
                  <c:v>20.138127853881247</c:v>
                </c:pt>
                <c:pt idx="26">
                  <c:v>20.22146118721458</c:v>
                </c:pt>
                <c:pt idx="27">
                  <c:v>20.304794520547912</c:v>
                </c:pt>
                <c:pt idx="28">
                  <c:v>20.388127853881244</c:v>
                </c:pt>
                <c:pt idx="29">
                  <c:v>20.471461187214576</c:v>
                </c:pt>
                <c:pt idx="30">
                  <c:v>20.554794520547908</c:v>
                </c:pt>
                <c:pt idx="31">
                  <c:v>20.63812785388124</c:v>
                </c:pt>
                <c:pt idx="32">
                  <c:v>20.721461187214572</c:v>
                </c:pt>
                <c:pt idx="33">
                  <c:v>20.804794520547905</c:v>
                </c:pt>
                <c:pt idx="34">
                  <c:v>20.888127853881237</c:v>
                </c:pt>
                <c:pt idx="35">
                  <c:v>20.971461187214569</c:v>
                </c:pt>
                <c:pt idx="36">
                  <c:v>21.054794520547901</c:v>
                </c:pt>
                <c:pt idx="37">
                  <c:v>21.138127853881233</c:v>
                </c:pt>
                <c:pt idx="38">
                  <c:v>21.221461187214565</c:v>
                </c:pt>
                <c:pt idx="39">
                  <c:v>21.304794520547897</c:v>
                </c:pt>
                <c:pt idx="40">
                  <c:v>21.38812785388123</c:v>
                </c:pt>
                <c:pt idx="41">
                  <c:v>21.471461187214562</c:v>
                </c:pt>
                <c:pt idx="42">
                  <c:v>21.554794520547894</c:v>
                </c:pt>
                <c:pt idx="43">
                  <c:v>21.638127853881226</c:v>
                </c:pt>
                <c:pt idx="44">
                  <c:v>21.721461187214558</c:v>
                </c:pt>
                <c:pt idx="45">
                  <c:v>21.80479452054789</c:v>
                </c:pt>
                <c:pt idx="46">
                  <c:v>21.888127853881223</c:v>
                </c:pt>
                <c:pt idx="47">
                  <c:v>21.971461187214555</c:v>
                </c:pt>
                <c:pt idx="48">
                  <c:v>22.054794520547887</c:v>
                </c:pt>
                <c:pt idx="49">
                  <c:v>22.138127853881219</c:v>
                </c:pt>
                <c:pt idx="50">
                  <c:v>22.221461187214551</c:v>
                </c:pt>
                <c:pt idx="51">
                  <c:v>22.304794520547883</c:v>
                </c:pt>
                <c:pt idx="52">
                  <c:v>22.388127853881215</c:v>
                </c:pt>
                <c:pt idx="53">
                  <c:v>22.471461187214548</c:v>
                </c:pt>
                <c:pt idx="54">
                  <c:v>22.55479452054788</c:v>
                </c:pt>
                <c:pt idx="55">
                  <c:v>22.638127853881212</c:v>
                </c:pt>
                <c:pt idx="56">
                  <c:v>22.721461187214544</c:v>
                </c:pt>
                <c:pt idx="57">
                  <c:v>22.804794520547876</c:v>
                </c:pt>
                <c:pt idx="58">
                  <c:v>22.888127853881208</c:v>
                </c:pt>
                <c:pt idx="59">
                  <c:v>22.97146118721454</c:v>
                </c:pt>
                <c:pt idx="60">
                  <c:v>23.054794520547873</c:v>
                </c:pt>
                <c:pt idx="61">
                  <c:v>23.138127853881205</c:v>
                </c:pt>
                <c:pt idx="62">
                  <c:v>23.221461187214537</c:v>
                </c:pt>
                <c:pt idx="63">
                  <c:v>23.304794520547869</c:v>
                </c:pt>
                <c:pt idx="64">
                  <c:v>23.388127853881201</c:v>
                </c:pt>
                <c:pt idx="65">
                  <c:v>23.471461187214533</c:v>
                </c:pt>
                <c:pt idx="66">
                  <c:v>23.554794520547865</c:v>
                </c:pt>
                <c:pt idx="67">
                  <c:v>23.638127853881198</c:v>
                </c:pt>
                <c:pt idx="68">
                  <c:v>23.72146118721453</c:v>
                </c:pt>
                <c:pt idx="69">
                  <c:v>23.804794520547862</c:v>
                </c:pt>
                <c:pt idx="70">
                  <c:v>23.888127853881194</c:v>
                </c:pt>
                <c:pt idx="71">
                  <c:v>23.971461187214526</c:v>
                </c:pt>
                <c:pt idx="72">
                  <c:v>24.054794520547858</c:v>
                </c:pt>
                <c:pt idx="73">
                  <c:v>24.138127853881191</c:v>
                </c:pt>
                <c:pt idx="74">
                  <c:v>24.221461187214523</c:v>
                </c:pt>
                <c:pt idx="75">
                  <c:v>24.304794520547855</c:v>
                </c:pt>
                <c:pt idx="76">
                  <c:v>24.388127853881187</c:v>
                </c:pt>
                <c:pt idx="77">
                  <c:v>24.471461187214519</c:v>
                </c:pt>
                <c:pt idx="78">
                  <c:v>24.554794520547851</c:v>
                </c:pt>
                <c:pt idx="79">
                  <c:v>24.638127853881183</c:v>
                </c:pt>
                <c:pt idx="80">
                  <c:v>24.721461187214516</c:v>
                </c:pt>
                <c:pt idx="81">
                  <c:v>24.804794520547848</c:v>
                </c:pt>
                <c:pt idx="82">
                  <c:v>24.88812785388118</c:v>
                </c:pt>
                <c:pt idx="83">
                  <c:v>24.971461187214512</c:v>
                </c:pt>
                <c:pt idx="84">
                  <c:v>25.054794520547844</c:v>
                </c:pt>
                <c:pt idx="85">
                  <c:v>25.138127853881176</c:v>
                </c:pt>
                <c:pt idx="86">
                  <c:v>25.221461187214508</c:v>
                </c:pt>
                <c:pt idx="87">
                  <c:v>25.304794520547841</c:v>
                </c:pt>
                <c:pt idx="88">
                  <c:v>25.388127853881173</c:v>
                </c:pt>
                <c:pt idx="89">
                  <c:v>25.471461187214505</c:v>
                </c:pt>
                <c:pt idx="90">
                  <c:v>25.554794520547837</c:v>
                </c:pt>
                <c:pt idx="91">
                  <c:v>25.638127853881169</c:v>
                </c:pt>
                <c:pt idx="92">
                  <c:v>25.721461187214501</c:v>
                </c:pt>
                <c:pt idx="93">
                  <c:v>25.804794520547834</c:v>
                </c:pt>
                <c:pt idx="94">
                  <c:v>25.888127853881166</c:v>
                </c:pt>
                <c:pt idx="95">
                  <c:v>25.971461187214498</c:v>
                </c:pt>
                <c:pt idx="96">
                  <c:v>26.05479452054783</c:v>
                </c:pt>
                <c:pt idx="97">
                  <c:v>26.138127853881162</c:v>
                </c:pt>
                <c:pt idx="98">
                  <c:v>26.221461187214494</c:v>
                </c:pt>
                <c:pt idx="99">
                  <c:v>26.304794520547826</c:v>
                </c:pt>
                <c:pt idx="100">
                  <c:v>26.388127853881159</c:v>
                </c:pt>
                <c:pt idx="101">
                  <c:v>26.471461187214491</c:v>
                </c:pt>
                <c:pt idx="102">
                  <c:v>26.554794520547823</c:v>
                </c:pt>
                <c:pt idx="103">
                  <c:v>26.638127853881155</c:v>
                </c:pt>
                <c:pt idx="104">
                  <c:v>26.721461187214487</c:v>
                </c:pt>
                <c:pt idx="105">
                  <c:v>26.804794520547819</c:v>
                </c:pt>
                <c:pt idx="106">
                  <c:v>26.888127853881151</c:v>
                </c:pt>
                <c:pt idx="107">
                  <c:v>26.971461187214484</c:v>
                </c:pt>
                <c:pt idx="108">
                  <c:v>27.054794520547816</c:v>
                </c:pt>
                <c:pt idx="109">
                  <c:v>27.138127853881148</c:v>
                </c:pt>
                <c:pt idx="110">
                  <c:v>27.22146118721448</c:v>
                </c:pt>
                <c:pt idx="111">
                  <c:v>27.304794520547812</c:v>
                </c:pt>
                <c:pt idx="112">
                  <c:v>27.388127853881144</c:v>
                </c:pt>
                <c:pt idx="113">
                  <c:v>27.471461187214476</c:v>
                </c:pt>
                <c:pt idx="114">
                  <c:v>27.554794520547809</c:v>
                </c:pt>
                <c:pt idx="115">
                  <c:v>27.638127853881141</c:v>
                </c:pt>
                <c:pt idx="116">
                  <c:v>27.721461187214473</c:v>
                </c:pt>
                <c:pt idx="117">
                  <c:v>27.804794520547805</c:v>
                </c:pt>
                <c:pt idx="118">
                  <c:v>27.888127853881137</c:v>
                </c:pt>
                <c:pt idx="119">
                  <c:v>27.971461187214469</c:v>
                </c:pt>
                <c:pt idx="120">
                  <c:v>28.054794520547802</c:v>
                </c:pt>
                <c:pt idx="121">
                  <c:v>28.138127853881134</c:v>
                </c:pt>
                <c:pt idx="122">
                  <c:v>28.221461187214466</c:v>
                </c:pt>
                <c:pt idx="123">
                  <c:v>28.304794520547798</c:v>
                </c:pt>
                <c:pt idx="124">
                  <c:v>28.38812785388113</c:v>
                </c:pt>
                <c:pt idx="125">
                  <c:v>28.471461187214462</c:v>
                </c:pt>
                <c:pt idx="126">
                  <c:v>28.554794520547794</c:v>
                </c:pt>
                <c:pt idx="127">
                  <c:v>28.638127853881127</c:v>
                </c:pt>
                <c:pt idx="128">
                  <c:v>28.721461187214459</c:v>
                </c:pt>
                <c:pt idx="129">
                  <c:v>28.804794520547791</c:v>
                </c:pt>
                <c:pt idx="130">
                  <c:v>28.888127853881123</c:v>
                </c:pt>
                <c:pt idx="131">
                  <c:v>28.971461187214455</c:v>
                </c:pt>
                <c:pt idx="132">
                  <c:v>29.054794520547787</c:v>
                </c:pt>
                <c:pt idx="133">
                  <c:v>29.138127853881119</c:v>
                </c:pt>
                <c:pt idx="134">
                  <c:v>29.221461187214452</c:v>
                </c:pt>
                <c:pt idx="135">
                  <c:v>29.304794520547784</c:v>
                </c:pt>
                <c:pt idx="136">
                  <c:v>29.388127853881116</c:v>
                </c:pt>
                <c:pt idx="137">
                  <c:v>29.471461187214448</c:v>
                </c:pt>
                <c:pt idx="138">
                  <c:v>29.55479452054778</c:v>
                </c:pt>
                <c:pt idx="139">
                  <c:v>29.638127853881112</c:v>
                </c:pt>
                <c:pt idx="140">
                  <c:v>29.721461187214445</c:v>
                </c:pt>
                <c:pt idx="141">
                  <c:v>29.804794520547777</c:v>
                </c:pt>
                <c:pt idx="142">
                  <c:v>29.888127853881109</c:v>
                </c:pt>
                <c:pt idx="143">
                  <c:v>29.971461187214441</c:v>
                </c:pt>
                <c:pt idx="144">
                  <c:v>30.054794520547773</c:v>
                </c:pt>
                <c:pt idx="145">
                  <c:v>30.138127853881105</c:v>
                </c:pt>
                <c:pt idx="146">
                  <c:v>30.221461187214437</c:v>
                </c:pt>
                <c:pt idx="147">
                  <c:v>30.30479452054777</c:v>
                </c:pt>
                <c:pt idx="148">
                  <c:v>30.388127853881102</c:v>
                </c:pt>
                <c:pt idx="149">
                  <c:v>30.471461187214434</c:v>
                </c:pt>
                <c:pt idx="150">
                  <c:v>30.554794520547766</c:v>
                </c:pt>
                <c:pt idx="151">
                  <c:v>30.638127853881098</c:v>
                </c:pt>
                <c:pt idx="152">
                  <c:v>30.72146118721443</c:v>
                </c:pt>
                <c:pt idx="153">
                  <c:v>30.804794520547762</c:v>
                </c:pt>
                <c:pt idx="154">
                  <c:v>30.888127853881095</c:v>
                </c:pt>
                <c:pt idx="155">
                  <c:v>30.971461187214427</c:v>
                </c:pt>
                <c:pt idx="156">
                  <c:v>31.054794520547759</c:v>
                </c:pt>
                <c:pt idx="157">
                  <c:v>31.138127853881091</c:v>
                </c:pt>
                <c:pt idx="158">
                  <c:v>31.221461187214423</c:v>
                </c:pt>
                <c:pt idx="159">
                  <c:v>31.304794520547755</c:v>
                </c:pt>
                <c:pt idx="160">
                  <c:v>31.388127853881088</c:v>
                </c:pt>
                <c:pt idx="161">
                  <c:v>31.47146118721442</c:v>
                </c:pt>
                <c:pt idx="162">
                  <c:v>31.554794520547752</c:v>
                </c:pt>
                <c:pt idx="163">
                  <c:v>31.638127853881084</c:v>
                </c:pt>
                <c:pt idx="164">
                  <c:v>31.721461187214416</c:v>
                </c:pt>
                <c:pt idx="165">
                  <c:v>31.804794520547748</c:v>
                </c:pt>
                <c:pt idx="166">
                  <c:v>31.88812785388108</c:v>
                </c:pt>
                <c:pt idx="167">
                  <c:v>31.971461187214413</c:v>
                </c:pt>
                <c:pt idx="168">
                  <c:v>32.054794520547745</c:v>
                </c:pt>
                <c:pt idx="169">
                  <c:v>32.13812785388108</c:v>
                </c:pt>
                <c:pt idx="170">
                  <c:v>32.221461187214416</c:v>
                </c:pt>
                <c:pt idx="171">
                  <c:v>32.304794520547752</c:v>
                </c:pt>
                <c:pt idx="172">
                  <c:v>32.388127853881088</c:v>
                </c:pt>
                <c:pt idx="173">
                  <c:v>32.471461187214423</c:v>
                </c:pt>
                <c:pt idx="174">
                  <c:v>32.554794520547759</c:v>
                </c:pt>
                <c:pt idx="175">
                  <c:v>32.638127853881095</c:v>
                </c:pt>
                <c:pt idx="176">
                  <c:v>32.72146118721443</c:v>
                </c:pt>
                <c:pt idx="177">
                  <c:v>32.804794520547766</c:v>
                </c:pt>
                <c:pt idx="178">
                  <c:v>32.888127853881102</c:v>
                </c:pt>
                <c:pt idx="179">
                  <c:v>32.971461187214437</c:v>
                </c:pt>
                <c:pt idx="180">
                  <c:v>33.054794520547773</c:v>
                </c:pt>
                <c:pt idx="181">
                  <c:v>33.138127853881109</c:v>
                </c:pt>
                <c:pt idx="182">
                  <c:v>33.221461187214445</c:v>
                </c:pt>
                <c:pt idx="183">
                  <c:v>33.30479452054778</c:v>
                </c:pt>
                <c:pt idx="184">
                  <c:v>33.388127853881116</c:v>
                </c:pt>
                <c:pt idx="185">
                  <c:v>33.471461187214452</c:v>
                </c:pt>
                <c:pt idx="186">
                  <c:v>33.554794520547787</c:v>
                </c:pt>
                <c:pt idx="187">
                  <c:v>33.638127853881123</c:v>
                </c:pt>
                <c:pt idx="188">
                  <c:v>33.721461187214459</c:v>
                </c:pt>
                <c:pt idx="189">
                  <c:v>33.804794520547794</c:v>
                </c:pt>
                <c:pt idx="190">
                  <c:v>33.88812785388113</c:v>
                </c:pt>
                <c:pt idx="191">
                  <c:v>33.971461187214466</c:v>
                </c:pt>
                <c:pt idx="192">
                  <c:v>34.054794520547802</c:v>
                </c:pt>
                <c:pt idx="193">
                  <c:v>34.138127853881137</c:v>
                </c:pt>
                <c:pt idx="194">
                  <c:v>34.221461187214473</c:v>
                </c:pt>
                <c:pt idx="195">
                  <c:v>34.304794520547809</c:v>
                </c:pt>
                <c:pt idx="196">
                  <c:v>34.388127853881144</c:v>
                </c:pt>
                <c:pt idx="197">
                  <c:v>34.47146118721448</c:v>
                </c:pt>
                <c:pt idx="198">
                  <c:v>34.554794520547816</c:v>
                </c:pt>
                <c:pt idx="199">
                  <c:v>34.638127853881151</c:v>
                </c:pt>
                <c:pt idx="200">
                  <c:v>34.721461187214487</c:v>
                </c:pt>
                <c:pt idx="201">
                  <c:v>34.804794520547823</c:v>
                </c:pt>
                <c:pt idx="202">
                  <c:v>34.888127853881159</c:v>
                </c:pt>
                <c:pt idx="203">
                  <c:v>34.971461187214494</c:v>
                </c:pt>
                <c:pt idx="204">
                  <c:v>35.05479452054783</c:v>
                </c:pt>
                <c:pt idx="205">
                  <c:v>35.138127853881166</c:v>
                </c:pt>
                <c:pt idx="206">
                  <c:v>35.221461187214501</c:v>
                </c:pt>
                <c:pt idx="207">
                  <c:v>35.304794520547837</c:v>
                </c:pt>
                <c:pt idx="208">
                  <c:v>35.388127853881173</c:v>
                </c:pt>
                <c:pt idx="209">
                  <c:v>35.471461187214508</c:v>
                </c:pt>
                <c:pt idx="210">
                  <c:v>35.554794520547844</c:v>
                </c:pt>
                <c:pt idx="211">
                  <c:v>35.63812785388118</c:v>
                </c:pt>
                <c:pt idx="212">
                  <c:v>35.721461187214516</c:v>
                </c:pt>
                <c:pt idx="213">
                  <c:v>35.804794520547851</c:v>
                </c:pt>
                <c:pt idx="214">
                  <c:v>35.888127853881187</c:v>
                </c:pt>
                <c:pt idx="215">
                  <c:v>35.971461187214523</c:v>
                </c:pt>
                <c:pt idx="216">
                  <c:v>36.054794520547858</c:v>
                </c:pt>
                <c:pt idx="217">
                  <c:v>36.138127853881194</c:v>
                </c:pt>
                <c:pt idx="218">
                  <c:v>36.22146118721453</c:v>
                </c:pt>
                <c:pt idx="219">
                  <c:v>36.304794520547865</c:v>
                </c:pt>
                <c:pt idx="220">
                  <c:v>36.388127853881201</c:v>
                </c:pt>
                <c:pt idx="221">
                  <c:v>36.471461187214537</c:v>
                </c:pt>
                <c:pt idx="222">
                  <c:v>36.554794520547873</c:v>
                </c:pt>
                <c:pt idx="223">
                  <c:v>36.638127853881208</c:v>
                </c:pt>
                <c:pt idx="224">
                  <c:v>36.721461187214544</c:v>
                </c:pt>
                <c:pt idx="225">
                  <c:v>36.80479452054788</c:v>
                </c:pt>
                <c:pt idx="226">
                  <c:v>36.888127853881215</c:v>
                </c:pt>
                <c:pt idx="227">
                  <c:v>36.971461187214551</c:v>
                </c:pt>
                <c:pt idx="228">
                  <c:v>37.054794520547887</c:v>
                </c:pt>
                <c:pt idx="229">
                  <c:v>37.138127853881223</c:v>
                </c:pt>
                <c:pt idx="230">
                  <c:v>37.221461187214558</c:v>
                </c:pt>
                <c:pt idx="231">
                  <c:v>37.304794520547894</c:v>
                </c:pt>
                <c:pt idx="232">
                  <c:v>37.38812785388123</c:v>
                </c:pt>
                <c:pt idx="233">
                  <c:v>37.471461187214565</c:v>
                </c:pt>
                <c:pt idx="234">
                  <c:v>37.554794520547901</c:v>
                </c:pt>
                <c:pt idx="235">
                  <c:v>37.638127853881237</c:v>
                </c:pt>
                <c:pt idx="236">
                  <c:v>37.721461187214572</c:v>
                </c:pt>
                <c:pt idx="237">
                  <c:v>37.804794520547908</c:v>
                </c:pt>
                <c:pt idx="238">
                  <c:v>37.888127853881244</c:v>
                </c:pt>
                <c:pt idx="239">
                  <c:v>37.97146118721458</c:v>
                </c:pt>
                <c:pt idx="240">
                  <c:v>38.054794520547915</c:v>
                </c:pt>
                <c:pt idx="241">
                  <c:v>38.138127853881251</c:v>
                </c:pt>
                <c:pt idx="242">
                  <c:v>38.221461187214587</c:v>
                </c:pt>
                <c:pt idx="243">
                  <c:v>38.304794520547922</c:v>
                </c:pt>
                <c:pt idx="244">
                  <c:v>38.388127853881258</c:v>
                </c:pt>
                <c:pt idx="245">
                  <c:v>38.471461187214594</c:v>
                </c:pt>
                <c:pt idx="246">
                  <c:v>38.554794520547929</c:v>
                </c:pt>
                <c:pt idx="247">
                  <c:v>38.638127853881265</c:v>
                </c:pt>
                <c:pt idx="248">
                  <c:v>38.721461187214601</c:v>
                </c:pt>
                <c:pt idx="249">
                  <c:v>38.804794520547937</c:v>
                </c:pt>
                <c:pt idx="250">
                  <c:v>38.888127853881272</c:v>
                </c:pt>
                <c:pt idx="251">
                  <c:v>38.971461187214608</c:v>
                </c:pt>
                <c:pt idx="252">
                  <c:v>39.054794520547944</c:v>
                </c:pt>
                <c:pt idx="253">
                  <c:v>39.138127853881279</c:v>
                </c:pt>
                <c:pt idx="254">
                  <c:v>39.221461187214615</c:v>
                </c:pt>
                <c:pt idx="255">
                  <c:v>39.304794520547951</c:v>
                </c:pt>
                <c:pt idx="256">
                  <c:v>39.388127853881286</c:v>
                </c:pt>
                <c:pt idx="257">
                  <c:v>39.471461187214622</c:v>
                </c:pt>
                <c:pt idx="258">
                  <c:v>39.554794520547958</c:v>
                </c:pt>
                <c:pt idx="259">
                  <c:v>39.638127853881294</c:v>
                </c:pt>
                <c:pt idx="260">
                  <c:v>39.721461187214629</c:v>
                </c:pt>
                <c:pt idx="261">
                  <c:v>39.804794520547965</c:v>
                </c:pt>
                <c:pt idx="262">
                  <c:v>39.888127853881301</c:v>
                </c:pt>
                <c:pt idx="263">
                  <c:v>39.971461187214636</c:v>
                </c:pt>
                <c:pt idx="264">
                  <c:v>40.054794520547972</c:v>
                </c:pt>
                <c:pt idx="265">
                  <c:v>40.138127853881308</c:v>
                </c:pt>
                <c:pt idx="266">
                  <c:v>40.221461187214643</c:v>
                </c:pt>
                <c:pt idx="267">
                  <c:v>40.304794520547979</c:v>
                </c:pt>
                <c:pt idx="268">
                  <c:v>40.388127853881315</c:v>
                </c:pt>
                <c:pt idx="269">
                  <c:v>40.471461187214651</c:v>
                </c:pt>
                <c:pt idx="270">
                  <c:v>40.554794520547986</c:v>
                </c:pt>
                <c:pt idx="271">
                  <c:v>40.638127853881322</c:v>
                </c:pt>
                <c:pt idx="272">
                  <c:v>40.721461187214658</c:v>
                </c:pt>
                <c:pt idx="273">
                  <c:v>40.804794520547993</c:v>
                </c:pt>
                <c:pt idx="274">
                  <c:v>40.888127853881329</c:v>
                </c:pt>
                <c:pt idx="275">
                  <c:v>40.971461187214665</c:v>
                </c:pt>
                <c:pt idx="276">
                  <c:v>41.054794520548</c:v>
                </c:pt>
                <c:pt idx="277">
                  <c:v>41.138127853881336</c:v>
                </c:pt>
                <c:pt idx="278">
                  <c:v>41.221461187214672</c:v>
                </c:pt>
                <c:pt idx="279">
                  <c:v>41.304794520548008</c:v>
                </c:pt>
                <c:pt idx="280">
                  <c:v>41.388127853881343</c:v>
                </c:pt>
                <c:pt idx="281">
                  <c:v>41.471461187214679</c:v>
                </c:pt>
                <c:pt idx="282">
                  <c:v>41.554794520548015</c:v>
                </c:pt>
                <c:pt idx="283">
                  <c:v>41.63812785388135</c:v>
                </c:pt>
                <c:pt idx="284">
                  <c:v>41.721461187214686</c:v>
                </c:pt>
                <c:pt idx="285">
                  <c:v>41.804794520548022</c:v>
                </c:pt>
                <c:pt idx="286">
                  <c:v>41.888127853881358</c:v>
                </c:pt>
                <c:pt idx="287">
                  <c:v>41.971461187214693</c:v>
                </c:pt>
                <c:pt idx="288">
                  <c:v>42.054794520548029</c:v>
                </c:pt>
                <c:pt idx="289">
                  <c:v>42.138127853881365</c:v>
                </c:pt>
                <c:pt idx="290">
                  <c:v>42.2214611872147</c:v>
                </c:pt>
                <c:pt idx="291">
                  <c:v>42.304794520548036</c:v>
                </c:pt>
                <c:pt idx="292">
                  <c:v>42.388127853881372</c:v>
                </c:pt>
                <c:pt idx="293">
                  <c:v>42.471461187214707</c:v>
                </c:pt>
                <c:pt idx="294">
                  <c:v>42.554794520548043</c:v>
                </c:pt>
                <c:pt idx="295">
                  <c:v>42.638127853881379</c:v>
                </c:pt>
                <c:pt idx="296">
                  <c:v>42.721461187214715</c:v>
                </c:pt>
                <c:pt idx="297">
                  <c:v>42.80479452054805</c:v>
                </c:pt>
                <c:pt idx="298">
                  <c:v>42.888127853881386</c:v>
                </c:pt>
                <c:pt idx="299">
                  <c:v>42.971461187214722</c:v>
                </c:pt>
                <c:pt idx="300">
                  <c:v>43.054794520548057</c:v>
                </c:pt>
                <c:pt idx="301">
                  <c:v>43.138127853881393</c:v>
                </c:pt>
                <c:pt idx="302">
                  <c:v>43.221461187214729</c:v>
                </c:pt>
                <c:pt idx="303">
                  <c:v>43.304794520548064</c:v>
                </c:pt>
                <c:pt idx="304">
                  <c:v>43.3881278538814</c:v>
                </c:pt>
                <c:pt idx="305">
                  <c:v>43.471461187214736</c:v>
                </c:pt>
                <c:pt idx="306">
                  <c:v>43.554794520548072</c:v>
                </c:pt>
                <c:pt idx="307">
                  <c:v>43.638127853881407</c:v>
                </c:pt>
                <c:pt idx="308">
                  <c:v>43.721461187214743</c:v>
                </c:pt>
                <c:pt idx="309">
                  <c:v>43.804794520548079</c:v>
                </c:pt>
                <c:pt idx="310">
                  <c:v>43.888127853881414</c:v>
                </c:pt>
                <c:pt idx="311">
                  <c:v>43.97146118721475</c:v>
                </c:pt>
                <c:pt idx="312">
                  <c:v>44.054794520548086</c:v>
                </c:pt>
                <c:pt idx="313">
                  <c:v>44.138127853881421</c:v>
                </c:pt>
                <c:pt idx="314">
                  <c:v>44.221461187214757</c:v>
                </c:pt>
                <c:pt idx="315">
                  <c:v>44.304794520548093</c:v>
                </c:pt>
                <c:pt idx="316">
                  <c:v>44.388127853881429</c:v>
                </c:pt>
                <c:pt idx="317">
                  <c:v>44.471461187214764</c:v>
                </c:pt>
                <c:pt idx="318">
                  <c:v>44.5547945205481</c:v>
                </c:pt>
                <c:pt idx="319">
                  <c:v>44.638127853881436</c:v>
                </c:pt>
                <c:pt idx="320">
                  <c:v>44.721461187214771</c:v>
                </c:pt>
                <c:pt idx="321">
                  <c:v>44.804794520548107</c:v>
                </c:pt>
                <c:pt idx="322">
                  <c:v>44.888127853881443</c:v>
                </c:pt>
                <c:pt idx="323">
                  <c:v>44.971461187214778</c:v>
                </c:pt>
                <c:pt idx="324">
                  <c:v>45.054794520548114</c:v>
                </c:pt>
                <c:pt idx="325">
                  <c:v>45.13812785388145</c:v>
                </c:pt>
                <c:pt idx="326">
                  <c:v>45.221461187214786</c:v>
                </c:pt>
                <c:pt idx="327">
                  <c:v>45.304794520548121</c:v>
                </c:pt>
                <c:pt idx="328">
                  <c:v>45.388127853881457</c:v>
                </c:pt>
                <c:pt idx="329">
                  <c:v>45.471461187214793</c:v>
                </c:pt>
                <c:pt idx="330">
                  <c:v>45.554794520548128</c:v>
                </c:pt>
                <c:pt idx="331">
                  <c:v>45.638127853881464</c:v>
                </c:pt>
                <c:pt idx="332">
                  <c:v>45.7214611872148</c:v>
                </c:pt>
                <c:pt idx="333">
                  <c:v>45.804794520548135</c:v>
                </c:pt>
                <c:pt idx="334">
                  <c:v>45.888127853881471</c:v>
                </c:pt>
                <c:pt idx="335">
                  <c:v>45.971461187214807</c:v>
                </c:pt>
                <c:pt idx="336">
                  <c:v>46.054794520548143</c:v>
                </c:pt>
                <c:pt idx="337">
                  <c:v>46.138127853881478</c:v>
                </c:pt>
                <c:pt idx="338">
                  <c:v>46.221461187214814</c:v>
                </c:pt>
                <c:pt idx="339">
                  <c:v>46.30479452054815</c:v>
                </c:pt>
                <c:pt idx="340">
                  <c:v>46.388127853881485</c:v>
                </c:pt>
                <c:pt idx="341">
                  <c:v>46.471461187214821</c:v>
                </c:pt>
                <c:pt idx="342">
                  <c:v>46.554794520548157</c:v>
                </c:pt>
                <c:pt idx="343">
                  <c:v>46.638127853881493</c:v>
                </c:pt>
                <c:pt idx="344">
                  <c:v>46.721461187214828</c:v>
                </c:pt>
                <c:pt idx="345">
                  <c:v>46.804794520548164</c:v>
                </c:pt>
                <c:pt idx="346">
                  <c:v>46.8881278538815</c:v>
                </c:pt>
                <c:pt idx="347">
                  <c:v>46.971461187214835</c:v>
                </c:pt>
                <c:pt idx="348">
                  <c:v>47.054794520548171</c:v>
                </c:pt>
                <c:pt idx="349">
                  <c:v>47.138127853881507</c:v>
                </c:pt>
                <c:pt idx="350">
                  <c:v>47.221461187214842</c:v>
                </c:pt>
                <c:pt idx="351">
                  <c:v>47.304794520548178</c:v>
                </c:pt>
                <c:pt idx="352">
                  <c:v>47.388127853881514</c:v>
                </c:pt>
                <c:pt idx="353">
                  <c:v>47.47146118721485</c:v>
                </c:pt>
                <c:pt idx="354">
                  <c:v>47.554794520548185</c:v>
                </c:pt>
                <c:pt idx="355">
                  <c:v>47.638127853881521</c:v>
                </c:pt>
                <c:pt idx="356">
                  <c:v>47.721461187214857</c:v>
                </c:pt>
                <c:pt idx="357">
                  <c:v>47.804794520548192</c:v>
                </c:pt>
                <c:pt idx="358">
                  <c:v>47.888127853881528</c:v>
                </c:pt>
                <c:pt idx="359">
                  <c:v>47.971461187214864</c:v>
                </c:pt>
                <c:pt idx="360">
                  <c:v>48.054794520548199</c:v>
                </c:pt>
                <c:pt idx="361">
                  <c:v>48.138127853881535</c:v>
                </c:pt>
                <c:pt idx="362">
                  <c:v>48.221461187214871</c:v>
                </c:pt>
                <c:pt idx="363">
                  <c:v>48.304794520548207</c:v>
                </c:pt>
                <c:pt idx="364">
                  <c:v>48.388127853881542</c:v>
                </c:pt>
                <c:pt idx="365">
                  <c:v>48.471461187214878</c:v>
                </c:pt>
                <c:pt idx="366">
                  <c:v>48.554794520548214</c:v>
                </c:pt>
                <c:pt idx="367">
                  <c:v>48.638127853881549</c:v>
                </c:pt>
                <c:pt idx="368">
                  <c:v>48.721461187214885</c:v>
                </c:pt>
                <c:pt idx="369">
                  <c:v>48.804794520548221</c:v>
                </c:pt>
                <c:pt idx="370">
                  <c:v>48.888127853881556</c:v>
                </c:pt>
                <c:pt idx="371">
                  <c:v>48.971461187214892</c:v>
                </c:pt>
                <c:pt idx="372">
                  <c:v>49.054794520548228</c:v>
                </c:pt>
                <c:pt idx="373">
                  <c:v>49.138127853881564</c:v>
                </c:pt>
                <c:pt idx="374">
                  <c:v>49.221461187214899</c:v>
                </c:pt>
                <c:pt idx="375">
                  <c:v>49.304794520548235</c:v>
                </c:pt>
                <c:pt idx="376">
                  <c:v>49.388127853881571</c:v>
                </c:pt>
                <c:pt idx="377">
                  <c:v>49.471461187214906</c:v>
                </c:pt>
                <c:pt idx="378">
                  <c:v>49.554794520548242</c:v>
                </c:pt>
                <c:pt idx="379">
                  <c:v>49.638127853881578</c:v>
                </c:pt>
                <c:pt idx="380">
                  <c:v>49.721461187214913</c:v>
                </c:pt>
                <c:pt idx="381">
                  <c:v>49.804794520548249</c:v>
                </c:pt>
                <c:pt idx="382">
                  <c:v>49.888127853881585</c:v>
                </c:pt>
                <c:pt idx="383">
                  <c:v>49.971461187214921</c:v>
                </c:pt>
                <c:pt idx="384">
                  <c:v>50.054794520548256</c:v>
                </c:pt>
                <c:pt idx="385">
                  <c:v>50.138127853881592</c:v>
                </c:pt>
                <c:pt idx="386">
                  <c:v>50.221461187214928</c:v>
                </c:pt>
                <c:pt idx="387">
                  <c:v>50.304794520548263</c:v>
                </c:pt>
                <c:pt idx="388">
                  <c:v>50.388127853881599</c:v>
                </c:pt>
                <c:pt idx="389">
                  <c:v>50.471461187214935</c:v>
                </c:pt>
                <c:pt idx="390">
                  <c:v>50.55479452054827</c:v>
                </c:pt>
                <c:pt idx="391">
                  <c:v>50.638127853881606</c:v>
                </c:pt>
                <c:pt idx="392">
                  <c:v>50.721461187214942</c:v>
                </c:pt>
                <c:pt idx="393">
                  <c:v>50.804794520548278</c:v>
                </c:pt>
                <c:pt idx="394">
                  <c:v>50.888127853881613</c:v>
                </c:pt>
                <c:pt idx="395">
                  <c:v>50.971461187214949</c:v>
                </c:pt>
                <c:pt idx="396">
                  <c:v>51.054794520548285</c:v>
                </c:pt>
                <c:pt idx="397">
                  <c:v>51.13812785388162</c:v>
                </c:pt>
                <c:pt idx="398">
                  <c:v>51.221461187214956</c:v>
                </c:pt>
                <c:pt idx="399">
                  <c:v>51.304794520548292</c:v>
                </c:pt>
                <c:pt idx="400">
                  <c:v>51.388127853881628</c:v>
                </c:pt>
                <c:pt idx="401">
                  <c:v>51.471461187214963</c:v>
                </c:pt>
                <c:pt idx="402">
                  <c:v>51.554794520548299</c:v>
                </c:pt>
                <c:pt idx="403">
                  <c:v>51.638127853881635</c:v>
                </c:pt>
                <c:pt idx="404">
                  <c:v>51.72146118721497</c:v>
                </c:pt>
                <c:pt idx="405">
                  <c:v>51.804794520548306</c:v>
                </c:pt>
                <c:pt idx="406">
                  <c:v>51.888127853881642</c:v>
                </c:pt>
                <c:pt idx="407">
                  <c:v>51.971461187214977</c:v>
                </c:pt>
                <c:pt idx="408">
                  <c:v>52.054794520548313</c:v>
                </c:pt>
                <c:pt idx="409">
                  <c:v>52.138127853881649</c:v>
                </c:pt>
                <c:pt idx="410">
                  <c:v>52.221461187214985</c:v>
                </c:pt>
                <c:pt idx="411">
                  <c:v>52.30479452054832</c:v>
                </c:pt>
                <c:pt idx="412">
                  <c:v>52.388127853881656</c:v>
                </c:pt>
                <c:pt idx="413">
                  <c:v>52.471461187214992</c:v>
                </c:pt>
                <c:pt idx="414">
                  <c:v>52.554794520548327</c:v>
                </c:pt>
                <c:pt idx="415">
                  <c:v>52.638127853881663</c:v>
                </c:pt>
                <c:pt idx="416">
                  <c:v>52.721461187214999</c:v>
                </c:pt>
                <c:pt idx="417">
                  <c:v>52.804794520548334</c:v>
                </c:pt>
                <c:pt idx="418">
                  <c:v>52.88812785388167</c:v>
                </c:pt>
                <c:pt idx="419">
                  <c:v>52.971461187215006</c:v>
                </c:pt>
                <c:pt idx="420">
                  <c:v>53.054794520548342</c:v>
                </c:pt>
                <c:pt idx="421">
                  <c:v>53.138127853881677</c:v>
                </c:pt>
                <c:pt idx="422">
                  <c:v>53.221461187215013</c:v>
                </c:pt>
                <c:pt idx="423">
                  <c:v>53.304794520548349</c:v>
                </c:pt>
                <c:pt idx="424">
                  <c:v>53.388127853881684</c:v>
                </c:pt>
                <c:pt idx="425">
                  <c:v>53.47146118721502</c:v>
                </c:pt>
                <c:pt idx="426">
                  <c:v>53.554794520548356</c:v>
                </c:pt>
                <c:pt idx="427">
                  <c:v>53.638127853881691</c:v>
                </c:pt>
                <c:pt idx="428">
                  <c:v>53.721461187215027</c:v>
                </c:pt>
                <c:pt idx="429">
                  <c:v>53.804794520548363</c:v>
                </c:pt>
                <c:pt idx="430">
                  <c:v>53.888127853881699</c:v>
                </c:pt>
                <c:pt idx="431">
                  <c:v>53.971461187215034</c:v>
                </c:pt>
                <c:pt idx="432">
                  <c:v>54.05479452054837</c:v>
                </c:pt>
                <c:pt idx="433">
                  <c:v>54.138127853881706</c:v>
                </c:pt>
                <c:pt idx="434">
                  <c:v>54.221461187215041</c:v>
                </c:pt>
                <c:pt idx="435">
                  <c:v>54.304794520548377</c:v>
                </c:pt>
                <c:pt idx="436">
                  <c:v>54.388127853881713</c:v>
                </c:pt>
                <c:pt idx="437">
                  <c:v>54.471461187215048</c:v>
                </c:pt>
                <c:pt idx="438">
                  <c:v>54.554794520548384</c:v>
                </c:pt>
                <c:pt idx="439">
                  <c:v>54.63812785388172</c:v>
                </c:pt>
                <c:pt idx="440">
                  <c:v>54.721461187215056</c:v>
                </c:pt>
                <c:pt idx="441">
                  <c:v>54.804794520548391</c:v>
                </c:pt>
                <c:pt idx="442">
                  <c:v>54.888127853881727</c:v>
                </c:pt>
                <c:pt idx="443">
                  <c:v>54.971461187215063</c:v>
                </c:pt>
                <c:pt idx="444">
                  <c:v>55.054794520548398</c:v>
                </c:pt>
                <c:pt idx="445">
                  <c:v>55.138127853881734</c:v>
                </c:pt>
                <c:pt idx="446">
                  <c:v>55.22146118721507</c:v>
                </c:pt>
                <c:pt idx="447">
                  <c:v>55.304794520548406</c:v>
                </c:pt>
                <c:pt idx="448">
                  <c:v>55.388127853881741</c:v>
                </c:pt>
                <c:pt idx="449">
                  <c:v>55.471461187215077</c:v>
                </c:pt>
                <c:pt idx="450">
                  <c:v>55.554794520548413</c:v>
                </c:pt>
                <c:pt idx="451">
                  <c:v>55.638127853881748</c:v>
                </c:pt>
                <c:pt idx="452">
                  <c:v>55.721461187215084</c:v>
                </c:pt>
                <c:pt idx="453">
                  <c:v>55.80479452054842</c:v>
                </c:pt>
                <c:pt idx="454">
                  <c:v>55.888127853881755</c:v>
                </c:pt>
                <c:pt idx="455">
                  <c:v>55.971461187215091</c:v>
                </c:pt>
                <c:pt idx="456">
                  <c:v>56.054794520548427</c:v>
                </c:pt>
                <c:pt idx="457">
                  <c:v>56.138127853881763</c:v>
                </c:pt>
                <c:pt idx="458">
                  <c:v>56.221461187215098</c:v>
                </c:pt>
                <c:pt idx="459">
                  <c:v>56.304794520548434</c:v>
                </c:pt>
                <c:pt idx="460">
                  <c:v>56.38812785388177</c:v>
                </c:pt>
                <c:pt idx="461">
                  <c:v>56.471461187215105</c:v>
                </c:pt>
                <c:pt idx="462">
                  <c:v>56.554794520548441</c:v>
                </c:pt>
                <c:pt idx="463">
                  <c:v>56.638127853881777</c:v>
                </c:pt>
                <c:pt idx="464">
                  <c:v>56.721461187215112</c:v>
                </c:pt>
                <c:pt idx="465">
                  <c:v>56.804794520548448</c:v>
                </c:pt>
                <c:pt idx="466">
                  <c:v>56.888127853881784</c:v>
                </c:pt>
                <c:pt idx="467">
                  <c:v>56.97146118721512</c:v>
                </c:pt>
                <c:pt idx="468">
                  <c:v>57.054794520548455</c:v>
                </c:pt>
                <c:pt idx="469">
                  <c:v>57.138127853881791</c:v>
                </c:pt>
                <c:pt idx="470">
                  <c:v>57.221461187215127</c:v>
                </c:pt>
                <c:pt idx="471">
                  <c:v>57.304794520548462</c:v>
                </c:pt>
                <c:pt idx="472">
                  <c:v>57.388127853881798</c:v>
                </c:pt>
                <c:pt idx="473">
                  <c:v>57.471461187215134</c:v>
                </c:pt>
                <c:pt idx="474">
                  <c:v>57.554794520548469</c:v>
                </c:pt>
                <c:pt idx="475">
                  <c:v>57.638127853881805</c:v>
                </c:pt>
                <c:pt idx="476">
                  <c:v>57.721461187215141</c:v>
                </c:pt>
                <c:pt idx="477">
                  <c:v>57.804794520548477</c:v>
                </c:pt>
                <c:pt idx="478">
                  <c:v>57.888127853881812</c:v>
                </c:pt>
                <c:pt idx="479">
                  <c:v>57.971461187215148</c:v>
                </c:pt>
                <c:pt idx="480">
                  <c:v>58.054794520548484</c:v>
                </c:pt>
                <c:pt idx="481">
                  <c:v>58.138127853881819</c:v>
                </c:pt>
                <c:pt idx="482">
                  <c:v>58.221461187215155</c:v>
                </c:pt>
                <c:pt idx="483">
                  <c:v>58.304794520548491</c:v>
                </c:pt>
                <c:pt idx="484">
                  <c:v>58.388127853881826</c:v>
                </c:pt>
                <c:pt idx="485">
                  <c:v>58.471461187215162</c:v>
                </c:pt>
                <c:pt idx="486">
                  <c:v>58.554794520548498</c:v>
                </c:pt>
                <c:pt idx="487">
                  <c:v>58.638127853881834</c:v>
                </c:pt>
                <c:pt idx="488">
                  <c:v>58.721461187215169</c:v>
                </c:pt>
                <c:pt idx="489">
                  <c:v>58.804794520548505</c:v>
                </c:pt>
                <c:pt idx="490">
                  <c:v>58.888127853881841</c:v>
                </c:pt>
                <c:pt idx="491">
                  <c:v>58.971461187215176</c:v>
                </c:pt>
                <c:pt idx="492">
                  <c:v>59.054794520548512</c:v>
                </c:pt>
                <c:pt idx="493">
                  <c:v>59.138127853881848</c:v>
                </c:pt>
                <c:pt idx="494">
                  <c:v>59.221461187215183</c:v>
                </c:pt>
                <c:pt idx="495">
                  <c:v>59.304794520548519</c:v>
                </c:pt>
                <c:pt idx="496">
                  <c:v>59.388127853881855</c:v>
                </c:pt>
                <c:pt idx="497">
                  <c:v>59.471461187215191</c:v>
                </c:pt>
                <c:pt idx="498">
                  <c:v>59.554794520548526</c:v>
                </c:pt>
                <c:pt idx="499">
                  <c:v>59.638127853881862</c:v>
                </c:pt>
                <c:pt idx="500">
                  <c:v>59.721461187215198</c:v>
                </c:pt>
                <c:pt idx="501">
                  <c:v>59.804794520548533</c:v>
                </c:pt>
                <c:pt idx="502">
                  <c:v>59.888127853881869</c:v>
                </c:pt>
                <c:pt idx="503">
                  <c:v>59.971461187215205</c:v>
                </c:pt>
                <c:pt idx="504">
                  <c:v>60.054794520548541</c:v>
                </c:pt>
                <c:pt idx="505">
                  <c:v>60.138127853881876</c:v>
                </c:pt>
                <c:pt idx="506">
                  <c:v>60.221461187215212</c:v>
                </c:pt>
                <c:pt idx="507">
                  <c:v>60.304794520548548</c:v>
                </c:pt>
                <c:pt idx="508">
                  <c:v>60.388127853881883</c:v>
                </c:pt>
                <c:pt idx="509">
                  <c:v>60.471461187215219</c:v>
                </c:pt>
                <c:pt idx="510">
                  <c:v>60.554794520548555</c:v>
                </c:pt>
                <c:pt idx="511">
                  <c:v>60.63812785388189</c:v>
                </c:pt>
                <c:pt idx="512">
                  <c:v>60.721461187215226</c:v>
                </c:pt>
                <c:pt idx="513">
                  <c:v>60.804794520548562</c:v>
                </c:pt>
                <c:pt idx="514">
                  <c:v>60.888127853881898</c:v>
                </c:pt>
                <c:pt idx="515">
                  <c:v>60.971461187215233</c:v>
                </c:pt>
                <c:pt idx="516">
                  <c:v>61.054794520548569</c:v>
                </c:pt>
                <c:pt idx="517">
                  <c:v>61.138127853881905</c:v>
                </c:pt>
                <c:pt idx="518">
                  <c:v>61.22146118721524</c:v>
                </c:pt>
                <c:pt idx="519">
                  <c:v>61.304794520548576</c:v>
                </c:pt>
                <c:pt idx="520">
                  <c:v>61.388127853881912</c:v>
                </c:pt>
                <c:pt idx="521">
                  <c:v>61.471461187215247</c:v>
                </c:pt>
                <c:pt idx="522">
                  <c:v>61.554794520548583</c:v>
                </c:pt>
                <c:pt idx="523">
                  <c:v>61.638127853881919</c:v>
                </c:pt>
                <c:pt idx="524">
                  <c:v>61.721461187215255</c:v>
                </c:pt>
                <c:pt idx="525">
                  <c:v>61.80479452054859</c:v>
                </c:pt>
                <c:pt idx="526">
                  <c:v>61.888127853881926</c:v>
                </c:pt>
                <c:pt idx="527">
                  <c:v>61.971461187215262</c:v>
                </c:pt>
                <c:pt idx="528">
                  <c:v>62.054794520548597</c:v>
                </c:pt>
                <c:pt idx="529">
                  <c:v>62.138127853881933</c:v>
                </c:pt>
                <c:pt idx="530">
                  <c:v>62.221461187215269</c:v>
                </c:pt>
                <c:pt idx="531">
                  <c:v>62.304794520548604</c:v>
                </c:pt>
                <c:pt idx="532">
                  <c:v>62.38812785388194</c:v>
                </c:pt>
                <c:pt idx="533">
                  <c:v>62.471461187215276</c:v>
                </c:pt>
                <c:pt idx="534">
                  <c:v>62.554794520548612</c:v>
                </c:pt>
                <c:pt idx="535">
                  <c:v>62.638127853881947</c:v>
                </c:pt>
                <c:pt idx="536">
                  <c:v>62.721461187215283</c:v>
                </c:pt>
                <c:pt idx="537">
                  <c:v>62.804794520548619</c:v>
                </c:pt>
                <c:pt idx="538">
                  <c:v>62.888127853881954</c:v>
                </c:pt>
                <c:pt idx="539">
                  <c:v>62.97146118721529</c:v>
                </c:pt>
                <c:pt idx="540">
                  <c:v>63.054794520548626</c:v>
                </c:pt>
                <c:pt idx="541">
                  <c:v>63.138127853881961</c:v>
                </c:pt>
                <c:pt idx="542">
                  <c:v>63.221461187215297</c:v>
                </c:pt>
                <c:pt idx="543">
                  <c:v>63.304794520548633</c:v>
                </c:pt>
                <c:pt idx="544">
                  <c:v>63.388127853881969</c:v>
                </c:pt>
                <c:pt idx="545">
                  <c:v>63.471461187215304</c:v>
                </c:pt>
                <c:pt idx="546">
                  <c:v>63.55479452054864</c:v>
                </c:pt>
                <c:pt idx="547">
                  <c:v>63.638127853881976</c:v>
                </c:pt>
                <c:pt idx="548">
                  <c:v>63.721461187215311</c:v>
                </c:pt>
                <c:pt idx="549">
                  <c:v>63.804794520548647</c:v>
                </c:pt>
                <c:pt idx="550">
                  <c:v>63.888127853881983</c:v>
                </c:pt>
                <c:pt idx="551">
                  <c:v>63.971461187215318</c:v>
                </c:pt>
                <c:pt idx="552">
                  <c:v>64.054794520548654</c:v>
                </c:pt>
                <c:pt idx="553">
                  <c:v>64.138127853881983</c:v>
                </c:pt>
                <c:pt idx="554">
                  <c:v>64.221461187215311</c:v>
                </c:pt>
                <c:pt idx="555">
                  <c:v>64.30479452054864</c:v>
                </c:pt>
                <c:pt idx="556">
                  <c:v>64.388127853881969</c:v>
                </c:pt>
                <c:pt idx="557">
                  <c:v>64.471461187215297</c:v>
                </c:pt>
                <c:pt idx="558">
                  <c:v>64.554794520548626</c:v>
                </c:pt>
                <c:pt idx="559">
                  <c:v>64.638127853881954</c:v>
                </c:pt>
                <c:pt idx="560">
                  <c:v>64.721461187215283</c:v>
                </c:pt>
                <c:pt idx="561">
                  <c:v>64.804794520548612</c:v>
                </c:pt>
                <c:pt idx="562">
                  <c:v>64.88812785388194</c:v>
                </c:pt>
                <c:pt idx="563">
                  <c:v>64.971461187215269</c:v>
                </c:pt>
                <c:pt idx="564">
                  <c:v>65.054794520548597</c:v>
                </c:pt>
                <c:pt idx="565">
                  <c:v>65.138127853881926</c:v>
                </c:pt>
                <c:pt idx="566">
                  <c:v>65.221461187215255</c:v>
                </c:pt>
                <c:pt idx="567">
                  <c:v>65.304794520548583</c:v>
                </c:pt>
                <c:pt idx="568">
                  <c:v>65.388127853881912</c:v>
                </c:pt>
                <c:pt idx="569">
                  <c:v>65.47146118721524</c:v>
                </c:pt>
                <c:pt idx="570">
                  <c:v>65.554794520548569</c:v>
                </c:pt>
                <c:pt idx="571">
                  <c:v>65.638127853881898</c:v>
                </c:pt>
                <c:pt idx="572">
                  <c:v>65.721461187215226</c:v>
                </c:pt>
                <c:pt idx="573">
                  <c:v>65.804794520548555</c:v>
                </c:pt>
                <c:pt idx="574">
                  <c:v>65.888127853881883</c:v>
                </c:pt>
                <c:pt idx="575">
                  <c:v>65.971461187215212</c:v>
                </c:pt>
                <c:pt idx="576">
                  <c:v>66.054794520548541</c:v>
                </c:pt>
                <c:pt idx="577">
                  <c:v>66.138127853881869</c:v>
                </c:pt>
                <c:pt idx="578">
                  <c:v>66.221461187215198</c:v>
                </c:pt>
                <c:pt idx="579">
                  <c:v>66.304794520548526</c:v>
                </c:pt>
                <c:pt idx="580">
                  <c:v>66.388127853881855</c:v>
                </c:pt>
                <c:pt idx="581">
                  <c:v>66.471461187215183</c:v>
                </c:pt>
                <c:pt idx="582">
                  <c:v>66.554794520548512</c:v>
                </c:pt>
                <c:pt idx="583">
                  <c:v>66.638127853881841</c:v>
                </c:pt>
                <c:pt idx="584">
                  <c:v>66.721461187215169</c:v>
                </c:pt>
                <c:pt idx="585">
                  <c:v>66.804794520548498</c:v>
                </c:pt>
                <c:pt idx="586">
                  <c:v>66.888127853881826</c:v>
                </c:pt>
                <c:pt idx="587">
                  <c:v>66.971461187215155</c:v>
                </c:pt>
                <c:pt idx="588">
                  <c:v>67.054794520548484</c:v>
                </c:pt>
                <c:pt idx="589">
                  <c:v>67.138127853881812</c:v>
                </c:pt>
                <c:pt idx="590">
                  <c:v>67.221461187215141</c:v>
                </c:pt>
                <c:pt idx="591">
                  <c:v>67.304794520548469</c:v>
                </c:pt>
                <c:pt idx="592">
                  <c:v>67.388127853881798</c:v>
                </c:pt>
                <c:pt idx="593">
                  <c:v>67.471461187215127</c:v>
                </c:pt>
                <c:pt idx="594">
                  <c:v>67.554794520548455</c:v>
                </c:pt>
                <c:pt idx="595">
                  <c:v>67.638127853881784</c:v>
                </c:pt>
                <c:pt idx="596">
                  <c:v>67.721461187215112</c:v>
                </c:pt>
                <c:pt idx="597">
                  <c:v>67.804794520548441</c:v>
                </c:pt>
                <c:pt idx="598">
                  <c:v>67.88812785388177</c:v>
                </c:pt>
                <c:pt idx="599">
                  <c:v>67.971461187215098</c:v>
                </c:pt>
                <c:pt idx="600">
                  <c:v>68.054794520548427</c:v>
                </c:pt>
                <c:pt idx="601">
                  <c:v>68.138127853881755</c:v>
                </c:pt>
                <c:pt idx="602">
                  <c:v>68.221461187215084</c:v>
                </c:pt>
                <c:pt idx="603">
                  <c:v>68.304794520548413</c:v>
                </c:pt>
                <c:pt idx="604">
                  <c:v>68.388127853881741</c:v>
                </c:pt>
                <c:pt idx="605">
                  <c:v>68.47146118721507</c:v>
                </c:pt>
                <c:pt idx="606">
                  <c:v>68.554794520548398</c:v>
                </c:pt>
                <c:pt idx="607">
                  <c:v>68.638127853881727</c:v>
                </c:pt>
                <c:pt idx="608">
                  <c:v>68.721461187215056</c:v>
                </c:pt>
                <c:pt idx="609">
                  <c:v>68.804794520548384</c:v>
                </c:pt>
                <c:pt idx="610">
                  <c:v>68.888127853881713</c:v>
                </c:pt>
                <c:pt idx="611">
                  <c:v>68.971461187215041</c:v>
                </c:pt>
                <c:pt idx="612">
                  <c:v>69.05479452054837</c:v>
                </c:pt>
                <c:pt idx="613">
                  <c:v>69.138127853881699</c:v>
                </c:pt>
                <c:pt idx="614">
                  <c:v>69.221461187215027</c:v>
                </c:pt>
                <c:pt idx="615">
                  <c:v>69.304794520548356</c:v>
                </c:pt>
                <c:pt idx="616">
                  <c:v>69.388127853881684</c:v>
                </c:pt>
                <c:pt idx="617">
                  <c:v>69.471461187215013</c:v>
                </c:pt>
                <c:pt idx="618">
                  <c:v>69.554794520548342</c:v>
                </c:pt>
                <c:pt idx="619">
                  <c:v>69.63812785388167</c:v>
                </c:pt>
                <c:pt idx="620">
                  <c:v>69.721461187214999</c:v>
                </c:pt>
                <c:pt idx="621">
                  <c:v>69.804794520548327</c:v>
                </c:pt>
                <c:pt idx="622">
                  <c:v>69.888127853881656</c:v>
                </c:pt>
                <c:pt idx="623">
                  <c:v>69.971461187214985</c:v>
                </c:pt>
                <c:pt idx="624">
                  <c:v>70.054794520548313</c:v>
                </c:pt>
                <c:pt idx="625">
                  <c:v>70.138127853881642</c:v>
                </c:pt>
                <c:pt idx="626">
                  <c:v>70.22146118721497</c:v>
                </c:pt>
                <c:pt idx="627">
                  <c:v>70.304794520548299</c:v>
                </c:pt>
                <c:pt idx="628">
                  <c:v>70.388127853881628</c:v>
                </c:pt>
                <c:pt idx="629">
                  <c:v>70.471461187214956</c:v>
                </c:pt>
                <c:pt idx="630">
                  <c:v>70.554794520548285</c:v>
                </c:pt>
                <c:pt idx="631">
                  <c:v>70.638127853881613</c:v>
                </c:pt>
                <c:pt idx="632">
                  <c:v>70.721461187214942</c:v>
                </c:pt>
                <c:pt idx="633">
                  <c:v>70.80479452054827</c:v>
                </c:pt>
                <c:pt idx="634">
                  <c:v>70.888127853881599</c:v>
                </c:pt>
                <c:pt idx="635">
                  <c:v>70.971461187214928</c:v>
                </c:pt>
                <c:pt idx="636">
                  <c:v>71.054794520548256</c:v>
                </c:pt>
                <c:pt idx="637">
                  <c:v>71.138127853881585</c:v>
                </c:pt>
                <c:pt idx="638">
                  <c:v>71.221461187214913</c:v>
                </c:pt>
                <c:pt idx="639">
                  <c:v>71.304794520548242</c:v>
                </c:pt>
                <c:pt idx="640">
                  <c:v>71.388127853881571</c:v>
                </c:pt>
                <c:pt idx="641">
                  <c:v>71.471461187214899</c:v>
                </c:pt>
                <c:pt idx="642">
                  <c:v>71.554794520548228</c:v>
                </c:pt>
                <c:pt idx="643">
                  <c:v>71.638127853881556</c:v>
                </c:pt>
                <c:pt idx="644">
                  <c:v>71.721461187214885</c:v>
                </c:pt>
                <c:pt idx="645">
                  <c:v>71.804794520548214</c:v>
                </c:pt>
                <c:pt idx="646">
                  <c:v>71.888127853881542</c:v>
                </c:pt>
                <c:pt idx="647">
                  <c:v>71.971461187214871</c:v>
                </c:pt>
                <c:pt idx="648">
                  <c:v>72.054794520548199</c:v>
                </c:pt>
                <c:pt idx="649">
                  <c:v>72.138127853881528</c:v>
                </c:pt>
                <c:pt idx="650">
                  <c:v>72.221461187214857</c:v>
                </c:pt>
                <c:pt idx="651">
                  <c:v>72.304794520548185</c:v>
                </c:pt>
                <c:pt idx="652">
                  <c:v>72.388127853881514</c:v>
                </c:pt>
                <c:pt idx="653">
                  <c:v>72.471461187214842</c:v>
                </c:pt>
                <c:pt idx="654">
                  <c:v>72.554794520548171</c:v>
                </c:pt>
                <c:pt idx="655">
                  <c:v>72.6381278538815</c:v>
                </c:pt>
                <c:pt idx="656">
                  <c:v>72.721461187214828</c:v>
                </c:pt>
                <c:pt idx="657">
                  <c:v>72.804794520548157</c:v>
                </c:pt>
                <c:pt idx="658">
                  <c:v>72.888127853881485</c:v>
                </c:pt>
                <c:pt idx="659">
                  <c:v>72.971461187214814</c:v>
                </c:pt>
                <c:pt idx="660">
                  <c:v>73.054794520548143</c:v>
                </c:pt>
                <c:pt idx="661">
                  <c:v>73.138127853881471</c:v>
                </c:pt>
                <c:pt idx="662">
                  <c:v>73.2214611872148</c:v>
                </c:pt>
                <c:pt idx="663">
                  <c:v>73.304794520548128</c:v>
                </c:pt>
                <c:pt idx="664">
                  <c:v>73.388127853881457</c:v>
                </c:pt>
                <c:pt idx="665">
                  <c:v>73.471461187214786</c:v>
                </c:pt>
                <c:pt idx="666">
                  <c:v>73.554794520548114</c:v>
                </c:pt>
                <c:pt idx="667">
                  <c:v>73.638127853881443</c:v>
                </c:pt>
                <c:pt idx="668">
                  <c:v>73.721461187214771</c:v>
                </c:pt>
                <c:pt idx="669">
                  <c:v>73.8047945205481</c:v>
                </c:pt>
                <c:pt idx="670">
                  <c:v>73.888127853881429</c:v>
                </c:pt>
                <c:pt idx="671">
                  <c:v>73.971461187214757</c:v>
                </c:pt>
                <c:pt idx="672">
                  <c:v>74.054794520548086</c:v>
                </c:pt>
                <c:pt idx="673">
                  <c:v>74.138127853881414</c:v>
                </c:pt>
                <c:pt idx="674">
                  <c:v>74.221461187214743</c:v>
                </c:pt>
                <c:pt idx="675">
                  <c:v>74.304794520548072</c:v>
                </c:pt>
                <c:pt idx="676">
                  <c:v>74.3881278538814</c:v>
                </c:pt>
                <c:pt idx="677">
                  <c:v>74.471461187214729</c:v>
                </c:pt>
                <c:pt idx="678">
                  <c:v>74.554794520548057</c:v>
                </c:pt>
                <c:pt idx="679">
                  <c:v>74.638127853881386</c:v>
                </c:pt>
                <c:pt idx="680">
                  <c:v>74.721461187214715</c:v>
                </c:pt>
                <c:pt idx="681">
                  <c:v>74.804794520548043</c:v>
                </c:pt>
                <c:pt idx="682">
                  <c:v>74.888127853881372</c:v>
                </c:pt>
                <c:pt idx="683">
                  <c:v>74.9714611872147</c:v>
                </c:pt>
              </c:numCache>
            </c:numRef>
          </c:xVal>
          <c:yVal>
            <c:numRef>
              <c:f>Calc2!$K$5:$K$688</c:f>
              <c:numCache>
                <c:formatCode>\$#,##0;"($"#,##0\)</c:formatCode>
                <c:ptCount val="684"/>
                <c:pt idx="0">
                  <c:v>100797.41404289038</c:v>
                </c:pt>
                <c:pt idx="1">
                  <c:v>102112.97586921856</c:v>
                </c:pt>
                <c:pt idx="2">
                  <c:v>103446.95097192583</c:v>
                </c:pt>
                <c:pt idx="3">
                  <c:v>104799.60883077777</c:v>
                </c:pt>
                <c:pt idx="4">
                  <c:v>106171.2229731004</c:v>
                </c:pt>
                <c:pt idx="5">
                  <c:v>107562.07103544903</c:v>
                </c:pt>
                <c:pt idx="6">
                  <c:v>108972.43482622354</c:v>
                </c:pt>
                <c:pt idx="7">
                  <c:v>110402.60038924542</c:v>
                </c:pt>
                <c:pt idx="8">
                  <c:v>111852.85806831058</c:v>
                </c:pt>
                <c:pt idx="9">
                  <c:v>113323.50257273378</c:v>
                </c:pt>
                <c:pt idx="10">
                  <c:v>114814.83304389927</c:v>
                </c:pt>
                <c:pt idx="11">
                  <c:v>116327.15312283367</c:v>
                </c:pt>
                <c:pt idx="12">
                  <c:v>117860.77101881651</c:v>
                </c:pt>
                <c:pt idx="13">
                  <c:v>119415.99957904467</c:v>
                </c:pt>
                <c:pt idx="14">
                  <c:v>120993.15635936671</c:v>
                </c:pt>
                <c:pt idx="15">
                  <c:v>122592.56369610387</c:v>
                </c:pt>
                <c:pt idx="16">
                  <c:v>124214.54877897425</c:v>
                </c:pt>
                <c:pt idx="17">
                  <c:v>125859.44372513737</c:v>
                </c:pt>
                <c:pt idx="18">
                  <c:v>127527.58565437631</c:v>
                </c:pt>
                <c:pt idx="19">
                  <c:v>129219.31676543476</c:v>
                </c:pt>
                <c:pt idx="20">
                  <c:v>130934.98441352732</c:v>
                </c:pt>
                <c:pt idx="21">
                  <c:v>132674.94118904049</c:v>
                </c:pt>
                <c:pt idx="22">
                  <c:v>134439.54499744333</c:v>
                </c:pt>
                <c:pt idx="23">
                  <c:v>136229.15914042588</c:v>
                </c:pt>
                <c:pt idx="24">
                  <c:v>138044.15239828473</c:v>
                </c:pt>
                <c:pt idx="25">
                  <c:v>139884.89911357468</c:v>
                </c:pt>
                <c:pt idx="26">
                  <c:v>141751.77927604617</c:v>
                </c:pt>
                <c:pt idx="27">
                  <c:v>143645.17860888835</c:v>
                </c:pt>
                <c:pt idx="28">
                  <c:v>145565.48865629765</c:v>
                </c:pt>
                <c:pt idx="29">
                  <c:v>147513.10687239267</c:v>
                </c:pt>
                <c:pt idx="30">
                  <c:v>149488.43671149583</c:v>
                </c:pt>
                <c:pt idx="31">
                  <c:v>151491.88771980308</c:v>
                </c:pt>
                <c:pt idx="32">
                  <c:v>153523.87562846314</c:v>
                </c:pt>
                <c:pt idx="33">
                  <c:v>155584.82244808751</c:v>
                </c:pt>
                <c:pt idx="34">
                  <c:v>157675.15656471413</c:v>
                </c:pt>
                <c:pt idx="35">
                  <c:v>159795.31283724631</c:v>
                </c:pt>
                <c:pt idx="36">
                  <c:v>161945.73269639033</c:v>
                </c:pt>
                <c:pt idx="37">
                  <c:v>164126.86424511441</c:v>
                </c:pt>
                <c:pt idx="38">
                  <c:v>166339.16236065264</c:v>
                </c:pt>
                <c:pt idx="39">
                  <c:v>168583.08879807784</c:v>
                </c:pt>
                <c:pt idx="40">
                  <c:v>170859.11229546735</c:v>
                </c:pt>
                <c:pt idx="41">
                  <c:v>173167.70868068654</c:v>
                </c:pt>
                <c:pt idx="42">
                  <c:v>175509.36097981478</c:v>
                </c:pt>
                <c:pt idx="43">
                  <c:v>177884.55952723935</c:v>
                </c:pt>
                <c:pt idx="44">
                  <c:v>180293.80207744296</c:v>
                </c:pt>
                <c:pt idx="45">
                  <c:v>182737.59391851115</c:v>
                </c:pt>
                <c:pt idx="46">
                  <c:v>185216.44798738594</c:v>
                </c:pt>
                <c:pt idx="47">
                  <c:v>187730.88498689269</c:v>
                </c:pt>
                <c:pt idx="48">
                  <c:v>190281.43350456771</c:v>
                </c:pt>
                <c:pt idx="49">
                  <c:v>192868.63013331417</c:v>
                </c:pt>
                <c:pt idx="50">
                  <c:v>195493.01959391468</c:v>
                </c:pt>
                <c:pt idx="51">
                  <c:v>198155.15485942917</c:v>
                </c:pt>
                <c:pt idx="52">
                  <c:v>200855.59728150713</c:v>
                </c:pt>
                <c:pt idx="53">
                  <c:v>203594.91671864383</c:v>
                </c:pt>
                <c:pt idx="54">
                  <c:v>206373.69166641033</c:v>
                </c:pt>
                <c:pt idx="55">
                  <c:v>209192.50938968803</c:v>
                </c:pt>
                <c:pt idx="56">
                  <c:v>212051.9660569384</c:v>
                </c:pt>
                <c:pt idx="57">
                  <c:v>214952.66687653965</c:v>
                </c:pt>
                <c:pt idx="58">
                  <c:v>217895.22623522175</c:v>
                </c:pt>
                <c:pt idx="59">
                  <c:v>220880.26783863286</c:v>
                </c:pt>
                <c:pt idx="60">
                  <c:v>223908.42485406925</c:v>
                </c:pt>
                <c:pt idx="61">
                  <c:v>226980.34005540301</c:v>
                </c:pt>
                <c:pt idx="62">
                  <c:v>230096.6659702406</c:v>
                </c:pt>
                <c:pt idx="63">
                  <c:v>233258.06502934737</c:v>
                </c:pt>
                <c:pt idx="64">
                  <c:v>236465.20971837259</c:v>
                </c:pt>
                <c:pt idx="65">
                  <c:v>239718.78273191079</c:v>
                </c:pt>
                <c:pt idx="66">
                  <c:v>243019.47712993514</c:v>
                </c:pt>
                <c:pt idx="67">
                  <c:v>246367.99649663994</c:v>
                </c:pt>
                <c:pt idx="68">
                  <c:v>249765.05510172911</c:v>
                </c:pt>
                <c:pt idx="69">
                  <c:v>253211.37806418832</c:v>
                </c:pt>
                <c:pt idx="70">
                  <c:v>256707.70151857944</c:v>
                </c:pt>
                <c:pt idx="71">
                  <c:v>260254.77278389622</c:v>
                </c:pt>
                <c:pt idx="72">
                  <c:v>263853.35053502035</c:v>
                </c:pt>
                <c:pt idx="73">
                  <c:v>267504.20497681841</c:v>
                </c:pt>
                <c:pt idx="74">
                  <c:v>271208.11802092067</c:v>
                </c:pt>
                <c:pt idx="75">
                  <c:v>274965.88346522243</c:v>
                </c:pt>
                <c:pt idx="76">
                  <c:v>278778.30717615067</c:v>
                </c:pt>
                <c:pt idx="77">
                  <c:v>282646.20727373834</c:v>
                </c:pt>
                <c:pt idx="78">
                  <c:v>286570.4143195498</c:v>
                </c:pt>
                <c:pt idx="79">
                  <c:v>290551.77150750119</c:v>
                </c:pt>
                <c:pt idx="80">
                  <c:v>294591.13485762081</c:v>
                </c:pt>
                <c:pt idx="81">
                  <c:v>298689.37341279467</c:v>
                </c:pt>
                <c:pt idx="82">
                  <c:v>302847.36943854316</c:v>
                </c:pt>
                <c:pt idx="83">
                  <c:v>254902.19143124099</c:v>
                </c:pt>
                <c:pt idx="84">
                  <c:v>258738.51903625473</c:v>
                </c:pt>
                <c:pt idx="85">
                  <c:v>262605.43805632216</c:v>
                </c:pt>
                <c:pt idx="86">
                  <c:v>266503.19243168284</c:v>
                </c:pt>
                <c:pt idx="87">
                  <c:v>270432.02804778999</c:v>
                </c:pt>
                <c:pt idx="88">
                  <c:v>274392.19275082205</c:v>
                </c:pt>
                <c:pt idx="89">
                  <c:v>278383.93636331771</c:v>
                </c:pt>
                <c:pt idx="90">
                  <c:v>282407.51069993555</c:v>
                </c:pt>
                <c:pt idx="91">
                  <c:v>286463.16958333971</c:v>
                </c:pt>
                <c:pt idx="92">
                  <c:v>290551.16886021191</c:v>
                </c:pt>
                <c:pt idx="93">
                  <c:v>294671.76641739113</c:v>
                </c:pt>
                <c:pt idx="94">
                  <c:v>298825.22219814226</c:v>
                </c:pt>
                <c:pt idx="95">
                  <c:v>303011.79821855435</c:v>
                </c:pt>
                <c:pt idx="96">
                  <c:v>307231.7585840695</c:v>
                </c:pt>
                <c:pt idx="97">
                  <c:v>311485.36950614367</c:v>
                </c:pt>
                <c:pt idx="98">
                  <c:v>315772.89931904041</c:v>
                </c:pt>
                <c:pt idx="99">
                  <c:v>320094.61849675828</c:v>
                </c:pt>
                <c:pt idx="100">
                  <c:v>324450.79967009358</c:v>
                </c:pt>
                <c:pt idx="101">
                  <c:v>328841.71764383878</c:v>
                </c:pt>
                <c:pt idx="102">
                  <c:v>333267.64941411844</c:v>
                </c:pt>
                <c:pt idx="103">
                  <c:v>337728.87418586301</c:v>
                </c:pt>
                <c:pt idx="104">
                  <c:v>342225.67339042242</c:v>
                </c:pt>
                <c:pt idx="105">
                  <c:v>346758.33070331957</c:v>
                </c:pt>
                <c:pt idx="106">
                  <c:v>351327.13206214586</c:v>
                </c:pt>
                <c:pt idx="107">
                  <c:v>355932.36568459915</c:v>
                </c:pt>
                <c:pt idx="108">
                  <c:v>360574.32208666584</c:v>
                </c:pt>
                <c:pt idx="109">
                  <c:v>365253.29410094745</c:v>
                </c:pt>
                <c:pt idx="110">
                  <c:v>369969.57689513383</c:v>
                </c:pt>
                <c:pt idx="111">
                  <c:v>374723.4679906235</c:v>
                </c:pt>
                <c:pt idx="112">
                  <c:v>379515.2672812923</c:v>
                </c:pt>
                <c:pt idx="113">
                  <c:v>384345.27705241204</c:v>
                </c:pt>
                <c:pt idx="114">
                  <c:v>389213.80199971964</c:v>
                </c:pt>
                <c:pt idx="115">
                  <c:v>394121.14924863871</c:v>
                </c:pt>
                <c:pt idx="116">
                  <c:v>399067.62837365404</c:v>
                </c:pt>
                <c:pt idx="117">
                  <c:v>404053.55141784088</c:v>
                </c:pt>
                <c:pt idx="118">
                  <c:v>409079.23291254981</c:v>
                </c:pt>
                <c:pt idx="119">
                  <c:v>414144.98989724845</c:v>
                </c:pt>
                <c:pt idx="120">
                  <c:v>419251.14193952177</c:v>
                </c:pt>
                <c:pt idx="121">
                  <c:v>424398.01115523151</c:v>
                </c:pt>
                <c:pt idx="122">
                  <c:v>429585.92222883651</c:v>
                </c:pt>
                <c:pt idx="123">
                  <c:v>434815.20243387512</c:v>
                </c:pt>
                <c:pt idx="124">
                  <c:v>440086.18165361084</c:v>
                </c:pt>
                <c:pt idx="125">
                  <c:v>445399.19240184251</c:v>
                </c:pt>
                <c:pt idx="126">
                  <c:v>450754.56984388089</c:v>
                </c:pt>
                <c:pt idx="127">
                  <c:v>456152.65181769186</c:v>
                </c:pt>
                <c:pt idx="128">
                  <c:v>461593.77885520871</c:v>
                </c:pt>
                <c:pt idx="129">
                  <c:v>467078.29420381424</c:v>
                </c:pt>
                <c:pt idx="130">
                  <c:v>472606.54384799401</c:v>
                </c:pt>
                <c:pt idx="131">
                  <c:v>478178.87653116253</c:v>
                </c:pt>
                <c:pt idx="132">
                  <c:v>483795.64377766318</c:v>
                </c:pt>
                <c:pt idx="133">
                  <c:v>489457.19991494389</c:v>
                </c:pt>
                <c:pt idx="134">
                  <c:v>495163.90209590941</c:v>
                </c:pt>
                <c:pt idx="135">
                  <c:v>500916.11032145191</c:v>
                </c:pt>
                <c:pt idx="136">
                  <c:v>506714.18746316119</c:v>
                </c:pt>
                <c:pt idx="137">
                  <c:v>512558.49928621604</c:v>
                </c:pt>
                <c:pt idx="138">
                  <c:v>518449.41447245824</c:v>
                </c:pt>
                <c:pt idx="139">
                  <c:v>524387.30464365031</c:v>
                </c:pt>
                <c:pt idx="140">
                  <c:v>530372.54438491887</c:v>
                </c:pt>
                <c:pt idx="141">
                  <c:v>536405.51126838499</c:v>
                </c:pt>
                <c:pt idx="142">
                  <c:v>542486.58587698278</c:v>
                </c:pt>
                <c:pt idx="143">
                  <c:v>548616.1518284682</c:v>
                </c:pt>
                <c:pt idx="144">
                  <c:v>554794.59579961898</c:v>
                </c:pt>
                <c:pt idx="145">
                  <c:v>561022.30755062785</c:v>
                </c:pt>
                <c:pt idx="146">
                  <c:v>567299.67994969001</c:v>
                </c:pt>
                <c:pt idx="147">
                  <c:v>573627.10899778677</c:v>
                </c:pt>
                <c:pt idx="148">
                  <c:v>580004.99385366694</c:v>
                </c:pt>
                <c:pt idx="149">
                  <c:v>586433.7368590273</c:v>
                </c:pt>
                <c:pt idx="150">
                  <c:v>592913.74356389372</c:v>
                </c:pt>
                <c:pt idx="151">
                  <c:v>599445.42275220493</c:v>
                </c:pt>
                <c:pt idx="152">
                  <c:v>606029.1864676004</c:v>
                </c:pt>
                <c:pt idx="153">
                  <c:v>612665.45003941306</c:v>
                </c:pt>
                <c:pt idx="154">
                  <c:v>619354.63210887066</c:v>
                </c:pt>
                <c:pt idx="155">
                  <c:v>626097.15465550462</c:v>
                </c:pt>
                <c:pt idx="156">
                  <c:v>632893.44302377047</c:v>
                </c:pt>
                <c:pt idx="157">
                  <c:v>639743.92594988015</c:v>
                </c:pt>
                <c:pt idx="158">
                  <c:v>646649.0355888484</c:v>
                </c:pt>
                <c:pt idx="159">
                  <c:v>653609.20754175482</c:v>
                </c:pt>
                <c:pt idx="160">
                  <c:v>660624.88088322303</c:v>
                </c:pt>
                <c:pt idx="161">
                  <c:v>667696.49818911939</c:v>
                </c:pt>
                <c:pt idx="162">
                  <c:v>674824.50556447252</c:v>
                </c:pt>
                <c:pt idx="163">
                  <c:v>682009.35267161496</c:v>
                </c:pt>
                <c:pt idx="164">
                  <c:v>689251.49275854998</c:v>
                </c:pt>
                <c:pt idx="165">
                  <c:v>696551.38268754398</c:v>
                </c:pt>
                <c:pt idx="166">
                  <c:v>703909.48296394735</c:v>
                </c:pt>
                <c:pt idx="167">
                  <c:v>711326.25776524469</c:v>
                </c:pt>
                <c:pt idx="168">
                  <c:v>718802.17497033707</c:v>
                </c:pt>
                <c:pt idx="169">
                  <c:v>726337.70618905779</c:v>
                </c:pt>
                <c:pt idx="170">
                  <c:v>733933.32679192291</c:v>
                </c:pt>
                <c:pt idx="171">
                  <c:v>741589.51594011998</c:v>
                </c:pt>
                <c:pt idx="172">
                  <c:v>749306.75661573501</c:v>
                </c:pt>
                <c:pt idx="173">
                  <c:v>757085.53565222106</c:v>
                </c:pt>
                <c:pt idx="174">
                  <c:v>764926.34376510943</c:v>
                </c:pt>
                <c:pt idx="175">
                  <c:v>772829.67558296607</c:v>
                </c:pt>
                <c:pt idx="176">
                  <c:v>780796.02967859455</c:v>
                </c:pt>
                <c:pt idx="177">
                  <c:v>788825.90860048798</c:v>
                </c:pt>
                <c:pt idx="178">
                  <c:v>796919.81890453165</c:v>
                </c:pt>
                <c:pt idx="179">
                  <c:v>805078.27118595864</c:v>
                </c:pt>
                <c:pt idx="180">
                  <c:v>813301.78011156025</c:v>
                </c:pt>
                <c:pt idx="181">
                  <c:v>821590.86445215298</c:v>
                </c:pt>
                <c:pt idx="182">
                  <c:v>829946.04711530462</c:v>
                </c:pt>
                <c:pt idx="183">
                  <c:v>838367.85517832136</c:v>
                </c:pt>
                <c:pt idx="184">
                  <c:v>846856.81992149795</c:v>
                </c:pt>
                <c:pt idx="185">
                  <c:v>855413.47686163255</c:v>
                </c:pt>
                <c:pt idx="186">
                  <c:v>864038.36578580982</c:v>
                </c:pt>
                <c:pt idx="187">
                  <c:v>872732.03078545211</c:v>
                </c:pt>
                <c:pt idx="188">
                  <c:v>881495.02029064344</c:v>
                </c:pt>
                <c:pt idx="189">
                  <c:v>890327.88710472616</c:v>
                </c:pt>
                <c:pt idx="190">
                  <c:v>899231.18843917421</c:v>
                </c:pt>
                <c:pt idx="191">
                  <c:v>908205.485948744</c:v>
                </c:pt>
                <c:pt idx="192">
                  <c:v>917251.34576690581</c:v>
                </c:pt>
                <c:pt idx="193">
                  <c:v>926369.33854155778</c:v>
                </c:pt>
                <c:pt idx="194">
                  <c:v>935560.03947102465</c:v>
                </c:pt>
                <c:pt idx="195">
                  <c:v>944824.02834034315</c:v>
                </c:pt>
                <c:pt idx="196">
                  <c:v>954161.88955783739</c:v>
                </c:pt>
                <c:pt idx="197">
                  <c:v>963574.21219198545</c:v>
                </c:pt>
                <c:pt idx="198">
                  <c:v>973061.59000858036</c:v>
                </c:pt>
                <c:pt idx="199">
                  <c:v>982624.62150818692</c:v>
                </c:pt>
                <c:pt idx="200">
                  <c:v>992263.90996389731</c:v>
                </c:pt>
                <c:pt idx="201">
                  <c:v>1001980.0634593883</c:v>
                </c:pt>
                <c:pt idx="202">
                  <c:v>1011773.6949272811</c:v>
                </c:pt>
                <c:pt idx="203">
                  <c:v>1021645.4221878079</c:v>
                </c:pt>
                <c:pt idx="204">
                  <c:v>1031595.8679877858</c:v>
                </c:pt>
                <c:pt idx="205">
                  <c:v>1041625.660039903</c:v>
                </c:pt>
                <c:pt idx="206">
                  <c:v>1051735.4310623165</c:v>
                </c:pt>
                <c:pt idx="207">
                  <c:v>1061925.8188185669</c:v>
                </c:pt>
                <c:pt idx="208">
                  <c:v>1072197.4661578105</c:v>
                </c:pt>
                <c:pt idx="209">
                  <c:v>1082551.0210553734</c:v>
                </c:pt>
                <c:pt idx="210">
                  <c:v>1092987.1366536277</c:v>
                </c:pt>
                <c:pt idx="211">
                  <c:v>1103506.471303195</c:v>
                </c:pt>
                <c:pt idx="212">
                  <c:v>1114109.6886044764</c:v>
                </c:pt>
                <c:pt idx="213">
                  <c:v>1124797.4574495165</c:v>
                </c:pt>
                <c:pt idx="214">
                  <c:v>1135570.4520641987</c:v>
                </c:pt>
                <c:pt idx="215">
                  <c:v>1146429.352050778</c:v>
                </c:pt>
                <c:pt idx="216">
                  <c:v>1157374.8424307539</c:v>
                </c:pt>
                <c:pt idx="217">
                  <c:v>1168407.6136880829</c:v>
                </c:pt>
                <c:pt idx="218">
                  <c:v>1179528.3618127378</c:v>
                </c:pt>
                <c:pt idx="219">
                  <c:v>1190737.788344613</c:v>
                </c:pt>
                <c:pt idx="220">
                  <c:v>1202036.6004177809</c:v>
                </c:pt>
                <c:pt idx="221">
                  <c:v>1213425.5108051002</c:v>
                </c:pt>
                <c:pt idx="222">
                  <c:v>1224905.2379631801</c:v>
                </c:pt>
                <c:pt idx="223">
                  <c:v>1236476.506077704</c:v>
                </c:pt>
                <c:pt idx="224">
                  <c:v>1248140.0451091137</c:v>
                </c:pt>
                <c:pt idx="225">
                  <c:v>1259896.5908386577</c:v>
                </c:pt>
                <c:pt idx="226">
                  <c:v>1271746.884914808</c:v>
                </c:pt>
                <c:pt idx="227">
                  <c:v>1283691.6749000454</c:v>
                </c:pt>
                <c:pt idx="228">
                  <c:v>1295731.7143180189</c:v>
                </c:pt>
                <c:pt idx="229">
                  <c:v>1307867.7627010806</c:v>
                </c:pt>
                <c:pt idx="230">
                  <c:v>1320100.5856382011</c:v>
                </c:pt>
                <c:pt idx="231">
                  <c:v>1332430.9548232639</c:v>
                </c:pt>
                <c:pt idx="232">
                  <c:v>1344859.6481037487</c:v>
                </c:pt>
                <c:pt idx="233">
                  <c:v>1357387.4495297999</c:v>
                </c:pt>
                <c:pt idx="234">
                  <c:v>1370015.1494036878</c:v>
                </c:pt>
                <c:pt idx="235">
                  <c:v>1382743.5443296642</c:v>
                </c:pt>
                <c:pt idx="236">
                  <c:v>1395573.4372642147</c:v>
                </c:pt>
                <c:pt idx="237">
                  <c:v>1408505.6375667132</c:v>
                </c:pt>
                <c:pt idx="238">
                  <c:v>1421540.9610504785</c:v>
                </c:pt>
                <c:pt idx="239">
                  <c:v>1434680.2300342396</c:v>
                </c:pt>
                <c:pt idx="240">
                  <c:v>1447924.2733940103</c:v>
                </c:pt>
                <c:pt idx="241">
                  <c:v>1461273.9266153784</c:v>
                </c:pt>
                <c:pt idx="242">
                  <c:v>1474730.0318462108</c:v>
                </c:pt>
                <c:pt idx="243">
                  <c:v>1488293.4379497799</c:v>
                </c:pt>
                <c:pt idx="244">
                  <c:v>1501965.0005583132</c:v>
                </c:pt>
                <c:pt idx="245">
                  <c:v>1515745.5821269695</c:v>
                </c:pt>
                <c:pt idx="246">
                  <c:v>1529636.0519882462</c:v>
                </c:pt>
                <c:pt idx="247">
                  <c:v>1543637.2864068202</c:v>
                </c:pt>
                <c:pt idx="248">
                  <c:v>1557750.1686348259</c:v>
                </c:pt>
                <c:pt idx="249">
                  <c:v>1571975.5889675743</c:v>
                </c:pt>
                <c:pt idx="250">
                  <c:v>1586314.4447997161</c:v>
                </c:pt>
                <c:pt idx="251">
                  <c:v>1600767.6406818533</c:v>
                </c:pt>
                <c:pt idx="252">
                  <c:v>1615336.088377601</c:v>
                </c:pt>
                <c:pt idx="253">
                  <c:v>1630020.7069211057</c:v>
                </c:pt>
                <c:pt idx="254">
                  <c:v>1644822.4226750215</c:v>
                </c:pt>
                <c:pt idx="255">
                  <c:v>1659742.1693889475</c:v>
                </c:pt>
                <c:pt idx="256">
                  <c:v>1674780.8882583342</c:v>
                </c:pt>
                <c:pt idx="257">
                  <c:v>1689939.5279838562</c:v>
                </c:pt>
                <c:pt idx="258">
                  <c:v>1705219.0448312606</c:v>
                </c:pt>
                <c:pt idx="259">
                  <c:v>1720620.4026916919</c:v>
                </c:pt>
                <c:pt idx="260">
                  <c:v>1736144.573142498</c:v>
                </c:pt>
                <c:pt idx="261">
                  <c:v>1751792.5355085211</c:v>
                </c:pt>
                <c:pt idx="262">
                  <c:v>1767565.2769238772</c:v>
                </c:pt>
                <c:pt idx="263">
                  <c:v>1783463.792394228</c:v>
                </c:pt>
                <c:pt idx="264">
                  <c:v>1799489.0848595507</c:v>
                </c:pt>
                <c:pt idx="265">
                  <c:v>1815642.165257406</c:v>
                </c:pt>
                <c:pt idx="266">
                  <c:v>1831924.0525867131</c:v>
                </c:pt>
                <c:pt idx="267">
                  <c:v>1848335.7739720319</c:v>
                </c:pt>
                <c:pt idx="268">
                  <c:v>1864878.3647283572</c:v>
                </c:pt>
                <c:pt idx="269">
                  <c:v>1881552.8684264312</c:v>
                </c:pt>
                <c:pt idx="270">
                  <c:v>1898360.336958576</c:v>
                </c:pt>
                <c:pt idx="271">
                  <c:v>1915301.8306050505</c:v>
                </c:pt>
                <c:pt idx="272">
                  <c:v>1932378.4181009375</c:v>
                </c:pt>
                <c:pt idx="273">
                  <c:v>1949591.176703563</c:v>
                </c:pt>
                <c:pt idx="274">
                  <c:v>1966941.1922604546</c:v>
                </c:pt>
                <c:pt idx="275">
                  <c:v>1984429.5592778407</c:v>
                </c:pt>
                <c:pt idx="276">
                  <c:v>2002057.3809896954</c:v>
                </c:pt>
                <c:pt idx="277">
                  <c:v>2019825.7694273363</c:v>
                </c:pt>
                <c:pt idx="278">
                  <c:v>2037735.8454895741</c:v>
                </c:pt>
                <c:pt idx="279">
                  <c:v>2055788.7390134246</c:v>
                </c:pt>
                <c:pt idx="280">
                  <c:v>2073985.5888453824</c:v>
                </c:pt>
                <c:pt idx="281">
                  <c:v>2092327.5429132639</c:v>
                </c:pt>
                <c:pt idx="282">
                  <c:v>2110815.7582986234</c:v>
                </c:pt>
                <c:pt idx="283">
                  <c:v>2129451.4013097449</c:v>
                </c:pt>
                <c:pt idx="284">
                  <c:v>2148235.6475552204</c:v>
                </c:pt>
                <c:pt idx="285">
                  <c:v>2167169.6820181082</c:v>
                </c:pt>
                <c:pt idx="286">
                  <c:v>2186254.6991306888</c:v>
                </c:pt>
                <c:pt idx="287">
                  <c:v>2205491.902849813</c:v>
                </c:pt>
                <c:pt idx="288">
                  <c:v>2224882.5067328531</c:v>
                </c:pt>
                <c:pt idx="289">
                  <c:v>2244427.7340142578</c:v>
                </c:pt>
                <c:pt idx="290">
                  <c:v>2264128.8176827193</c:v>
                </c:pt>
                <c:pt idx="291">
                  <c:v>2283987.0005589547</c:v>
                </c:pt>
                <c:pt idx="292">
                  <c:v>2304003.5353741078</c:v>
                </c:pt>
                <c:pt idx="293">
                  <c:v>2324179.684848777</c:v>
                </c:pt>
                <c:pt idx="294">
                  <c:v>2344516.7217726721</c:v>
                </c:pt>
                <c:pt idx="295">
                  <c:v>2365015.9290849059</c:v>
                </c:pt>
                <c:pt idx="296">
                  <c:v>2385678.5999549287</c:v>
                </c:pt>
                <c:pt idx="297">
                  <c:v>2406506.0378641053</c:v>
                </c:pt>
                <c:pt idx="298">
                  <c:v>2427499.5566879441</c:v>
                </c:pt>
                <c:pt idx="299">
                  <c:v>2448660.480778981</c:v>
                </c:pt>
                <c:pt idx="300">
                  <c:v>2469990.145050325</c:v>
                </c:pt>
                <c:pt idx="301">
                  <c:v>2491489.8950598701</c:v>
                </c:pt>
                <c:pt idx="302">
                  <c:v>2513161.0870951777</c:v>
                </c:pt>
                <c:pt idx="303">
                  <c:v>2535005.0882590367</c:v>
                </c:pt>
                <c:pt idx="304">
                  <c:v>2557023.2765557053</c:v>
                </c:pt>
                <c:pt idx="305">
                  <c:v>2579217.0409778417</c:v>
                </c:pt>
                <c:pt idx="306">
                  <c:v>2601587.781594126</c:v>
                </c:pt>
                <c:pt idx="307">
                  <c:v>2624136.9096375834</c:v>
                </c:pt>
                <c:pt idx="308">
                  <c:v>2646865.8475946086</c:v>
                </c:pt>
                <c:pt idx="309">
                  <c:v>2669776.0292947027</c:v>
                </c:pt>
                <c:pt idx="310">
                  <c:v>2692868.9000009252</c:v>
                </c:pt>
                <c:pt idx="311">
                  <c:v>2716145.9165010657</c:v>
                </c:pt>
                <c:pt idx="312">
                  <c:v>2739608.547199544</c:v>
                </c:pt>
                <c:pt idx="313">
                  <c:v>2763258.2722100439</c:v>
                </c:pt>
                <c:pt idx="314">
                  <c:v>2787096.5834488822</c:v>
                </c:pt>
                <c:pt idx="315">
                  <c:v>2811124.984729127</c:v>
                </c:pt>
                <c:pt idx="316">
                  <c:v>2835344.9918554625</c:v>
                </c:pt>
                <c:pt idx="317">
                  <c:v>2859758.1327198124</c:v>
                </c:pt>
                <c:pt idx="318">
                  <c:v>2884365.9473977252</c:v>
                </c:pt>
                <c:pt idx="319">
                  <c:v>2909169.9882455282</c:v>
                </c:pt>
                <c:pt idx="320">
                  <c:v>2934171.8199982559</c:v>
                </c:pt>
                <c:pt idx="321">
                  <c:v>2959373.0198683599</c:v>
                </c:pt>
                <c:pt idx="322">
                  <c:v>2984775.1776452046</c:v>
                </c:pt>
                <c:pt idx="323">
                  <c:v>3010379.8957953593</c:v>
                </c:pt>
                <c:pt idx="324">
                  <c:v>3036188.7895636857</c:v>
                </c:pt>
                <c:pt idx="325">
                  <c:v>3062203.4870752352</c:v>
                </c:pt>
                <c:pt idx="326">
                  <c:v>3088425.6294379574</c:v>
                </c:pt>
                <c:pt idx="327">
                  <c:v>3114856.8708462268</c:v>
                </c:pt>
                <c:pt idx="328">
                  <c:v>3141498.8786851959</c:v>
                </c:pt>
                <c:pt idx="329">
                  <c:v>3168353.3336359807</c:v>
                </c:pt>
                <c:pt idx="330">
                  <c:v>3195421.9297816851</c:v>
                </c:pt>
                <c:pt idx="331">
                  <c:v>3222706.3747142684</c:v>
                </c:pt>
                <c:pt idx="332">
                  <c:v>3250208.3896422689</c:v>
                </c:pt>
                <c:pt idx="333">
                  <c:v>3277929.7094993829</c:v>
                </c:pt>
                <c:pt idx="334">
                  <c:v>3305872.083053912</c:v>
                </c:pt>
                <c:pt idx="335">
                  <c:v>3334037.2730190819</c:v>
                </c:pt>
                <c:pt idx="336">
                  <c:v>3362427.0561642409</c:v>
                </c:pt>
                <c:pt idx="337">
                  <c:v>3391043.2234269455</c:v>
                </c:pt>
                <c:pt idx="338">
                  <c:v>3419887.5800259402</c:v>
                </c:pt>
                <c:pt idx="339">
                  <c:v>3448961.9455750366</c:v>
                </c:pt>
                <c:pt idx="340">
                  <c:v>3478268.1541979024</c:v>
                </c:pt>
                <c:pt idx="341">
                  <c:v>3507808.054643766</c:v>
                </c:pt>
                <c:pt idx="342">
                  <c:v>3537583.5104040406</c:v>
                </c:pt>
                <c:pt idx="343">
                  <c:v>3567596.3998298822</c:v>
                </c:pt>
                <c:pt idx="344">
                  <c:v>3597848.6162506826</c:v>
                </c:pt>
                <c:pt idx="345">
                  <c:v>3628342.068093508</c:v>
                </c:pt>
                <c:pt idx="346">
                  <c:v>3659078.6790034901</c:v>
                </c:pt>
                <c:pt idx="347">
                  <c:v>3690060.3879651772</c:v>
                </c:pt>
                <c:pt idx="348">
                  <c:v>3721289.1494248523</c:v>
                </c:pt>
                <c:pt idx="349">
                  <c:v>3752766.9334138273</c:v>
                </c:pt>
                <c:pt idx="350">
                  <c:v>3784495.7256727214</c:v>
                </c:pt>
                <c:pt idx="351">
                  <c:v>3816477.5277767275</c:v>
                </c:pt>
                <c:pt idx="352">
                  <c:v>3848714.3572618798</c:v>
                </c:pt>
                <c:pt idx="353">
                  <c:v>3881208.2477523298</c:v>
                </c:pt>
                <c:pt idx="354">
                  <c:v>3913961.2490886319</c:v>
                </c:pt>
                <c:pt idx="355">
                  <c:v>3946975.4274570579</c:v>
                </c:pt>
                <c:pt idx="356">
                  <c:v>3980252.8655199385</c:v>
                </c:pt>
                <c:pt idx="357">
                  <c:v>4013795.6625470468</c:v>
                </c:pt>
                <c:pt idx="358">
                  <c:v>4047605.9345480273</c:v>
                </c:pt>
                <c:pt idx="359">
                  <c:v>4081685.8144058832</c:v>
                </c:pt>
                <c:pt idx="360">
                  <c:v>4116037.4520115256</c:v>
                </c:pt>
                <c:pt idx="361">
                  <c:v>4150663.0143993981</c:v>
                </c:pt>
                <c:pt idx="362">
                  <c:v>4185564.6858841814</c:v>
                </c:pt>
                <c:pt idx="363">
                  <c:v>4220744.6681985883</c:v>
                </c:pt>
                <c:pt idx="364">
                  <c:v>4256205.1806322569</c:v>
                </c:pt>
                <c:pt idx="365">
                  <c:v>4291948.4601717526</c:v>
                </c:pt>
                <c:pt idx="366">
                  <c:v>4327976.7616416859</c:v>
                </c:pt>
                <c:pt idx="367">
                  <c:v>4364292.3578469548</c:v>
                </c:pt>
                <c:pt idx="368">
                  <c:v>4400897.5397161236</c:v>
                </c:pt>
                <c:pt idx="369">
                  <c:v>4437794.6164459428</c:v>
                </c:pt>
                <c:pt idx="370">
                  <c:v>4474985.9156470215</c:v>
                </c:pt>
                <c:pt idx="371">
                  <c:v>4512473.7834906634</c:v>
                </c:pt>
                <c:pt idx="372">
                  <c:v>4550260.5848568706</c:v>
                </c:pt>
                <c:pt idx="373">
                  <c:v>4588348.7034835313</c:v>
                </c:pt>
                <c:pt idx="374">
                  <c:v>4626740.5421167938</c:v>
                </c:pt>
                <c:pt idx="375">
                  <c:v>4665438.5226626415</c:v>
                </c:pt>
                <c:pt idx="376">
                  <c:v>4704445.0863396768</c:v>
                </c:pt>
                <c:pt idx="377">
                  <c:v>4743762.693833122</c:v>
                </c:pt>
                <c:pt idx="378">
                  <c:v>4783393.8254500479</c:v>
                </c:pt>
                <c:pt idx="379">
                  <c:v>4823340.9812758435</c:v>
                </c:pt>
                <c:pt idx="380">
                  <c:v>4863606.6813319298</c:v>
                </c:pt>
                <c:pt idx="381">
                  <c:v>4904193.4657347314</c:v>
                </c:pt>
                <c:pt idx="382">
                  <c:v>4945103.8948559184</c:v>
                </c:pt>
                <c:pt idx="383">
                  <c:v>4968765.4111093683</c:v>
                </c:pt>
                <c:pt idx="384">
                  <c:v>4992594.7784270477</c:v>
                </c:pt>
                <c:pt idx="385">
                  <c:v>5016593.292372196</c:v>
                </c:pt>
                <c:pt idx="386">
                  <c:v>5040762.2587506771</c:v>
                </c:pt>
                <c:pt idx="387">
                  <c:v>5065102.9936924772</c:v>
                </c:pt>
                <c:pt idx="388">
                  <c:v>5089616.8237338439</c:v>
                </c:pt>
                <c:pt idx="389">
                  <c:v>5114305.0859000897</c:v>
                </c:pt>
                <c:pt idx="390">
                  <c:v>5139169.1277890466</c:v>
                </c:pt>
                <c:pt idx="391">
                  <c:v>5164210.3076551901</c:v>
                </c:pt>
                <c:pt idx="392">
                  <c:v>5189429.8692869293</c:v>
                </c:pt>
                <c:pt idx="393">
                  <c:v>5214826.2303847475</c:v>
                </c:pt>
                <c:pt idx="394">
                  <c:v>5240400.7507083826</c:v>
                </c:pt>
                <c:pt idx="395">
                  <c:v>5266154.8007573644</c:v>
                </c:pt>
                <c:pt idx="396">
                  <c:v>5292089.7618564414</c:v>
                </c:pt>
                <c:pt idx="397">
                  <c:v>5318207.0262416927</c:v>
                </c:pt>
                <c:pt idx="398">
                  <c:v>5344507.9971473189</c:v>
                </c:pt>
                <c:pt idx="399">
                  <c:v>5370994.0888931323</c:v>
                </c:pt>
                <c:pt idx="400">
                  <c:v>5397666.7269727392</c:v>
                </c:pt>
                <c:pt idx="401">
                  <c:v>5424527.3481424283</c:v>
                </c:pt>
                <c:pt idx="402">
                  <c:v>5451577.4005107637</c:v>
                </c:pt>
                <c:pt idx="403">
                  <c:v>5478818.3436288964</c:v>
                </c:pt>
                <c:pt idx="404">
                  <c:v>5506251.6485815905</c:v>
                </c:pt>
                <c:pt idx="405">
                  <c:v>5533878.7980789803</c:v>
                </c:pt>
                <c:pt idx="406">
                  <c:v>5561701.2865490532</c:v>
                </c:pt>
                <c:pt idx="407">
                  <c:v>5589720.620230874</c:v>
                </c:pt>
                <c:pt idx="408">
                  <c:v>5617938.3172685504</c:v>
                </c:pt>
                <c:pt idx="409">
                  <c:v>5646355.9078059457</c:v>
                </c:pt>
                <c:pt idx="410">
                  <c:v>5674974.9340821486</c:v>
                </c:pt>
                <c:pt idx="411">
                  <c:v>5703796.9505277053</c:v>
                </c:pt>
                <c:pt idx="412">
                  <c:v>5732823.5238616131</c:v>
                </c:pt>
                <c:pt idx="413">
                  <c:v>5762056.2331890911</c:v>
                </c:pt>
                <c:pt idx="414">
                  <c:v>5791496.670100132</c:v>
                </c:pt>
                <c:pt idx="415">
                  <c:v>5821146.438768832</c:v>
                </c:pt>
                <c:pt idx="416">
                  <c:v>5851007.1560535217</c:v>
                </c:pt>
                <c:pt idx="417">
                  <c:v>5881080.451597685</c:v>
                </c:pt>
                <c:pt idx="418">
                  <c:v>5911367.9679316916</c:v>
                </c:pt>
                <c:pt idx="419">
                  <c:v>5941871.3605753342</c:v>
                </c:pt>
                <c:pt idx="420">
                  <c:v>5972592.2981411861</c:v>
                </c:pt>
                <c:pt idx="421">
                  <c:v>6003532.4624387799</c:v>
                </c:pt>
                <c:pt idx="422">
                  <c:v>6034693.5485796183</c:v>
                </c:pt>
                <c:pt idx="423">
                  <c:v>6066077.2650830224</c:v>
                </c:pt>
                <c:pt idx="424">
                  <c:v>6097685.3339828188</c:v>
                </c:pt>
                <c:pt idx="425">
                  <c:v>6129519.490934886</c:v>
                </c:pt>
                <c:pt idx="426">
                  <c:v>6161581.4853255488</c:v>
                </c:pt>
                <c:pt idx="427">
                  <c:v>6193873.0803808421</c:v>
                </c:pt>
                <c:pt idx="428">
                  <c:v>6226396.0532766432</c:v>
                </c:pt>
                <c:pt idx="429">
                  <c:v>6259152.1952496823</c:v>
                </c:pt>
                <c:pt idx="430">
                  <c:v>6292143.3117094385</c:v>
                </c:pt>
                <c:pt idx="431">
                  <c:v>6325371.2223509261</c:v>
                </c:pt>
                <c:pt idx="432">
                  <c:v>6358837.761268382</c:v>
                </c:pt>
                <c:pt idx="433">
                  <c:v>6392544.7770698555</c:v>
                </c:pt>
                <c:pt idx="434">
                  <c:v>6426494.1329927184</c:v>
                </c:pt>
                <c:pt idx="435">
                  <c:v>6460687.7070200853</c:v>
                </c:pt>
                <c:pt idx="436">
                  <c:v>6495127.3919981718</c:v>
                </c:pt>
                <c:pt idx="437">
                  <c:v>6529815.0957545834</c:v>
                </c:pt>
                <c:pt idx="438">
                  <c:v>6564752.7412175443</c:v>
                </c:pt>
                <c:pt idx="439">
                  <c:v>6599942.266536084</c:v>
                </c:pt>
                <c:pt idx="440">
                  <c:v>6635385.625201175</c:v>
                </c:pt>
                <c:pt idx="441">
                  <c:v>6671084.7861678395</c:v>
                </c:pt>
                <c:pt idx="442">
                  <c:v>6707041.7339782296</c:v>
                </c:pt>
                <c:pt idx="443">
                  <c:v>6751333.2567225946</c:v>
                </c:pt>
                <c:pt idx="444">
                  <c:v>6795956.7566050431</c:v>
                </c:pt>
                <c:pt idx="445">
                  <c:v>6840914.8371694162</c:v>
                </c:pt>
                <c:pt idx="446">
                  <c:v>6886210.1226305896</c:v>
                </c:pt>
                <c:pt idx="447">
                  <c:v>6931845.2580391197</c:v>
                </c:pt>
                <c:pt idx="448">
                  <c:v>6977822.9094472034</c:v>
                </c:pt>
                <c:pt idx="449">
                  <c:v>7024145.7640759675</c:v>
                </c:pt>
                <c:pt idx="450">
                  <c:v>7070816.5304840803</c:v>
                </c:pt>
                <c:pt idx="451">
                  <c:v>7117837.9387377147</c:v>
                </c:pt>
                <c:pt idx="452">
                  <c:v>7165212.7405818673</c:v>
                </c:pt>
                <c:pt idx="453">
                  <c:v>7212943.7096130382</c:v>
                </c:pt>
                <c:pt idx="454">
                  <c:v>7261033.6414532922</c:v>
                </c:pt>
                <c:pt idx="455">
                  <c:v>7309485.3539257003</c:v>
                </c:pt>
                <c:pt idx="456">
                  <c:v>7358301.6872311924</c:v>
                </c:pt>
                <c:pt idx="457">
                  <c:v>7407485.5041268058</c:v>
                </c:pt>
                <c:pt idx="458">
                  <c:v>7457039.6901053637</c:v>
                </c:pt>
                <c:pt idx="459">
                  <c:v>7506967.1535765845</c:v>
                </c:pt>
                <c:pt idx="460">
                  <c:v>7557270.8260496315</c:v>
                </c:pt>
                <c:pt idx="461">
                  <c:v>7607953.6623171223</c:v>
                </c:pt>
                <c:pt idx="462">
                  <c:v>7659018.6406406024</c:v>
                </c:pt>
                <c:pt idx="463">
                  <c:v>7710468.7629374992</c:v>
                </c:pt>
                <c:pt idx="464">
                  <c:v>7762307.0549695631</c:v>
                </c:pt>
                <c:pt idx="465">
                  <c:v>7814536.5665328149</c:v>
                </c:pt>
                <c:pt idx="466">
                  <c:v>7867160.3716490055</c:v>
                </c:pt>
                <c:pt idx="467">
                  <c:v>7920181.5687586023</c:v>
                </c:pt>
                <c:pt idx="468">
                  <c:v>7973603.2809153125</c:v>
                </c:pt>
                <c:pt idx="469">
                  <c:v>8027428.6559821591</c:v>
                </c:pt>
                <c:pt idx="470">
                  <c:v>8081660.8668291215</c:v>
                </c:pt>
                <c:pt idx="471">
                  <c:v>8136303.1115323482</c:v>
                </c:pt>
                <c:pt idx="472">
                  <c:v>8191358.6135749584</c:v>
                </c:pt>
                <c:pt idx="473">
                  <c:v>8246830.6220494453</c:v>
                </c:pt>
                <c:pt idx="474">
                  <c:v>8302722.4118616944</c:v>
                </c:pt>
                <c:pt idx="475">
                  <c:v>8359037.2839366272</c:v>
                </c:pt>
                <c:pt idx="476">
                  <c:v>8415778.5654254816</c:v>
                </c:pt>
                <c:pt idx="477">
                  <c:v>8472949.6099147461</c:v>
                </c:pt>
                <c:pt idx="478">
                  <c:v>8530553.797636766</c:v>
                </c:pt>
                <c:pt idx="479">
                  <c:v>8588594.535682017</c:v>
                </c:pt>
                <c:pt idx="480">
                  <c:v>8647075.2582130823</c:v>
                </c:pt>
                <c:pt idx="481">
                  <c:v>8705999.4266803283</c:v>
                </c:pt>
                <c:pt idx="482">
                  <c:v>8765370.5300393011</c:v>
                </c:pt>
                <c:pt idx="483">
                  <c:v>8825192.0849698558</c:v>
                </c:pt>
                <c:pt idx="484">
                  <c:v>8885467.6360970419</c:v>
                </c:pt>
                <c:pt idx="485">
                  <c:v>8946200.7562137321</c:v>
                </c:pt>
                <c:pt idx="486">
                  <c:v>9007395.0465050377</c:v>
                </c:pt>
                <c:pt idx="487">
                  <c:v>9069054.1367745195</c:v>
                </c:pt>
                <c:pt idx="488">
                  <c:v>9131181.6856721826</c:v>
                </c:pt>
                <c:pt idx="489">
                  <c:v>9193781.3809243031</c:v>
                </c:pt>
                <c:pt idx="490">
                  <c:v>9256856.9395650905</c:v>
                </c:pt>
                <c:pt idx="491">
                  <c:v>9320412.1081701815</c:v>
                </c:pt>
                <c:pt idx="492">
                  <c:v>9384450.663092006</c:v>
                </c:pt>
                <c:pt idx="493">
                  <c:v>9448976.4106970336</c:v>
                </c:pt>
                <c:pt idx="494">
                  <c:v>9513993.1876048967</c:v>
                </c:pt>
                <c:pt idx="495">
                  <c:v>9579504.860929437</c:v>
                </c:pt>
                <c:pt idx="496">
                  <c:v>9645515.3285216633</c:v>
                </c:pt>
                <c:pt idx="497">
                  <c:v>9712028.5192146432</c:v>
                </c:pt>
                <c:pt idx="498">
                  <c:v>9779048.3930703569</c:v>
                </c:pt>
                <c:pt idx="499">
                  <c:v>9846578.9416285176</c:v>
                </c:pt>
                <c:pt idx="500">
                  <c:v>9914624.1881573666</c:v>
                </c:pt>
                <c:pt idx="501">
                  <c:v>9983188.1879064776</c:v>
                </c:pt>
                <c:pt idx="502">
                  <c:v>10052275.028361572</c:v>
                </c:pt>
                <c:pt idx="503">
                  <c:v>10121888.829501366</c:v>
                </c:pt>
                <c:pt idx="504">
                  <c:v>10192033.744056467</c:v>
                </c:pt>
                <c:pt idx="505">
                  <c:v>10262713.957770329</c:v>
                </c:pt>
                <c:pt idx="506">
                  <c:v>10333933.6896623</c:v>
                </c:pt>
                <c:pt idx="507">
                  <c:v>10405697.19229275</c:v>
                </c:pt>
                <c:pt idx="508">
                  <c:v>10478008.752030328</c:v>
                </c:pt>
                <c:pt idx="509">
                  <c:v>10550872.689321343</c:v>
                </c:pt>
                <c:pt idx="510">
                  <c:v>10624293.358961288</c:v>
                </c:pt>
                <c:pt idx="511">
                  <c:v>10698275.15036854</c:v>
                </c:pt>
                <c:pt idx="512">
                  <c:v>10772822.487860231</c:v>
                </c:pt>
                <c:pt idx="513">
                  <c:v>10847939.830930326</c:v>
                </c:pt>
                <c:pt idx="514">
                  <c:v>10923631.674529916</c:v>
                </c:pt>
                <c:pt idx="515">
                  <c:v>10999902.54934974</c:v>
                </c:pt>
                <c:pt idx="516">
                  <c:v>11076757.022104971</c:v>
                </c:pt>
                <c:pt idx="517">
                  <c:v>11154199.695822261</c:v>
                </c:pt>
                <c:pt idx="518">
                  <c:v>11232235.210129082</c:v>
                </c:pt>
                <c:pt idx="519">
                  <c:v>11310868.241545368</c:v>
                </c:pt>
                <c:pt idx="520">
                  <c:v>11390103.503777487</c:v>
                </c:pt>
                <c:pt idx="521">
                  <c:v>11469945.748014558</c:v>
                </c:pt>
                <c:pt idx="522">
                  <c:v>11550399.763227124</c:v>
                </c:pt>
                <c:pt idx="523">
                  <c:v>11631470.376468208</c:v>
                </c:pt>
                <c:pt idx="524">
                  <c:v>11713162.453176772</c:v>
                </c:pt>
                <c:pt idx="525">
                  <c:v>11795480.897483602</c:v>
                </c:pt>
                <c:pt idx="526">
                  <c:v>11878430.652519612</c:v>
                </c:pt>
                <c:pt idx="527">
                  <c:v>11962016.700726621</c:v>
                </c:pt>
                <c:pt idx="528">
                  <c:v>12046244.064170612</c:v>
                </c:pt>
                <c:pt idx="529">
                  <c:v>12131117.804857476</c:v>
                </c:pt>
                <c:pt idx="530">
                  <c:v>12216643.025051273</c:v>
                </c:pt>
                <c:pt idx="531">
                  <c:v>12302824.867595049</c:v>
                </c:pt>
                <c:pt idx="532">
                  <c:v>12389668.516234184</c:v>
                </c:pt>
                <c:pt idx="533">
                  <c:v>12477179.195942342</c:v>
                </c:pt>
                <c:pt idx="534">
                  <c:v>12565362.173250007</c:v>
                </c:pt>
                <c:pt idx="535">
                  <c:v>12654222.756575633</c:v>
                </c:pt>
                <c:pt idx="536">
                  <c:v>12743763.707646573</c:v>
                </c:pt>
                <c:pt idx="537">
                  <c:v>12833990.134273631</c:v>
                </c:pt>
                <c:pt idx="538">
                  <c:v>12924907.443754511</c:v>
                </c:pt>
                <c:pt idx="539">
                  <c:v>13016521.086384382</c:v>
                </c:pt>
                <c:pt idx="540">
                  <c:v>13108836.555798508</c:v>
                </c:pt>
                <c:pt idx="541">
                  <c:v>13201859.389317594</c:v>
                </c:pt>
                <c:pt idx="542">
                  <c:v>13295595.16829589</c:v>
                </c:pt>
                <c:pt idx="543">
                  <c:v>13390049.518472068</c:v>
                </c:pt>
                <c:pt idx="544">
                  <c:v>13485228.110322902</c:v>
                </c:pt>
                <c:pt idx="545">
                  <c:v>13581136.65941976</c:v>
                </c:pt>
                <c:pt idx="546">
                  <c:v>13677780.926787945</c:v>
                </c:pt>
                <c:pt idx="547">
                  <c:v>13775166.719268894</c:v>
                </c:pt>
                <c:pt idx="548">
                  <c:v>13873299.889885269</c:v>
                </c:pt>
                <c:pt idx="549">
                  <c:v>13972186.33820897</c:v>
                </c:pt>
                <c:pt idx="550">
                  <c:v>14071832.010732053</c:v>
                </c:pt>
                <c:pt idx="551">
                  <c:v>14172242.901240636</c:v>
                </c:pt>
                <c:pt idx="552">
                  <c:v>14273425.051191764</c:v>
                </c:pt>
                <c:pt idx="553">
                  <c:v>14375384.550093295</c:v>
                </c:pt>
                <c:pt idx="554">
                  <c:v>14478127.535886804</c:v>
                </c:pt>
                <c:pt idx="555">
                  <c:v>14581660.195333539</c:v>
                </c:pt>
                <c:pt idx="556">
                  <c:v>14685988.764403466</c:v>
                </c:pt>
                <c:pt idx="557">
                  <c:v>14791119.528667403</c:v>
                </c:pt>
                <c:pt idx="558">
                  <c:v>14897058.823692286</c:v>
                </c:pt>
                <c:pt idx="559">
                  <c:v>15003813.035439586</c:v>
                </c:pt>
                <c:pt idx="560">
                  <c:v>15111388.600666903</c:v>
                </c:pt>
                <c:pt idx="561">
                  <c:v>15219792.007332757</c:v>
                </c:pt>
                <c:pt idx="562">
                  <c:v>15329029.795004619</c:v>
                </c:pt>
                <c:pt idx="563">
                  <c:v>15439108.555270178</c:v>
                </c:pt>
                <c:pt idx="564">
                  <c:v>15550034.932151901</c:v>
                </c:pt>
                <c:pt idx="565">
                  <c:v>15661815.622524885</c:v>
                </c:pt>
                <c:pt idx="566">
                  <c:v>15774457.376538062</c:v>
                </c:pt>
                <c:pt idx="567">
                  <c:v>15887966.998038733</c:v>
                </c:pt>
                <c:pt idx="568">
                  <c:v>16002351.345000513</c:v>
                </c:pt>
                <c:pt idx="569">
                  <c:v>16117617.329954671</c:v>
                </c:pt>
                <c:pt idx="570">
                  <c:v>16233771.920424918</c:v>
                </c:pt>
                <c:pt idx="571">
                  <c:v>16350822.139365662</c:v>
                </c:pt>
                <c:pt idx="572">
                  <c:v>16468775.065603744</c:v>
                </c:pt>
                <c:pt idx="573">
                  <c:v>16587637.834283713</c:v>
                </c:pt>
                <c:pt idx="574">
                  <c:v>16707417.637316642</c:v>
                </c:pt>
                <c:pt idx="575">
                  <c:v>16828121.723832529</c:v>
                </c:pt>
                <c:pt idx="576">
                  <c:v>16949757.400636289</c:v>
                </c:pt>
                <c:pt idx="577">
                  <c:v>17072332.032667406</c:v>
                </c:pt>
                <c:pt idx="578">
                  <c:v>17195853.043463226</c:v>
                </c:pt>
                <c:pt idx="579">
                  <c:v>17320327.915625956</c:v>
                </c:pt>
                <c:pt idx="580">
                  <c:v>17445764.191293392</c:v>
                </c:pt>
                <c:pt idx="581">
                  <c:v>17572169.472613391</c:v>
                </c:pt>
                <c:pt idx="582">
                  <c:v>17699551.422222115</c:v>
                </c:pt>
                <c:pt idx="583">
                  <c:v>17827917.763726112</c:v>
                </c:pt>
                <c:pt idx="584">
                  <c:v>17957276.282188237</c:v>
                </c:pt>
                <c:pt idx="585">
                  <c:v>18087634.824617416</c:v>
                </c:pt>
                <c:pt idx="586">
                  <c:v>18219001.300462369</c:v>
                </c:pt>
                <c:pt idx="587">
                  <c:v>18351383.682109211</c:v>
                </c:pt>
                <c:pt idx="588">
                  <c:v>18484790.005383063</c:v>
                </c:pt>
                <c:pt idx="589">
                  <c:v>18619228.370053645</c:v>
                </c:pt>
                <c:pt idx="590">
                  <c:v>18754706.940344904</c:v>
                </c:pt>
                <c:pt idx="591">
                  <c:v>18891233.9454487</c:v>
                </c:pt>
                <c:pt idx="592">
                  <c:v>19028817.680042602</c:v>
                </c:pt>
                <c:pt idx="593">
                  <c:v>19167466.504811782</c:v>
                </c:pt>
                <c:pt idx="594">
                  <c:v>19307188.84697511</c:v>
                </c:pt>
                <c:pt idx="595">
                  <c:v>19447993.200815421</c:v>
                </c:pt>
                <c:pt idx="596">
                  <c:v>19589888.128213998</c:v>
                </c:pt>
                <c:pt idx="597">
                  <c:v>19732882.259189345</c:v>
                </c:pt>
                <c:pt idx="598">
                  <c:v>19876984.292440239</c:v>
                </c:pt>
                <c:pt idx="599">
                  <c:v>20022202.995893113</c:v>
                </c:pt>
                <c:pt idx="600">
                  <c:v>20168547.207253806</c:v>
                </c:pt>
                <c:pt idx="601">
                  <c:v>20316025.83456371</c:v>
                </c:pt>
                <c:pt idx="602">
                  <c:v>20464647.856760353</c:v>
                </c:pt>
                <c:pt idx="603">
                  <c:v>20614422.324242443</c:v>
                </c:pt>
                <c:pt idx="604">
                  <c:v>20765358.359439444</c:v>
                </c:pt>
                <c:pt idx="605">
                  <c:v>20917465.157385655</c:v>
                </c:pt>
                <c:pt idx="606">
                  <c:v>21070751.986298896</c:v>
                </c:pt>
                <c:pt idx="607">
                  <c:v>21225228.188163795</c:v>
                </c:pt>
                <c:pt idx="608">
                  <c:v>21380903.179319724</c:v>
                </c:pt>
                <c:pt idx="609">
                  <c:v>21537786.451053433</c:v>
                </c:pt>
                <c:pt idx="610">
                  <c:v>21695887.570196401</c:v>
                </c:pt>
                <c:pt idx="611">
                  <c:v>21855216.179726947</c:v>
                </c:pt>
                <c:pt idx="612">
                  <c:v>22015781.99937715</c:v>
                </c:pt>
                <c:pt idx="613">
                  <c:v>22177594.826244611</c:v>
                </c:pt>
                <c:pt idx="614">
                  <c:v>22340664.535409074</c:v>
                </c:pt>
                <c:pt idx="615">
                  <c:v>22505001.080553986</c:v>
                </c:pt>
                <c:pt idx="616">
                  <c:v>22670614.494592991</c:v>
                </c:pt>
                <c:pt idx="617">
                  <c:v>22837514.89030144</c:v>
                </c:pt>
                <c:pt idx="618">
                  <c:v>23005712.460952926</c:v>
                </c:pt>
                <c:pt idx="619">
                  <c:v>23175217.480960887</c:v>
                </c:pt>
                <c:pt idx="620">
                  <c:v>23346040.306525346</c:v>
                </c:pt>
                <c:pt idx="621">
                  <c:v>23518191.376284774</c:v>
                </c:pt>
                <c:pt idx="622">
                  <c:v>23691681.211973198</c:v>
                </c:pt>
                <c:pt idx="623">
                  <c:v>23866520.419082489</c:v>
                </c:pt>
                <c:pt idx="624">
                  <c:v>24042719.687529996</c:v>
                </c:pt>
                <c:pt idx="625">
                  <c:v>24220289.792331439</c:v>
                </c:pt>
                <c:pt idx="626">
                  <c:v>24399241.594279218</c:v>
                </c:pt>
                <c:pt idx="627">
                  <c:v>24579586.040626097</c:v>
                </c:pt>
                <c:pt idx="628">
                  <c:v>24761334.165774364</c:v>
                </c:pt>
                <c:pt idx="629">
                  <c:v>24944497.091970462</c:v>
                </c:pt>
                <c:pt idx="630">
                  <c:v>25129086.030005187</c:v>
                </c:pt>
                <c:pt idx="631">
                  <c:v>25315112.279919431</c:v>
                </c:pt>
                <c:pt idx="632">
                  <c:v>25502587.231715586</c:v>
                </c:pt>
                <c:pt idx="633">
                  <c:v>25691522.366074618</c:v>
                </c:pt>
                <c:pt idx="634">
                  <c:v>25881929.255078819</c:v>
                </c:pt>
                <c:pt idx="635">
                  <c:v>26073819.562940378</c:v>
                </c:pt>
                <c:pt idx="636">
                  <c:v>26267205.046735723</c:v>
                </c:pt>
                <c:pt idx="637">
                  <c:v>26462097.557145722</c:v>
                </c:pt>
                <c:pt idx="638">
                  <c:v>26658509.039201811</c:v>
                </c:pt>
                <c:pt idx="639">
                  <c:v>26856451.533038042</c:v>
                </c:pt>
                <c:pt idx="640">
                  <c:v>27055937.174649131</c:v>
                </c:pt>
                <c:pt idx="641">
                  <c:v>27256978.196654569</c:v>
                </c:pt>
                <c:pt idx="642">
                  <c:v>27459586.929068808</c:v>
                </c:pt>
                <c:pt idx="643">
                  <c:v>27663775.800077599</c:v>
                </c:pt>
                <c:pt idx="644">
                  <c:v>27869557.336820513</c:v>
                </c:pt>
                <c:pt idx="645">
                  <c:v>28076944.166179694</c:v>
                </c:pt>
                <c:pt idx="646">
                  <c:v>28285949.015574925</c:v>
                </c:pt>
                <c:pt idx="647">
                  <c:v>28496584.713765007</c:v>
                </c:pt>
                <c:pt idx="648">
                  <c:v>28708864.191655546</c:v>
                </c:pt>
                <c:pt idx="649">
                  <c:v>28922800.483113173</c:v>
                </c:pt>
                <c:pt idx="650">
                  <c:v>29138406.72578625</c:v>
                </c:pt>
                <c:pt idx="651">
                  <c:v>29355696.161932133</c:v>
                </c:pt>
                <c:pt idx="652">
                  <c:v>29574682.139251027</c:v>
                </c:pt>
                <c:pt idx="653">
                  <c:v>29795378.111726478</c:v>
                </c:pt>
                <c:pt idx="654">
                  <c:v>30017797.640472587</c:v>
                </c:pt>
                <c:pt idx="655">
                  <c:v>30241954.39458796</c:v>
                </c:pt>
                <c:pt idx="656">
                  <c:v>30467862.15201648</c:v>
                </c:pt>
                <c:pt idx="657">
                  <c:v>30695534.800414935</c:v>
                </c:pt>
                <c:pt idx="658">
                  <c:v>30924986.338027567</c:v>
                </c:pt>
                <c:pt idx="659">
                  <c:v>31156230.874567587</c:v>
                </c:pt>
                <c:pt idx="660">
                  <c:v>31389282.632105734</c:v>
                </c:pt>
                <c:pt idx="661">
                  <c:v>31624155.945965916</c:v>
                </c:pt>
                <c:pt idx="662">
                  <c:v>31860865.265627958</c:v>
                </c:pt>
                <c:pt idx="663">
                  <c:v>32099425.155637611</c:v>
                </c:pt>
                <c:pt idx="664">
                  <c:v>32339850.296523757</c:v>
                </c:pt>
                <c:pt idx="665">
                  <c:v>32582155.485722959</c:v>
                </c:pt>
                <c:pt idx="666">
                  <c:v>32826355.638511382</c:v>
                </c:pt>
                <c:pt idx="667">
                  <c:v>33072465.78894414</c:v>
                </c:pt>
                <c:pt idx="668">
                  <c:v>33320501.090802111</c:v>
                </c:pt>
                <c:pt idx="669">
                  <c:v>33570476.818546347</c:v>
                </c:pt>
                <c:pt idx="670">
                  <c:v>33822408.368280061</c:v>
                </c:pt>
                <c:pt idx="671">
                  <c:v>34076311.258718282</c:v>
                </c:pt>
                <c:pt idx="672">
                  <c:v>34332201.132165261</c:v>
                </c:pt>
                <c:pt idx="673">
                  <c:v>34590093.755499668</c:v>
                </c:pt>
                <c:pt idx="674">
                  <c:v>34850005.021167621</c:v>
                </c:pt>
                <c:pt idx="675">
                  <c:v>35111950.948183648</c:v>
                </c:pt>
                <c:pt idx="676">
                  <c:v>35375943.130109712</c:v>
                </c:pt>
                <c:pt idx="677">
                  <c:v>35641996.822286628</c:v>
                </c:pt>
                <c:pt idx="678">
                  <c:v>35910128.373676777</c:v>
                </c:pt>
                <c:pt idx="679">
                  <c:v>36180354.263426468</c:v>
                </c:pt>
                <c:pt idx="680">
                  <c:v>36452691.10190367</c:v>
                </c:pt>
                <c:pt idx="681">
                  <c:v>36727155.631743997</c:v>
                </c:pt>
                <c:pt idx="682">
                  <c:v>37003764.728905059</c:v>
                </c:pt>
                <c:pt idx="683">
                  <c:v>37282535.403729193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9-534B-95D7-B06F29A90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24948"/>
        <c:axId val="70067203"/>
      </c:scatterChart>
      <c:valAx>
        <c:axId val="51524948"/>
        <c:scaling>
          <c:orientation val="minMax"/>
          <c:max val="67"/>
          <c:min val="18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067203"/>
        <c:crosses val="autoZero"/>
        <c:crossBetween val="midCat"/>
        <c:majorUnit val="7"/>
      </c:valAx>
      <c:valAx>
        <c:axId val="70067203"/>
        <c:scaling>
          <c:orientation val="minMax"/>
          <c:max val="1800000"/>
          <c:min val="-2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AU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Portfolio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24948"/>
        <c:crosses val="autoZero"/>
        <c:crossBetween val="midCat"/>
        <c:majorUnit val="2000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8</xdr:col>
      <xdr:colOff>1099440</xdr:colOff>
      <xdr:row>55</xdr:row>
      <xdr:rowOff>190080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showGridLines="0" tabSelected="1" zoomScale="120" zoomScaleNormal="120" workbookViewId="0">
      <pane ySplit="2" topLeftCell="A3" activePane="bottomLeft" state="frozen"/>
      <selection pane="bottomLeft" activeCell="F10" sqref="F10"/>
    </sheetView>
  </sheetViews>
  <sheetFormatPr baseColWidth="10" defaultColWidth="8.6640625" defaultRowHeight="15" x14ac:dyDescent="0.2"/>
  <cols>
    <col min="1" max="1" width="2.1640625" customWidth="1"/>
    <col min="2" max="2" width="18.5" customWidth="1"/>
    <col min="3" max="12" width="15.6640625" customWidth="1"/>
    <col min="13" max="13" width="2.1640625" customWidth="1"/>
  </cols>
  <sheetData>
    <row r="1" spans="1:13" ht="33.75" customHeight="1" x14ac:dyDescent="0.2">
      <c r="A1" s="5" t="s">
        <v>106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1.75" customHeight="1" x14ac:dyDescent="0.2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6.75" customHeight="1" x14ac:dyDescent="0.2"/>
    <row r="4" spans="1:13" ht="19.5" customHeight="1" x14ac:dyDescent="0.2">
      <c r="A4" s="3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3.75" customHeight="1" x14ac:dyDescent="0.2"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</row>
    <row r="6" spans="1:13" ht="21" customHeight="1" x14ac:dyDescent="0.2">
      <c r="B6" s="7">
        <v>120000</v>
      </c>
      <c r="C6" s="7">
        <v>80000</v>
      </c>
      <c r="D6" s="8">
        <f>B6-IF(B6&lt;=18200,0,IF(B6&lt;=45000,(B6-18200)*0.16,IF(B6&lt;=135000,4288+(B6-45000)*0.3,IF(B6&lt;=190000,31288+(B6-135000)*0.37,51638+(B6-190000)*0.45))))+C6-IF(C6&lt;=18200,0,IF(C6&lt;=45000,(C6-18200)*0.16,IF(C6&lt;=135000,4288+(C6-45000)*0.3,IF(C6&lt;=190000,31288+(C6-135000)*0.37,51638+(C6-190000)*0.45))))</f>
        <v>158424</v>
      </c>
      <c r="E6" s="8">
        <f>D6/12</f>
        <v>13202</v>
      </c>
      <c r="F6" s="9">
        <f>18+20/365</f>
        <v>18.054794520547944</v>
      </c>
      <c r="G6" s="10">
        <v>2025</v>
      </c>
      <c r="H6" s="10">
        <v>7</v>
      </c>
      <c r="I6" s="11">
        <v>25</v>
      </c>
      <c r="J6" s="11">
        <v>60</v>
      </c>
    </row>
    <row r="7" spans="1:13" ht="6.75" customHeight="1" x14ac:dyDescent="0.2"/>
    <row r="8" spans="1:13" ht="19.5" customHeight="1" x14ac:dyDescent="0.2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40" customHeight="1" x14ac:dyDescent="0.2"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113</v>
      </c>
      <c r="J9" s="6" t="s">
        <v>18</v>
      </c>
    </row>
    <row r="10" spans="1:13" ht="21" customHeight="1" x14ac:dyDescent="0.2">
      <c r="B10" s="12">
        <v>0.1</v>
      </c>
      <c r="C10" s="12">
        <v>0.1</v>
      </c>
      <c r="D10" s="12">
        <v>0.06</v>
      </c>
      <c r="E10" s="12">
        <v>2.5000000000000001E-2</v>
      </c>
      <c r="F10" s="12">
        <v>0.1</v>
      </c>
      <c r="G10" s="7">
        <v>100000</v>
      </c>
      <c r="H10" s="7">
        <v>500</v>
      </c>
      <c r="I10" s="7">
        <v>500</v>
      </c>
      <c r="J10" s="8">
        <f>H14</f>
        <v>4500</v>
      </c>
    </row>
    <row r="11" spans="1:13" ht="6.75" customHeight="1" x14ac:dyDescent="0.2"/>
    <row r="12" spans="1:13" ht="19.5" customHeight="1" x14ac:dyDescent="0.2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3.75" customHeight="1" x14ac:dyDescent="0.2">
      <c r="B13" s="6" t="s">
        <v>20</v>
      </c>
      <c r="C13" s="6" t="s">
        <v>21</v>
      </c>
      <c r="D13" s="6" t="s">
        <v>22</v>
      </c>
      <c r="E13" s="6" t="s">
        <v>23</v>
      </c>
      <c r="F13" s="6" t="s">
        <v>24</v>
      </c>
      <c r="G13" s="6" t="s">
        <v>25</v>
      </c>
      <c r="H13" s="6" t="s">
        <v>26</v>
      </c>
    </row>
    <row r="14" spans="1:13" ht="21" customHeight="1" x14ac:dyDescent="0.2">
      <c r="B14" s="7">
        <v>800</v>
      </c>
      <c r="C14" s="7">
        <v>700</v>
      </c>
      <c r="D14" s="7">
        <v>1000</v>
      </c>
      <c r="E14" s="7">
        <v>550</v>
      </c>
      <c r="F14" s="7">
        <v>700</v>
      </c>
      <c r="G14" s="7">
        <v>750</v>
      </c>
      <c r="H14" s="13">
        <f>SUM(B14:G14)</f>
        <v>4500</v>
      </c>
    </row>
    <row r="15" spans="1:13" ht="6.75" customHeight="1" x14ac:dyDescent="0.2"/>
    <row r="16" spans="1:13" ht="19.5" customHeight="1" x14ac:dyDescent="0.2">
      <c r="A16" s="3" t="s">
        <v>27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33.75" customHeight="1" x14ac:dyDescent="0.2">
      <c r="B17" s="6" t="s">
        <v>28</v>
      </c>
      <c r="C17" s="6" t="s">
        <v>29</v>
      </c>
      <c r="D17" s="6" t="s">
        <v>30</v>
      </c>
      <c r="E17" s="6" t="s">
        <v>31</v>
      </c>
    </row>
    <row r="18" spans="1:13" ht="21" customHeight="1" x14ac:dyDescent="0.2">
      <c r="B18" s="12">
        <v>0.47</v>
      </c>
      <c r="C18" s="12">
        <v>0.3</v>
      </c>
      <c r="D18" s="10">
        <v>2027</v>
      </c>
      <c r="E18" s="10">
        <v>7</v>
      </c>
    </row>
    <row r="19" spans="1:13" ht="6.75" customHeight="1" x14ac:dyDescent="0.2"/>
    <row r="20" spans="1:13" ht="19.5" customHeight="1" x14ac:dyDescent="0.2">
      <c r="A20" s="3" t="s">
        <v>32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5" customHeight="1" x14ac:dyDescent="0.2">
      <c r="B21" s="6" t="s">
        <v>33</v>
      </c>
      <c r="C21" s="6" t="s">
        <v>34</v>
      </c>
      <c r="D21" s="6" t="s">
        <v>35</v>
      </c>
      <c r="E21" s="6" t="s">
        <v>36</v>
      </c>
      <c r="F21" s="6" t="s">
        <v>37</v>
      </c>
      <c r="G21" s="6" t="s">
        <v>38</v>
      </c>
      <c r="H21" s="6" t="s">
        <v>39</v>
      </c>
      <c r="I21" s="26" t="s">
        <v>40</v>
      </c>
      <c r="J21" s="27"/>
    </row>
    <row r="22" spans="1:13" ht="32" customHeight="1" x14ac:dyDescent="0.2">
      <c r="B22" s="14" t="s">
        <v>41</v>
      </c>
      <c r="C22" s="7">
        <v>6000</v>
      </c>
      <c r="D22" s="11">
        <v>35</v>
      </c>
      <c r="E22" s="11">
        <v>20</v>
      </c>
      <c r="F22" s="11">
        <v>50</v>
      </c>
      <c r="G22" s="7">
        <v>300000</v>
      </c>
      <c r="H22" s="12">
        <v>1</v>
      </c>
      <c r="I22" s="28">
        <v>1</v>
      </c>
      <c r="J22" s="29"/>
    </row>
    <row r="23" spans="1:13" ht="30" customHeight="1" x14ac:dyDescent="0.2">
      <c r="B23" s="14" t="s">
        <v>42</v>
      </c>
      <c r="C23" s="7">
        <v>0</v>
      </c>
      <c r="D23" s="11">
        <v>25</v>
      </c>
      <c r="E23" s="11">
        <v>30</v>
      </c>
      <c r="F23" s="11">
        <v>50</v>
      </c>
      <c r="G23" s="7">
        <v>894067.56665120996</v>
      </c>
      <c r="H23" s="12">
        <v>0.05</v>
      </c>
      <c r="I23" s="28">
        <v>1</v>
      </c>
      <c r="J23" s="29"/>
    </row>
    <row r="24" spans="1:13" ht="6.75" customHeight="1" x14ac:dyDescent="0.2"/>
    <row r="25" spans="1:13" ht="19.5" customHeight="1" x14ac:dyDescent="0.2">
      <c r="A25" s="3" t="s">
        <v>43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3.75" customHeight="1" x14ac:dyDescent="0.2">
      <c r="B26" s="6" t="s">
        <v>33</v>
      </c>
      <c r="C26" s="6" t="s">
        <v>44</v>
      </c>
      <c r="D26" s="6" t="s">
        <v>45</v>
      </c>
      <c r="E26" s="6" t="s">
        <v>46</v>
      </c>
      <c r="F26" s="6" t="s">
        <v>47</v>
      </c>
      <c r="G26" s="6" t="s">
        <v>48</v>
      </c>
      <c r="H26" s="6" t="s">
        <v>49</v>
      </c>
      <c r="I26" s="6" t="s">
        <v>50</v>
      </c>
      <c r="J26" s="6" t="s">
        <v>51</v>
      </c>
      <c r="K26" s="6" t="s">
        <v>52</v>
      </c>
      <c r="L26" s="6" t="s">
        <v>53</v>
      </c>
    </row>
    <row r="27" spans="1:13" ht="32" customHeight="1" x14ac:dyDescent="0.2">
      <c r="B27" s="14" t="s">
        <v>41</v>
      </c>
      <c r="C27" s="15">
        <f>MAX(0,D22-$I$6)</f>
        <v>10</v>
      </c>
      <c r="D27" s="8">
        <f>Calc1!$N$2</f>
        <v>300000</v>
      </c>
      <c r="E27" s="8">
        <f>Calc1!$O$2</f>
        <v>0</v>
      </c>
      <c r="F27" s="8">
        <f>Calc1!$P$2</f>
        <v>0</v>
      </c>
      <c r="G27" s="15">
        <f>D22+E22</f>
        <v>55</v>
      </c>
      <c r="H27" s="8">
        <f>Calc1!$K$2</f>
        <v>881.8</v>
      </c>
      <c r="I27" s="8">
        <f>Calc1!$L$2</f>
        <v>6881.8</v>
      </c>
      <c r="J27" s="8">
        <f>Calc1!$M$2</f>
        <v>6881.8</v>
      </c>
      <c r="K27" s="8">
        <f>Calc1!$J$2</f>
        <v>881.8</v>
      </c>
      <c r="L27" s="16">
        <f>IF(Calc1!$J$2&lt;=$H$10,0,POWER(Calc1!$J$2/$H$10,1/Calc1!$D$2)-1)</f>
        <v>6.8590448421756989E-3</v>
      </c>
    </row>
    <row r="28" spans="1:13" ht="34" customHeight="1" x14ac:dyDescent="0.2">
      <c r="B28" s="14" t="s">
        <v>42</v>
      </c>
      <c r="C28" s="15">
        <f>MAX(0,D23-$I$6)</f>
        <v>0</v>
      </c>
      <c r="D28" s="8">
        <f>Calc2!$N$2</f>
        <v>44703.378332560504</v>
      </c>
      <c r="E28" s="8">
        <f>Calc2!$O$2</f>
        <v>849364.18831864942</v>
      </c>
      <c r="F28" s="8">
        <f>Calc2!$P$2</f>
        <v>5092.3674515238745</v>
      </c>
      <c r="G28" s="15">
        <f>D23+E23</f>
        <v>55</v>
      </c>
      <c r="H28" s="8">
        <f>Calc2!$K$2</f>
        <v>6881.8</v>
      </c>
      <c r="I28" s="8">
        <f>Calc2!$L$2</f>
        <v>1789.4325484761255</v>
      </c>
      <c r="J28" s="8">
        <f>Calc2!$M$2</f>
        <v>6881.8</v>
      </c>
      <c r="K28" s="8">
        <f>Calc2!$J$2</f>
        <v>1789.4325484761255</v>
      </c>
      <c r="L28" s="16">
        <f>IF(Calc2!$J$2&lt;=$H$10,0,POWER(Calc2!$J$2/$H$10,1/Calc2!$D$2)-1)</f>
        <v>1.5480598861461914E-2</v>
      </c>
    </row>
    <row r="29" spans="1:13" ht="6.75" customHeight="1" x14ac:dyDescent="0.2"/>
    <row r="30" spans="1:13" ht="19.5" customHeight="1" x14ac:dyDescent="0.2">
      <c r="A30" s="3" t="s">
        <v>54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33.75" customHeight="1" x14ac:dyDescent="0.2">
      <c r="B31" s="6" t="s">
        <v>33</v>
      </c>
      <c r="C31" s="6" t="s">
        <v>55</v>
      </c>
      <c r="D31" s="6" t="s">
        <v>56</v>
      </c>
      <c r="E31" s="6" t="s">
        <v>57</v>
      </c>
      <c r="F31" s="6" t="s">
        <v>58</v>
      </c>
      <c r="G31" s="6" t="s">
        <v>59</v>
      </c>
      <c r="H31" s="6" t="s">
        <v>60</v>
      </c>
      <c r="I31" s="6" t="s">
        <v>61</v>
      </c>
      <c r="J31" s="6" t="s">
        <v>62</v>
      </c>
      <c r="K31" s="6" t="s">
        <v>63</v>
      </c>
    </row>
    <row r="32" spans="1:13" ht="25.5" customHeight="1" x14ac:dyDescent="0.2">
      <c r="B32" s="14" t="s">
        <v>41</v>
      </c>
      <c r="C32" s="8">
        <f>INDEX(Calc1!$K$5:$K$688,MIN(Calc1!$E$2,684))</f>
        <v>875524.48058158916</v>
      </c>
      <c r="D32" s="8">
        <f>Calc1!$W$2</f>
        <v>414318.53118035448</v>
      </c>
      <c r="E32" s="8">
        <f>IF(I22=1,Calc1!$W$2-Calc1!$N$2,0)</f>
        <v>114318.53118035448</v>
      </c>
      <c r="F32" s="8">
        <f>INDEX(Calc1!$K$5:$K$688,MIN(Calc1!$F$2,683)+1)</f>
        <v>4719855.4596881252</v>
      </c>
      <c r="G32" s="8">
        <f>INDEX(Calc1!$F$5:$F$688,MIN(Calc1!$F$2,683)+1)</f>
        <v>6320.2</v>
      </c>
      <c r="H32" s="8">
        <f>INDEX(Calc1!$G$5:$G$688,MIN(Calc1!$F$2,683)+1)</f>
        <v>7932.1904761904761</v>
      </c>
      <c r="I32" s="17">
        <f>INDEX(Calc1!$K$5:$K$688,MIN(Calc1!$G$2,683)+1)</f>
        <v>10437417.750372725</v>
      </c>
      <c r="J32" s="8">
        <f>MIN(Calc1!$L$5:$L$688)</f>
        <v>4719855.4596881252</v>
      </c>
      <c r="K32" s="18" t="str">
        <f>IF(MIN(Calc1!$K$5:$K$688)&lt;0,"YES ⚠","No")</f>
        <v>No</v>
      </c>
    </row>
    <row r="33" spans="1:13" ht="25.5" customHeight="1" x14ac:dyDescent="0.2">
      <c r="B33" s="14" t="s">
        <v>42</v>
      </c>
      <c r="C33" s="8">
        <f>INDEX(Calc2!$K$5:$K$688,MIN(Calc2!$E$2,684))</f>
        <v>302847.36943854316</v>
      </c>
      <c r="D33" s="8">
        <f>Calc2!$W$2</f>
        <v>51751.156207676788</v>
      </c>
      <c r="E33" s="8">
        <f>IF(I23=1,Calc2!$W$2-Calc2!$N$2,0)</f>
        <v>7047.7778751162841</v>
      </c>
      <c r="F33" s="8">
        <f>INDEX(Calc2!$K$5:$K$688,MIN(Calc2!$F$2,683)+1)</f>
        <v>4968765.4111093683</v>
      </c>
      <c r="G33" s="8">
        <f>INDEX(Calc2!$F$5:$F$688,MIN(Calc2!$F$2,683)+1)</f>
        <v>11412.567451523875</v>
      </c>
      <c r="H33" s="8">
        <f>INDEX(Calc2!$G$5:$G$688,MIN(Calc2!$F$2,683)+1)</f>
        <v>15646.667912471758</v>
      </c>
      <c r="I33" s="17">
        <f>INDEX(Calc2!$K$5:$K$688,MIN(Calc2!$G$2,683)+1)</f>
        <v>10121888.829501366</v>
      </c>
      <c r="J33" s="8">
        <f>MIN(Calc2!$L$5:$L$688)</f>
        <v>4968765.4111093683</v>
      </c>
      <c r="K33" s="18" t="str">
        <f>IF(MIN(Calc2!$K$5:$K$688)&lt;0,"YES ⚠","No")</f>
        <v>No</v>
      </c>
    </row>
    <row r="34" spans="1:13" ht="6.75" customHeight="1" x14ac:dyDescent="0.2"/>
    <row r="35" spans="1:13" ht="21.75" customHeight="1" x14ac:dyDescent="0.2">
      <c r="B35" s="2" t="s">
        <v>64</v>
      </c>
      <c r="C35" s="2"/>
      <c r="D35" s="2"/>
      <c r="E35" s="2"/>
      <c r="F35" s="2"/>
      <c r="G35" s="2"/>
      <c r="H35" s="2"/>
      <c r="I35" s="13">
        <f>I33-I32</f>
        <v>-315528.92087135836</v>
      </c>
    </row>
    <row r="36" spans="1:13" ht="6.75" customHeight="1" x14ac:dyDescent="0.2"/>
    <row r="37" spans="1:13" ht="19.5" customHeight="1" x14ac:dyDescent="0.2">
      <c r="A37" s="3" t="s">
        <v>65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" customHeight="1" x14ac:dyDescent="0.2"/>
    <row r="39" spans="1:13" ht="15" customHeight="1" x14ac:dyDescent="0.2"/>
    <row r="40" spans="1:13" ht="15" customHeight="1" x14ac:dyDescent="0.2"/>
    <row r="41" spans="1:13" ht="15" customHeight="1" x14ac:dyDescent="0.2"/>
    <row r="42" spans="1:13" ht="15" customHeight="1" x14ac:dyDescent="0.2"/>
    <row r="43" spans="1:13" ht="15" customHeight="1" x14ac:dyDescent="0.2"/>
    <row r="44" spans="1:13" ht="15" customHeight="1" x14ac:dyDescent="0.2"/>
    <row r="45" spans="1:13" ht="15" customHeight="1" x14ac:dyDescent="0.2"/>
    <row r="46" spans="1:13" ht="15" customHeight="1" x14ac:dyDescent="0.2"/>
    <row r="47" spans="1:13" ht="15" customHeight="1" x14ac:dyDescent="0.2"/>
    <row r="48" spans="1:13" ht="15" customHeight="1" x14ac:dyDescent="0.2"/>
    <row r="49" spans="1:13" ht="15" customHeight="1" x14ac:dyDescent="0.2"/>
    <row r="50" spans="1:13" ht="15" customHeight="1" x14ac:dyDescent="0.2"/>
    <row r="51" spans="1:13" ht="15" customHeight="1" x14ac:dyDescent="0.2"/>
    <row r="52" spans="1:13" ht="15" customHeight="1" x14ac:dyDescent="0.2"/>
    <row r="53" spans="1:13" ht="15" customHeight="1" x14ac:dyDescent="0.2"/>
    <row r="54" spans="1:13" ht="15" customHeight="1" x14ac:dyDescent="0.2"/>
    <row r="55" spans="1:13" ht="15" customHeight="1" x14ac:dyDescent="0.2"/>
    <row r="56" spans="1:13" ht="15" customHeight="1" x14ac:dyDescent="0.2"/>
    <row r="57" spans="1:13" ht="6.75" customHeight="1" x14ac:dyDescent="0.2"/>
    <row r="58" spans="1:13" ht="19.5" customHeight="1" x14ac:dyDescent="0.2">
      <c r="A58" s="3" t="s">
        <v>66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30" customHeight="1" x14ac:dyDescent="0.2">
      <c r="B59" s="1" t="s">
        <v>67</v>
      </c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3" ht="30" customHeight="1" x14ac:dyDescent="0.2">
      <c r="B60" s="1" t="s">
        <v>108</v>
      </c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3" ht="30" customHeight="1" x14ac:dyDescent="0.2">
      <c r="B61" s="1" t="s">
        <v>109</v>
      </c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3" ht="30" customHeight="1" x14ac:dyDescent="0.2">
      <c r="B62" s="1" t="s">
        <v>111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3" ht="30" customHeight="1" x14ac:dyDescent="0.2">
      <c r="B63" s="1" t="s">
        <v>110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3" ht="30" customHeight="1" x14ac:dyDescent="0.2">
      <c r="B64" s="1" t="s">
        <v>112</v>
      </c>
      <c r="C64" s="1"/>
      <c r="D64" s="1"/>
      <c r="E64" s="1"/>
      <c r="F64" s="1"/>
      <c r="G64" s="1"/>
      <c r="H64" s="1"/>
      <c r="I64" s="1"/>
      <c r="J64" s="1"/>
      <c r="K64" s="1"/>
      <c r="L64" s="1"/>
    </row>
  </sheetData>
  <mergeCells count="21">
    <mergeCell ref="B62:L62"/>
    <mergeCell ref="B63:L63"/>
    <mergeCell ref="B64:L64"/>
    <mergeCell ref="I21:J21"/>
    <mergeCell ref="I22:J22"/>
    <mergeCell ref="I23:J23"/>
    <mergeCell ref="A37:M37"/>
    <mergeCell ref="A58:M58"/>
    <mergeCell ref="B59:L59"/>
    <mergeCell ref="B60:L60"/>
    <mergeCell ref="B61:L61"/>
    <mergeCell ref="A16:M16"/>
    <mergeCell ref="A20:M20"/>
    <mergeCell ref="A25:M25"/>
    <mergeCell ref="A30:M30"/>
    <mergeCell ref="B35:H35"/>
    <mergeCell ref="A1:M1"/>
    <mergeCell ref="A2:M2"/>
    <mergeCell ref="A4:M4"/>
    <mergeCell ref="A8:M8"/>
    <mergeCell ref="A12:M12"/>
  </mergeCells>
  <dataValidations count="6">
    <dataValidation type="list" sqref="I6" xr:uid="{00000000-0002-0000-0000-000000000000}">
      <formula1>"18,19,20,21,22,23,24,25,26,27,28,29,30,31,32,33,34,35,36,37,38,39,40,41,42,43,44,45,46,47,48,49,50"</formula1>
      <formula2>0</formula2>
    </dataValidation>
    <dataValidation type="list" sqref="J6" xr:uid="{00000000-0002-0000-0000-000001000000}">
      <formula1>"40,41,42,43,44,45,46,47,48,49,50,51,52,53,54,55,56,57,58,59,60,61,62,63,64,65,66,67,68,69,70,71,72,73,74"</formula1>
      <formula2>0</formula2>
    </dataValidation>
    <dataValidation type="list" sqref="D22:D23" xr:uid="{00000000-0002-0000-0000-000002000000}">
      <formula1>"18,19,20,21,22,23,24,25,26,27,28,29,30,31,32,33,34,35,36,37,38,39,40,41,42,43,44,45,46,47,48,49,50,51,52,53,54,55,56,57,58,59,60"</formula1>
      <formula2>0</formula2>
    </dataValidation>
    <dataValidation type="list" sqref="E22:E23" xr:uid="{00000000-0002-0000-0000-000003000000}">
      <formula1>"1,2,3,4,5,6,7,8,9,10,11,12,13,14,15,16,17,18,19,20,21,22,23,24,25,26,27,28,29,30,31,32,33,34,35,36,37,38,39,40"</formula1>
      <formula2>0</formula2>
    </dataValidation>
    <dataValidation type="list" sqref="F22:F23" xr:uid="{00000000-0002-0000-0000-000004000000}">
      <formula1>"30,31,32,33,34,35,36,37,38,39,40,41,42,43,44,45,46,47,48,49,50,51,52,53,54,55,56,57,58,59,60,61,62,63,64,65,66,67,68,69,70"</formula1>
      <formula2>0</formula2>
    </dataValidation>
    <dataValidation type="list" sqref="I22:I23" xr:uid="{00000000-0002-0000-0000-000005000000}">
      <formula1>"1,0"</formula1>
      <formula2>0</formula2>
    </dataValidation>
  </dataValidations>
  <printOptions horizontalCentered="1"/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88"/>
  <sheetViews>
    <sheetView zoomScaleNormal="100" workbookViewId="0">
      <pane ySplit="4" topLeftCell="A647" activePane="bottomLeft" state="frozen"/>
      <selection pane="bottomLeft" activeCell="B21" sqref="B21"/>
    </sheetView>
  </sheetViews>
  <sheetFormatPr baseColWidth="10" defaultColWidth="8.6640625" defaultRowHeight="15" x14ac:dyDescent="0.2"/>
  <cols>
    <col min="1" max="2" width="8" customWidth="1"/>
    <col min="3" max="3" width="12" customWidth="1"/>
    <col min="4" max="4" width="11" customWidth="1"/>
    <col min="5" max="6" width="12" customWidth="1"/>
    <col min="7" max="7" width="13" customWidth="1"/>
    <col min="8" max="9" width="12" customWidth="1"/>
    <col min="10" max="10" width="10" customWidth="1"/>
    <col min="11" max="13" width="14" customWidth="1"/>
    <col min="14" max="14" width="12" customWidth="1"/>
  </cols>
  <sheetData>
    <row r="1" spans="1:24" x14ac:dyDescent="0.2">
      <c r="A1" s="19" t="s">
        <v>68</v>
      </c>
      <c r="B1" s="19" t="s">
        <v>69</v>
      </c>
      <c r="C1" s="19" t="s">
        <v>70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75</v>
      </c>
      <c r="I1" s="19" t="s">
        <v>76</v>
      </c>
      <c r="J1" s="19" t="s">
        <v>77</v>
      </c>
      <c r="K1" s="19" t="s">
        <v>78</v>
      </c>
      <c r="L1" s="19" t="s">
        <v>79</v>
      </c>
      <c r="M1" s="19" t="s">
        <v>80</v>
      </c>
      <c r="N1" s="19" t="s">
        <v>81</v>
      </c>
      <c r="O1" s="19" t="s">
        <v>82</v>
      </c>
      <c r="P1" s="19" t="s">
        <v>83</v>
      </c>
      <c r="Q1" s="19" t="s">
        <v>84</v>
      </c>
      <c r="R1" s="19" t="s">
        <v>85</v>
      </c>
      <c r="S1" s="19" t="s">
        <v>86</v>
      </c>
      <c r="T1" s="19" t="s">
        <v>87</v>
      </c>
      <c r="U1" s="19" t="s">
        <v>88</v>
      </c>
      <c r="V1" s="19" t="s">
        <v>89</v>
      </c>
      <c r="W1" s="19" t="s">
        <v>90</v>
      </c>
      <c r="X1" s="19" t="s">
        <v>91</v>
      </c>
    </row>
    <row r="2" spans="1:24" x14ac:dyDescent="0.2">
      <c r="A2" s="20">
        <f>(1+Dashboard!$B$10)^(1/12)-1</f>
        <v>7.9741404289037643E-3</v>
      </c>
      <c r="B2" s="20">
        <f>(1+Dashboard!$C$10)^(1/12)-1</f>
        <v>7.9741404289037643E-3</v>
      </c>
      <c r="C2" s="20">
        <f>(1+Dashboard!$E$10)^(1/12)-1</f>
        <v>2.0598362698427408E-3</v>
      </c>
      <c r="D2" s="20">
        <f>MAX(1,ROUND((Dashboard!$I$6-Dashboard!$F$6)*12,0))</f>
        <v>83</v>
      </c>
      <c r="E2" s="20">
        <f>MAX(1,ROUND((Dashboard!$D$22-Dashboard!$F$6)*12,0))</f>
        <v>203</v>
      </c>
      <c r="F2" s="20">
        <f>MAX(1,ROUND((Dashboard!$F$22-Dashboard!$F$6)*12,0))</f>
        <v>383</v>
      </c>
      <c r="G2" s="20">
        <f>ROUND((Dashboard!$J$6-Dashboard!$F$6)*12,0)</f>
        <v>503</v>
      </c>
      <c r="H2" s="20">
        <f>Dashboard!$E$22*12</f>
        <v>240</v>
      </c>
      <c r="I2" s="20">
        <f>Dashboard!$E$6</f>
        <v>13202</v>
      </c>
      <c r="J2" s="20">
        <f>$I$2-IF(Dashboard!$D$22&lt;=Dashboard!$I$6,$P$2,Dashboard!$C$22)-Dashboard!$I$10-Dashboard!$J$10-Dashboard!$F$10*$I$2</f>
        <v>881.8</v>
      </c>
      <c r="K2" s="20">
        <f>$I$2-Dashboard!$C$22-Dashboard!$I$10-Dashboard!$J$10-Dashboard!$F$10*$I$2</f>
        <v>881.8</v>
      </c>
      <c r="L2" s="20">
        <f>$I$2-$P$2-Dashboard!$I$10-Dashboard!$J$10-Dashboard!$F$10*$I$2</f>
        <v>6881.8</v>
      </c>
      <c r="M2" s="20">
        <f>$I$2-Dashboard!$I$10-Dashboard!$J$10-Dashboard!$F$10*$I$2</f>
        <v>6881.8</v>
      </c>
      <c r="N2" s="20">
        <f>Dashboard!$G$22*Dashboard!$H$22</f>
        <v>300000</v>
      </c>
      <c r="O2" s="20">
        <f>Dashboard!$G$22-$N$2</f>
        <v>0</v>
      </c>
      <c r="P2" s="20">
        <f>IF(OR($O$2&lt;=0,$H$2&lt;=0),0,-PMT(Dashboard!$D$10/12,$H$2,$O$2))</f>
        <v>0</v>
      </c>
      <c r="Q2" s="20">
        <f>Dashboard!$G$6*12+Dashboard!$H$6-1</f>
        <v>24306</v>
      </c>
      <c r="R2" s="20">
        <f>Dashboard!$D$18*12+Dashboard!$E$18-1</f>
        <v>24330</v>
      </c>
      <c r="S2" s="20">
        <f>$Q$2+$E$2</f>
        <v>24509</v>
      </c>
      <c r="T2" s="20">
        <f>SUM($M$5:$M$688)</f>
        <v>875524.48058158788</v>
      </c>
      <c r="U2" s="20">
        <f>SUM($N$5:$N$688)</f>
        <v>241574.21186879263</v>
      </c>
      <c r="V2" s="20">
        <f>IF($T$2-$U$2&gt;0,$T$2/($T$2-$U$2),1)</f>
        <v>1.3810617706011816</v>
      </c>
      <c r="W2" s="20">
        <f>$N$2*$V$2*Dashboard!$I$22</f>
        <v>414318.53118035448</v>
      </c>
      <c r="X2" s="20">
        <f>Dashboard!$I$10+Dashboard!$J$10+Dashboard!$F$10*$I$2</f>
        <v>6320.2</v>
      </c>
    </row>
    <row r="4" spans="1:24" x14ac:dyDescent="0.2">
      <c r="A4" s="21" t="s">
        <v>92</v>
      </c>
      <c r="B4" s="21" t="s">
        <v>93</v>
      </c>
      <c r="C4" s="21" t="s">
        <v>94</v>
      </c>
      <c r="D4" s="21" t="s">
        <v>95</v>
      </c>
      <c r="E4" s="21" t="s">
        <v>96</v>
      </c>
      <c r="F4" s="21" t="s">
        <v>97</v>
      </c>
      <c r="G4" s="21" t="s">
        <v>98</v>
      </c>
      <c r="H4" s="21" t="s">
        <v>99</v>
      </c>
      <c r="I4" s="21" t="s">
        <v>100</v>
      </c>
      <c r="J4" s="21" t="s">
        <v>101</v>
      </c>
      <c r="K4" s="21" t="s">
        <v>102</v>
      </c>
      <c r="L4" s="21" t="s">
        <v>103</v>
      </c>
      <c r="M4" s="21" t="s">
        <v>104</v>
      </c>
      <c r="N4" s="21" t="s">
        <v>105</v>
      </c>
    </row>
    <row r="5" spans="1:24" x14ac:dyDescent="0.2">
      <c r="A5" s="22">
        <v>0</v>
      </c>
      <c r="B5" s="23">
        <f>Dashboard!$F$6</f>
        <v>18.054794520547944</v>
      </c>
      <c r="C5" t="str">
        <f t="shared" ref="C5:C68" si="0">INT(B5)&amp;" y "&amp;ROUND((B5-INT(B5))*12,2)&amp;" m"</f>
        <v>18 y 0.66 m</v>
      </c>
      <c r="D5" s="24">
        <f>IF(A5&gt;=$E$2,IF(A5&lt;$E$2+$H$2,$P$2,0),IF(B5&lt;Dashboard!$I$6,0,IF(A5&gt;=$F$2,Dashboard!$C$22*POWER(1+$C$2,A5-$F$2),Dashboard!$C$22)))</f>
        <v>0</v>
      </c>
      <c r="E5" s="24">
        <f>IF(A5&gt;=$F$2,0,IF(A5=0,Dashboard!$G$10,IF(B5&lt;Dashboard!$I$6,IF($J$2&lt;=Dashboard!$H$10,Dashboard!$H$10,MAX(Dashboard!$H$10,MIN($J$2,Dashboard!$H$10*POWER($J$2/Dashboard!$H$10,A5/$D$2)))),$I$2-D5-Dashboard!$I$10-Dashboard!$J$10-Dashboard!$F$10*$I$2)))</f>
        <v>100000</v>
      </c>
      <c r="F5" s="24">
        <f t="shared" ref="F5:F68" si="1">IF(A5&gt;=$F$2,$X$2*POWER(1+$C$2,A5-$F$2)+D5,0)</f>
        <v>0</v>
      </c>
      <c r="G5" s="24">
        <f t="shared" ref="G5:G68" si="2">IF(F5&lt;=0,0,IF(F5*12&lt;=18200,F5,IF(F5*12&lt;=40712,(18200+(F5*12-18200)/0.84)/12,IF(F5*12&lt;=103712,(45000+(F5*12-40712)/0.7)/12,IF(F5*12&lt;=138362,(135000+(F5*12-103712)/0.63)/12,(190000+(F5*12-138362)/0.55)/12)))))</f>
        <v>0</v>
      </c>
      <c r="H5" s="24">
        <f t="shared" ref="H5:H68" si="3">IF(A5=$E$2,$W$2,0)</f>
        <v>0</v>
      </c>
      <c r="I5" s="24">
        <f t="shared" ref="I5:I68" si="4">E5-G5-H5</f>
        <v>100000</v>
      </c>
      <c r="J5" s="25">
        <f t="shared" ref="J5:J68" si="5">IF(A5&gt;=$F$2,$B$2,$A$2)</f>
        <v>7.9741404289037643E-3</v>
      </c>
      <c r="K5" s="24">
        <f>I5*(1+J5)</f>
        <v>100797.41404289038</v>
      </c>
      <c r="L5" s="24" t="str">
        <f t="shared" ref="L5:L68" si="6">IF(A5&gt;=$F$2,K5,"")</f>
        <v/>
      </c>
      <c r="M5" s="24">
        <f t="shared" ref="M5:M68" si="7">IF(AND(A5&lt;$E$2,E5&gt;0),E5*POWER(1+$A$2,$E$2-A5),0)</f>
        <v>501448.40847228823</v>
      </c>
      <c r="N5" s="24">
        <f>IF(M5&lt;=0,0,IF($E$2-A5&lt;12,(M5-E5)*Dashboard!$B$18,IF($Q$2+A5&gt;=$R$2,MAX(0,M5-E5*POWER(1+$C$2,$E$2-A5))*MAX(Dashboard!$C$18,Dashboard!$B$18),IF($S$2&lt;$R$2,(M5-E5)*0.5*Dashboard!$B$18,(E5*POWER(1+$A$2,$R$2-($Q$2+A5))-E5)*0.5*Dashboard!$B$18+MAX(0,M5-E5*POWER(1+$A$2,$R$2-($Q$2+A5))*POWER(1+$C$2,$S$2-$R$2))*MAX(Dashboard!$C$18,Dashboard!$B$18)))))</f>
        <v>158420.34433511511</v>
      </c>
    </row>
    <row r="6" spans="1:24" x14ac:dyDescent="0.2">
      <c r="A6" s="22">
        <f t="shared" ref="A6:A69" si="8">A5+1</f>
        <v>1</v>
      </c>
      <c r="B6" s="23">
        <f t="shared" ref="B6:B69" si="9">B5+1/12</f>
        <v>18.138127853881276</v>
      </c>
      <c r="C6" t="str">
        <f t="shared" si="0"/>
        <v>18 y 1.66 m</v>
      </c>
      <c r="D6" s="24">
        <f>IF(A6&gt;=$E$2,IF(A6&lt;$E$2+$H$2,$P$2,0),IF(B6&lt;Dashboard!$I$6,0,IF(A6&gt;=$F$2,Dashboard!$C$22*POWER(1+$C$2,A6-$F$2),Dashboard!$C$22)))</f>
        <v>0</v>
      </c>
      <c r="E6" s="24">
        <f>IF(A6&gt;=$F$2,0,IF(A6=0,Dashboard!$G$10,IF(B6&lt;Dashboard!$I$6,IF($J$2&lt;=Dashboard!$H$10,Dashboard!$H$10,MAX(Dashboard!$H$10,MIN($J$2,Dashboard!$H$10*POWER($J$2/Dashboard!$H$10,A6/$D$2)))),$I$2-D6-Dashboard!$I$10-Dashboard!$J$10-Dashboard!$F$10*$I$2)))</f>
        <v>503.42952242108782</v>
      </c>
      <c r="F6" s="24">
        <f t="shared" si="1"/>
        <v>0</v>
      </c>
      <c r="G6" s="24">
        <f t="shared" si="2"/>
        <v>0</v>
      </c>
      <c r="H6" s="24">
        <f t="shared" si="3"/>
        <v>0</v>
      </c>
      <c r="I6" s="24">
        <f t="shared" si="4"/>
        <v>503.42952242108782</v>
      </c>
      <c r="J6" s="25">
        <f t="shared" si="5"/>
        <v>7.9741404289037643E-3</v>
      </c>
      <c r="K6" s="24">
        <f t="shared" ref="K6:K69" si="10">(K5+I6)*(1+J6)</f>
        <v>102108.63071746768</v>
      </c>
      <c r="L6" s="24" t="str">
        <f t="shared" si="6"/>
        <v/>
      </c>
      <c r="M6" s="24">
        <f t="shared" si="7"/>
        <v>2504.4683456720531</v>
      </c>
      <c r="N6" s="24">
        <f>IF(M6&lt;=0,0,IF($E$2-A6&lt;12,(M6-E6)*Dashboard!$B$18,IF($Q$2+A6&gt;=$R$2,MAX(0,M6-E6*POWER(1+$C$2,$E$2-A6))*MAX(Dashboard!$C$18,Dashboard!$B$18),IF($S$2&lt;$R$2,(M6-E6)*0.5*Dashboard!$B$18,(E6*POWER(1+$A$2,$R$2-($Q$2+A6))-E6)*0.5*Dashboard!$B$18+MAX(0,M6-E6*POWER(1+$A$2,$R$2-($Q$2+A6))*POWER(1+$C$2,$S$2-$R$2))*MAX(Dashboard!$C$18,Dashboard!$B$18)))))</f>
        <v>790.28951516931954</v>
      </c>
    </row>
    <row r="7" spans="1:24" x14ac:dyDescent="0.2">
      <c r="A7" s="22">
        <f t="shared" si="8"/>
        <v>2</v>
      </c>
      <c r="B7" s="23">
        <f t="shared" si="9"/>
        <v>18.221461187214608</v>
      </c>
      <c r="C7" t="str">
        <f t="shared" si="0"/>
        <v>18 y 2.66 m</v>
      </c>
      <c r="D7" s="24">
        <f>IF(A7&gt;=$E$2,IF(A7&lt;$E$2+$H$2,$P$2,0),IF(B7&lt;Dashboard!$I$6,0,IF(A7&gt;=$F$2,Dashboard!$C$22*POWER(1+$C$2,A7-$F$2),Dashboard!$C$22)))</f>
        <v>0</v>
      </c>
      <c r="E7" s="24">
        <f>IF(A7&gt;=$F$2,0,IF(A7=0,Dashboard!$G$10,IF(B7&lt;Dashboard!$I$6,IF($J$2&lt;=Dashboard!$H$10,Dashboard!$H$10,MAX(Dashboard!$H$10,MIN($J$2,Dashboard!$H$10*POWER($J$2/Dashboard!$H$10,A7/$D$2)))),$I$2-D7-Dashboard!$I$10-Dashboard!$J$10-Dashboard!$F$10*$I$2)))</f>
        <v>506.88256809024909</v>
      </c>
      <c r="F7" s="24">
        <f t="shared" si="1"/>
        <v>0</v>
      </c>
      <c r="G7" s="24">
        <f t="shared" si="2"/>
        <v>0</v>
      </c>
      <c r="H7" s="24">
        <f t="shared" si="3"/>
        <v>0</v>
      </c>
      <c r="I7" s="24">
        <f t="shared" si="4"/>
        <v>506.88256809024909</v>
      </c>
      <c r="J7" s="25">
        <f t="shared" si="5"/>
        <v>7.9741404289037643E-3</v>
      </c>
      <c r="K7" s="24">
        <f t="shared" si="10"/>
        <v>103433.783798681</v>
      </c>
      <c r="L7" s="24" t="str">
        <f t="shared" si="6"/>
        <v/>
      </c>
      <c r="M7" s="24">
        <f t="shared" si="7"/>
        <v>2501.6977174512035</v>
      </c>
      <c r="N7" s="24">
        <f>IF(M7&lt;=0,0,IF($E$2-A7&lt;12,(M7-E7)*Dashboard!$B$18,IF($Q$2+A7&gt;=$R$2,MAX(0,M7-E7*POWER(1+$C$2,$E$2-A7))*MAX(Dashboard!$C$18,Dashboard!$B$18),IF($S$2&lt;$R$2,(M7-E7)*0.5*Dashboard!$B$18,(E7*POWER(1+$A$2,$R$2-($Q$2+A7))-E7)*0.5*Dashboard!$B$18+MAX(0,M7-E7*POWER(1+$A$2,$R$2-($Q$2+A7))*POWER(1+$C$2,$S$2-$R$2))*MAX(Dashboard!$C$18,Dashboard!$B$18)))))</f>
        <v>788.47289390871015</v>
      </c>
    </row>
    <row r="8" spans="1:24" x14ac:dyDescent="0.2">
      <c r="A8" s="22">
        <f t="shared" si="8"/>
        <v>3</v>
      </c>
      <c r="B8" s="23">
        <f t="shared" si="9"/>
        <v>18.30479452054794</v>
      </c>
      <c r="C8" t="str">
        <f t="shared" si="0"/>
        <v>18 y 3.66 m</v>
      </c>
      <c r="D8" s="24">
        <f>IF(A8&gt;=$E$2,IF(A8&lt;$E$2+$H$2,$P$2,0),IF(B8&lt;Dashboard!$I$6,0,IF(A8&gt;=$F$2,Dashboard!$C$22*POWER(1+$C$2,A8-$F$2),Dashboard!$C$22)))</f>
        <v>0</v>
      </c>
      <c r="E8" s="24">
        <f>IF(A8&gt;=$F$2,0,IF(A8=0,Dashboard!$G$10,IF(B8&lt;Dashboard!$I$6,IF($J$2&lt;=Dashboard!$H$10,Dashboard!$H$10,MAX(Dashboard!$H$10,MIN($J$2,Dashboard!$H$10*POWER($J$2/Dashboard!$H$10,A8/$D$2)))),$I$2-D8-Dashboard!$I$10-Dashboard!$J$10-Dashboard!$F$10*$I$2)))</f>
        <v>510.35929835449724</v>
      </c>
      <c r="F8" s="24">
        <f t="shared" si="1"/>
        <v>0</v>
      </c>
      <c r="G8" s="24">
        <f t="shared" si="2"/>
        <v>0</v>
      </c>
      <c r="H8" s="24">
        <f t="shared" si="3"/>
        <v>0</v>
      </c>
      <c r="I8" s="24">
        <f t="shared" si="4"/>
        <v>510.35929835449724</v>
      </c>
      <c r="J8" s="25">
        <f t="shared" si="5"/>
        <v>7.9741404289037643E-3</v>
      </c>
      <c r="K8" s="24">
        <f t="shared" si="10"/>
        <v>104773.00829085332</v>
      </c>
      <c r="L8" s="24" t="str">
        <f t="shared" si="6"/>
        <v/>
      </c>
      <c r="M8" s="24">
        <f t="shared" si="7"/>
        <v>2498.9301543043243</v>
      </c>
      <c r="N8" s="24">
        <f>IF(M8&lt;=0,0,IF($E$2-A8&lt;12,(M8-E8)*Dashboard!$B$18,IF($Q$2+A8&gt;=$R$2,MAX(0,M8-E8*POWER(1+$C$2,$E$2-A8))*MAX(Dashboard!$C$18,Dashboard!$B$18),IF($S$2&lt;$R$2,(M8-E8)*0.5*Dashboard!$B$18,(E8*POWER(1+$A$2,$R$2-($Q$2+A8))-E8)*0.5*Dashboard!$B$18+MAX(0,M8-E8*POWER(1+$A$2,$R$2-($Q$2+A8))*POWER(1+$C$2,$S$2-$R$2))*MAX(Dashboard!$C$18,Dashboard!$B$18)))))</f>
        <v>786.65181874568418</v>
      </c>
    </row>
    <row r="9" spans="1:24" x14ac:dyDescent="0.2">
      <c r="A9" s="22">
        <f t="shared" si="8"/>
        <v>4</v>
      </c>
      <c r="B9" s="23">
        <f t="shared" si="9"/>
        <v>18.388127853881272</v>
      </c>
      <c r="C9" t="str">
        <f t="shared" si="0"/>
        <v>18 y 4.66 m</v>
      </c>
      <c r="D9" s="24">
        <f>IF(A9&gt;=$E$2,IF(A9&lt;$E$2+$H$2,$P$2,0),IF(B9&lt;Dashboard!$I$6,0,IF(A9&gt;=$F$2,Dashboard!$C$22*POWER(1+$C$2,A9-$F$2),Dashboard!$C$22)))</f>
        <v>0</v>
      </c>
      <c r="E9" s="24">
        <f>IF(A9&gt;=$F$2,0,IF(A9=0,Dashboard!$G$10,IF(B9&lt;Dashboard!$I$6,IF($J$2&lt;=Dashboard!$H$10,Dashboard!$H$10,MAX(Dashboard!$H$10,MIN($J$2,Dashboard!$H$10*POWER($J$2/Dashboard!$H$10,A9/$D$2)))),$I$2-D9-Dashboard!$I$10-Dashboard!$J$10-Dashboard!$F$10*$I$2)))</f>
        <v>513.85987566753204</v>
      </c>
      <c r="F9" s="24">
        <f t="shared" si="1"/>
        <v>0</v>
      </c>
      <c r="G9" s="24">
        <f t="shared" si="2"/>
        <v>0</v>
      </c>
      <c r="H9" s="24">
        <f t="shared" si="3"/>
        <v>0</v>
      </c>
      <c r="I9" s="24">
        <f t="shared" si="4"/>
        <v>513.85987566753204</v>
      </c>
      <c r="J9" s="25">
        <f t="shared" si="5"/>
        <v>7.9741404289037643E-3</v>
      </c>
      <c r="K9" s="24">
        <f t="shared" si="10"/>
        <v>106126.44043860017</v>
      </c>
      <c r="L9" s="24" t="str">
        <f t="shared" si="6"/>
        <v/>
      </c>
      <c r="M9" s="24">
        <f t="shared" si="7"/>
        <v>2496.1656528406047</v>
      </c>
      <c r="N9" s="24">
        <f>IF(M9&lt;=0,0,IF($E$2-A9&lt;12,(M9-E9)*Dashboard!$B$18,IF($Q$2+A9&gt;=$R$2,MAX(0,M9-E9*POWER(1+$C$2,$E$2-A9))*MAX(Dashboard!$C$18,Dashboard!$B$18),IF($S$2&lt;$R$2,(M9-E9)*0.5*Dashboard!$B$18,(E9*POWER(1+$A$2,$R$2-($Q$2+A9))-E9)*0.5*Dashboard!$B$18+MAX(0,M9-E9*POWER(1+$A$2,$R$2-($Q$2+A9))*POWER(1+$C$2,$S$2-$R$2))*MAX(Dashboard!$C$18,Dashboard!$B$18)))))</f>
        <v>784.82625027347126</v>
      </c>
    </row>
    <row r="10" spans="1:24" x14ac:dyDescent="0.2">
      <c r="A10" s="22">
        <f t="shared" si="8"/>
        <v>5</v>
      </c>
      <c r="B10" s="23">
        <f t="shared" si="9"/>
        <v>18.471461187214604</v>
      </c>
      <c r="C10" t="str">
        <f t="shared" si="0"/>
        <v>18 y 5.66 m</v>
      </c>
      <c r="D10" s="24">
        <f>IF(A10&gt;=$E$2,IF(A10&lt;$E$2+$H$2,$P$2,0),IF(B10&lt;Dashboard!$I$6,0,IF(A10&gt;=$F$2,Dashboard!$C$22*POWER(1+$C$2,A10-$F$2),Dashboard!$C$22)))</f>
        <v>0</v>
      </c>
      <c r="E10" s="24">
        <f>IF(A10&gt;=$F$2,0,IF(A10=0,Dashboard!$G$10,IF(B10&lt;Dashboard!$I$6,IF($J$2&lt;=Dashboard!$H$10,Dashboard!$H$10,MAX(Dashboard!$H$10,MIN($J$2,Dashboard!$H$10*POWER($J$2/Dashboard!$H$10,A10/$D$2)))),$I$2-D10-Dashboard!$I$10-Dashboard!$J$10-Dashboard!$F$10*$I$2)))</f>
        <v>517.38446359733041</v>
      </c>
      <c r="F10" s="24">
        <f t="shared" si="1"/>
        <v>0</v>
      </c>
      <c r="G10" s="24">
        <f t="shared" si="2"/>
        <v>0</v>
      </c>
      <c r="H10" s="24">
        <f t="shared" si="3"/>
        <v>0</v>
      </c>
      <c r="I10" s="24">
        <f t="shared" si="4"/>
        <v>517.38446359733041</v>
      </c>
      <c r="J10" s="25">
        <f t="shared" si="5"/>
        <v>7.9741404289037643E-3</v>
      </c>
      <c r="K10" s="24">
        <f t="shared" si="10"/>
        <v>107494.21773784305</v>
      </c>
      <c r="L10" s="24" t="str">
        <f t="shared" si="6"/>
        <v/>
      </c>
      <c r="M10" s="24">
        <f t="shared" si="7"/>
        <v>2493.4042096729854</v>
      </c>
      <c r="N10" s="24">
        <f>IF(M10&lt;=0,0,IF($E$2-A10&lt;12,(M10-E10)*Dashboard!$B$18,IF($Q$2+A10&gt;=$R$2,MAX(0,M10-E10*POWER(1+$C$2,$E$2-A10))*MAX(Dashboard!$C$18,Dashboard!$B$18),IF($S$2&lt;$R$2,(M10-E10)*0.5*Dashboard!$B$18,(E10*POWER(1+$A$2,$R$2-($Q$2+A10))-E10)*0.5*Dashboard!$B$18+MAX(0,M10-E10*POWER(1+$A$2,$R$2-($Q$2+A10))*POWER(1+$C$2,$S$2-$R$2))*MAX(Dashboard!$C$18,Dashboard!$B$18)))))</f>
        <v>782.99614882480637</v>
      </c>
    </row>
    <row r="11" spans="1:24" x14ac:dyDescent="0.2">
      <c r="A11" s="22">
        <f t="shared" si="8"/>
        <v>6</v>
      </c>
      <c r="B11" s="23">
        <f t="shared" si="9"/>
        <v>18.554794520547937</v>
      </c>
      <c r="C11" t="str">
        <f t="shared" si="0"/>
        <v>18 y 6.66 m</v>
      </c>
      <c r="D11" s="24">
        <f>IF(A11&gt;=$E$2,IF(A11&lt;$E$2+$H$2,$P$2,0),IF(B11&lt;Dashboard!$I$6,0,IF(A11&gt;=$F$2,Dashboard!$C$22*POWER(1+$C$2,A11-$F$2),Dashboard!$C$22)))</f>
        <v>0</v>
      </c>
      <c r="E11" s="24">
        <f>IF(A11&gt;=$F$2,0,IF(A11=0,Dashboard!$G$10,IF(B11&lt;Dashboard!$I$6,IF($J$2&lt;=Dashboard!$H$10,Dashboard!$H$10,MAX(Dashboard!$H$10,MIN($J$2,Dashboard!$H$10*POWER($J$2/Dashboard!$H$10,A11/$D$2)))),$I$2-D11-Dashboard!$I$10-Dashboard!$J$10-Dashboard!$F$10*$I$2)))</f>
        <v>520.93322683378938</v>
      </c>
      <c r="F11" s="24">
        <f t="shared" si="1"/>
        <v>0</v>
      </c>
      <c r="G11" s="24">
        <f t="shared" si="2"/>
        <v>0</v>
      </c>
      <c r="H11" s="24">
        <f t="shared" si="3"/>
        <v>0</v>
      </c>
      <c r="I11" s="24">
        <f t="shared" si="4"/>
        <v>520.93322683378938</v>
      </c>
      <c r="J11" s="25">
        <f t="shared" si="5"/>
        <v>7.9741404289037643E-3</v>
      </c>
      <c r="K11" s="24">
        <f t="shared" si="10"/>
        <v>108876.47894691842</v>
      </c>
      <c r="L11" s="24" t="str">
        <f t="shared" si="6"/>
        <v/>
      </c>
      <c r="M11" s="24">
        <f t="shared" si="7"/>
        <v>2490.6458214181512</v>
      </c>
      <c r="N11" s="24">
        <f>IF(M11&lt;=0,0,IF($E$2-A11&lt;12,(M11-E11)*Dashboard!$B$18,IF($Q$2+A11&gt;=$R$2,MAX(0,M11-E11*POWER(1+$C$2,$E$2-A11))*MAX(Dashboard!$C$18,Dashboard!$B$18),IF($S$2&lt;$R$2,(M11-E11)*0.5*Dashboard!$B$18,(E11*POWER(1+$A$2,$R$2-($Q$2+A11))-E11)*0.5*Dashboard!$B$18+MAX(0,M11-E11*POWER(1+$A$2,$R$2-($Q$2+A11))*POWER(1+$C$2,$S$2-$R$2))*MAX(Dashboard!$C$18,Dashboard!$B$18)))))</f>
        <v>781.16147447013145</v>
      </c>
    </row>
    <row r="12" spans="1:24" x14ac:dyDescent="0.2">
      <c r="A12" s="22">
        <f t="shared" si="8"/>
        <v>7</v>
      </c>
      <c r="B12" s="23">
        <f t="shared" si="9"/>
        <v>18.638127853881269</v>
      </c>
      <c r="C12" t="str">
        <f t="shared" si="0"/>
        <v>18 y 7.66 m</v>
      </c>
      <c r="D12" s="24">
        <f>IF(A12&gt;=$E$2,IF(A12&lt;$E$2+$H$2,$P$2,0),IF(B12&lt;Dashboard!$I$6,0,IF(A12&gt;=$F$2,Dashboard!$C$22*POWER(1+$C$2,A12-$F$2),Dashboard!$C$22)))</f>
        <v>0</v>
      </c>
      <c r="E12" s="24">
        <f>IF(A12&gt;=$F$2,0,IF(A12=0,Dashboard!$G$10,IF(B12&lt;Dashboard!$I$6,IF($J$2&lt;=Dashboard!$H$10,Dashboard!$H$10,MAX(Dashboard!$H$10,MIN($J$2,Dashboard!$H$10*POWER($J$2/Dashboard!$H$10,A12/$D$2)))),$I$2-D12-Dashboard!$I$10-Dashboard!$J$10-Dashboard!$F$10*$I$2)))</f>
        <v>524.50633119642168</v>
      </c>
      <c r="F12" s="24">
        <f t="shared" si="1"/>
        <v>0</v>
      </c>
      <c r="G12" s="24">
        <f t="shared" si="2"/>
        <v>0</v>
      </c>
      <c r="H12" s="24">
        <f t="shared" si="3"/>
        <v>0</v>
      </c>
      <c r="I12" s="24">
        <f t="shared" si="4"/>
        <v>524.50633119642168</v>
      </c>
      <c r="J12" s="25">
        <f t="shared" si="5"/>
        <v>7.9741404289037643E-3</v>
      </c>
      <c r="K12" s="24">
        <f t="shared" si="10"/>
        <v>110273.36409778296</v>
      </c>
      <c r="L12" s="24" t="str">
        <f t="shared" si="6"/>
        <v/>
      </c>
      <c r="M12" s="24">
        <f t="shared" si="7"/>
        <v>2487.890484696532</v>
      </c>
      <c r="N12" s="24">
        <f>IF(M12&lt;=0,0,IF($E$2-A12&lt;12,(M12-E12)*Dashboard!$B$18,IF($Q$2+A12&gt;=$R$2,MAX(0,M12-E12*POWER(1+$C$2,$E$2-A12))*MAX(Dashboard!$C$18,Dashboard!$B$18),IF($S$2&lt;$R$2,(M12-E12)*0.5*Dashboard!$B$18,(E12*POWER(1+$A$2,$R$2-($Q$2+A12))-E12)*0.5*Dashboard!$B$18+MAX(0,M12-E12*POWER(1+$A$2,$R$2-($Q$2+A12))*POWER(1+$C$2,$S$2-$R$2))*MAX(Dashboard!$C$18,Dashboard!$B$18)))))</f>
        <v>779.32218701578756</v>
      </c>
    </row>
    <row r="13" spans="1:24" x14ac:dyDescent="0.2">
      <c r="A13" s="22">
        <f t="shared" si="8"/>
        <v>8</v>
      </c>
      <c r="B13" s="23">
        <f t="shared" si="9"/>
        <v>18.721461187214601</v>
      </c>
      <c r="C13" t="str">
        <f t="shared" si="0"/>
        <v>18 y 8.66 m</v>
      </c>
      <c r="D13" s="24">
        <f>IF(A13&gt;=$E$2,IF(A13&lt;$E$2+$H$2,$P$2,0),IF(B13&lt;Dashboard!$I$6,0,IF(A13&gt;=$F$2,Dashboard!$C$22*POWER(1+$C$2,A13-$F$2),Dashboard!$C$22)))</f>
        <v>0</v>
      </c>
      <c r="E13" s="24">
        <f>IF(A13&gt;=$F$2,0,IF(A13=0,Dashboard!$G$10,IF(B13&lt;Dashboard!$I$6,IF($J$2&lt;=Dashboard!$H$10,Dashboard!$H$10,MAX(Dashboard!$H$10,MIN($J$2,Dashboard!$H$10*POWER($J$2/Dashboard!$H$10,A13/$D$2)))),$I$2-D13-Dashboard!$I$10-Dashboard!$J$10-Dashboard!$F$10*$I$2)))</f>
        <v>528.10394364210288</v>
      </c>
      <c r="F13" s="24">
        <f t="shared" si="1"/>
        <v>0</v>
      </c>
      <c r="G13" s="24">
        <f t="shared" si="2"/>
        <v>0</v>
      </c>
      <c r="H13" s="24">
        <f t="shared" si="3"/>
        <v>0</v>
      </c>
      <c r="I13" s="24">
        <f t="shared" si="4"/>
        <v>528.10394364210288</v>
      </c>
      <c r="J13" s="25">
        <f t="shared" si="5"/>
        <v>7.9741404289037643E-3</v>
      </c>
      <c r="K13" s="24">
        <f t="shared" si="10"/>
        <v>111685.01450731608</v>
      </c>
      <c r="L13" s="24" t="str">
        <f t="shared" si="6"/>
        <v/>
      </c>
      <c r="M13" s="24">
        <f t="shared" si="7"/>
        <v>2485.1381961322954</v>
      </c>
      <c r="N13" s="24">
        <f>IF(M13&lt;=0,0,IF($E$2-A13&lt;12,(M13-E13)*Dashboard!$B$18,IF($Q$2+A13&gt;=$R$2,MAX(0,M13-E13*POWER(1+$C$2,$E$2-A13))*MAX(Dashboard!$C$18,Dashboard!$B$18),IF($S$2&lt;$R$2,(M13-E13)*0.5*Dashboard!$B$18,(E13*POWER(1+$A$2,$R$2-($Q$2+A13))-E13)*0.5*Dashboard!$B$18+MAX(0,M13-E13*POWER(1+$A$2,$R$2-($Q$2+A13))*POWER(1+$C$2,$S$2-$R$2))*MAX(Dashboard!$C$18,Dashboard!$B$18)))))</f>
        <v>777.47824600219155</v>
      </c>
    </row>
    <row r="14" spans="1:24" x14ac:dyDescent="0.2">
      <c r="A14" s="22">
        <f t="shared" si="8"/>
        <v>9</v>
      </c>
      <c r="B14" s="23">
        <f t="shared" si="9"/>
        <v>18.804794520547933</v>
      </c>
      <c r="C14" t="str">
        <f t="shared" si="0"/>
        <v>18 y 9.66 m</v>
      </c>
      <c r="D14" s="24">
        <f>IF(A14&gt;=$E$2,IF(A14&lt;$E$2+$H$2,$P$2,0),IF(B14&lt;Dashboard!$I$6,0,IF(A14&gt;=$F$2,Dashboard!$C$22*POWER(1+$C$2,A14-$F$2),Dashboard!$C$22)))</f>
        <v>0</v>
      </c>
      <c r="E14" s="24">
        <f>IF(A14&gt;=$F$2,0,IF(A14=0,Dashboard!$G$10,IF(B14&lt;Dashboard!$I$6,IF($J$2&lt;=Dashboard!$H$10,Dashboard!$H$10,MAX(Dashboard!$H$10,MIN($J$2,Dashboard!$H$10*POWER($J$2/Dashboard!$H$10,A14/$D$2)))),$I$2-D14-Dashboard!$I$10-Dashboard!$J$10-Dashboard!$F$10*$I$2)))</f>
        <v>531.72623227287386</v>
      </c>
      <c r="F14" s="24">
        <f t="shared" si="1"/>
        <v>0</v>
      </c>
      <c r="G14" s="24">
        <f t="shared" si="2"/>
        <v>0</v>
      </c>
      <c r="H14" s="24">
        <f t="shared" si="3"/>
        <v>0</v>
      </c>
      <c r="I14" s="24">
        <f t="shared" si="4"/>
        <v>531.72623227287386</v>
      </c>
      <c r="J14" s="25">
        <f t="shared" si="5"/>
        <v>7.9741404289037643E-3</v>
      </c>
      <c r="K14" s="24">
        <f t="shared" si="10"/>
        <v>113111.57278872032</v>
      </c>
      <c r="L14" s="24" t="str">
        <f t="shared" si="6"/>
        <v/>
      </c>
      <c r="M14" s="24">
        <f t="shared" si="7"/>
        <v>2482.3889523533458</v>
      </c>
      <c r="N14" s="24">
        <f>IF(M14&lt;=0,0,IF($E$2-A14&lt;12,(M14-E14)*Dashboard!$B$18,IF($Q$2+A14&gt;=$R$2,MAX(0,M14-E14*POWER(1+$C$2,$E$2-A14))*MAX(Dashboard!$C$18,Dashboard!$B$18),IF($S$2&lt;$R$2,(M14-E14)*0.5*Dashboard!$B$18,(E14*POWER(1+$A$2,$R$2-($Q$2+A14))-E14)*0.5*Dashboard!$B$18+MAX(0,M14-E14*POWER(1+$A$2,$R$2-($Q$2+A14))*POWER(1+$C$2,$S$2-$R$2))*MAX(Dashboard!$C$18,Dashboard!$B$18)))))</f>
        <v>775.62961070200231</v>
      </c>
    </row>
    <row r="15" spans="1:24" x14ac:dyDescent="0.2">
      <c r="A15" s="22">
        <f t="shared" si="8"/>
        <v>10</v>
      </c>
      <c r="B15" s="23">
        <f t="shared" si="9"/>
        <v>18.888127853881265</v>
      </c>
      <c r="C15" t="str">
        <f t="shared" si="0"/>
        <v>18 y 10.66 m</v>
      </c>
      <c r="D15" s="24">
        <f>IF(A15&gt;=$E$2,IF(A15&lt;$E$2+$H$2,$P$2,0),IF(B15&lt;Dashboard!$I$6,0,IF(A15&gt;=$F$2,Dashboard!$C$22*POWER(1+$C$2,A15-$F$2),Dashboard!$C$22)))</f>
        <v>0</v>
      </c>
      <c r="E15" s="24">
        <f>IF(A15&gt;=$F$2,0,IF(A15=0,Dashboard!$G$10,IF(B15&lt;Dashboard!$I$6,IF($J$2&lt;=Dashboard!$H$10,Dashboard!$H$10,MAX(Dashboard!$H$10,MIN($J$2,Dashboard!$H$10*POWER($J$2/Dashboard!$H$10,A15/$D$2)))),$I$2-D15-Dashboard!$I$10-Dashboard!$J$10-Dashboard!$F$10*$I$2)))</f>
        <v>535.3733663437946</v>
      </c>
      <c r="F15" s="24">
        <f t="shared" si="1"/>
        <v>0</v>
      </c>
      <c r="G15" s="24">
        <f t="shared" si="2"/>
        <v>0</v>
      </c>
      <c r="H15" s="24">
        <f t="shared" si="3"/>
        <v>0</v>
      </c>
      <c r="I15" s="24">
        <f t="shared" si="4"/>
        <v>535.3733663437946</v>
      </c>
      <c r="J15" s="25">
        <f t="shared" si="5"/>
        <v>7.9741404289037643E-3</v>
      </c>
      <c r="K15" s="24">
        <f t="shared" si="10"/>
        <v>114553.18286302066</v>
      </c>
      <c r="L15" s="24" t="str">
        <f t="shared" si="6"/>
        <v/>
      </c>
      <c r="M15" s="24">
        <f t="shared" si="7"/>
        <v>2479.6427499913148</v>
      </c>
      <c r="N15" s="24">
        <f>IF(M15&lt;=0,0,IF($E$2-A15&lt;12,(M15-E15)*Dashboard!$B$18,IF($Q$2+A15&gt;=$R$2,MAX(0,M15-E15*POWER(1+$C$2,$E$2-A15))*MAX(Dashboard!$C$18,Dashboard!$B$18),IF($S$2&lt;$R$2,(M15-E15)*0.5*Dashboard!$B$18,(E15*POWER(1+$A$2,$R$2-($Q$2+A15))-E15)*0.5*Dashboard!$B$18+MAX(0,M15-E15*POWER(1+$A$2,$R$2-($Q$2+A15))*POWER(1+$C$2,$S$2-$R$2))*MAX(Dashboard!$C$18,Dashboard!$B$18)))))</f>
        <v>773.77624011827095</v>
      </c>
    </row>
    <row r="16" spans="1:24" x14ac:dyDescent="0.2">
      <c r="A16" s="22">
        <f t="shared" si="8"/>
        <v>11</v>
      </c>
      <c r="B16" s="23">
        <f t="shared" si="9"/>
        <v>18.971461187214597</v>
      </c>
      <c r="C16" t="str">
        <f t="shared" si="0"/>
        <v>18 y 11.66 m</v>
      </c>
      <c r="D16" s="24">
        <f>IF(A16&gt;=$E$2,IF(A16&lt;$E$2+$H$2,$P$2,0),IF(B16&lt;Dashboard!$I$6,0,IF(A16&gt;=$F$2,Dashboard!$C$22*POWER(1+$C$2,A16-$F$2),Dashboard!$C$22)))</f>
        <v>0</v>
      </c>
      <c r="E16" s="24">
        <f>IF(A16&gt;=$F$2,0,IF(A16=0,Dashboard!$G$10,IF(B16&lt;Dashboard!$I$6,IF($J$2&lt;=Dashboard!$H$10,Dashboard!$H$10,MAX(Dashboard!$H$10,MIN($J$2,Dashboard!$H$10*POWER($J$2/Dashboard!$H$10,A16/$D$2)))),$I$2-D16-Dashboard!$I$10-Dashboard!$J$10-Dashboard!$F$10*$I$2)))</f>
        <v>539.04551627085323</v>
      </c>
      <c r="F16" s="24">
        <f t="shared" si="1"/>
        <v>0</v>
      </c>
      <c r="G16" s="24">
        <f t="shared" si="2"/>
        <v>0</v>
      </c>
      <c r="H16" s="24">
        <f t="shared" si="3"/>
        <v>0</v>
      </c>
      <c r="I16" s="24">
        <f t="shared" si="4"/>
        <v>539.04551627085323</v>
      </c>
      <c r="J16" s="25">
        <f t="shared" si="5"/>
        <v>7.9741404289037643E-3</v>
      </c>
      <c r="K16" s="24">
        <f t="shared" si="10"/>
        <v>116009.98997066345</v>
      </c>
      <c r="L16" s="24" t="str">
        <f t="shared" si="6"/>
        <v/>
      </c>
      <c r="M16" s="24">
        <f t="shared" si="7"/>
        <v>2476.8995856815632</v>
      </c>
      <c r="N16" s="24">
        <f>IF(M16&lt;=0,0,IF($E$2-A16&lt;12,(M16-E16)*Dashboard!$B$18,IF($Q$2+A16&gt;=$R$2,MAX(0,M16-E16*POWER(1+$C$2,$E$2-A16))*MAX(Dashboard!$C$18,Dashboard!$B$18),IF($S$2&lt;$R$2,(M16-E16)*0.5*Dashboard!$B$18,(E16*POWER(1+$A$2,$R$2-($Q$2+A16))-E16)*0.5*Dashboard!$B$18+MAX(0,M16-E16*POWER(1+$A$2,$R$2-($Q$2+A16))*POWER(1+$C$2,$S$2-$R$2))*MAX(Dashboard!$C$18,Dashboard!$B$18)))))</f>
        <v>771.91809298258386</v>
      </c>
    </row>
    <row r="17" spans="1:14" x14ac:dyDescent="0.2">
      <c r="A17" s="22">
        <f t="shared" si="8"/>
        <v>12</v>
      </c>
      <c r="B17" s="23">
        <f t="shared" si="9"/>
        <v>19.054794520547929</v>
      </c>
      <c r="C17" t="str">
        <f t="shared" si="0"/>
        <v>19 y 0.66 m</v>
      </c>
      <c r="D17" s="24">
        <f>IF(A17&gt;=$E$2,IF(A17&lt;$E$2+$H$2,$P$2,0),IF(B17&lt;Dashboard!$I$6,0,IF(A17&gt;=$F$2,Dashboard!$C$22*POWER(1+$C$2,A17-$F$2),Dashboard!$C$22)))</f>
        <v>0</v>
      </c>
      <c r="E17" s="24">
        <f>IF(A17&gt;=$F$2,0,IF(A17=0,Dashboard!$G$10,IF(B17&lt;Dashboard!$I$6,IF($J$2&lt;=Dashboard!$H$10,Dashboard!$H$10,MAX(Dashboard!$H$10,MIN($J$2,Dashboard!$H$10*POWER($J$2/Dashboard!$H$10,A17/$D$2)))),$I$2-D17-Dashboard!$I$10-Dashboard!$J$10-Dashboard!$F$10*$I$2)))</f>
        <v>542.74285363892864</v>
      </c>
      <c r="F17" s="24">
        <f t="shared" si="1"/>
        <v>0</v>
      </c>
      <c r="G17" s="24">
        <f t="shared" si="2"/>
        <v>0</v>
      </c>
      <c r="H17" s="24">
        <f t="shared" si="3"/>
        <v>0</v>
      </c>
      <c r="I17" s="24">
        <f t="shared" si="4"/>
        <v>542.74285363892864</v>
      </c>
      <c r="J17" s="25">
        <f t="shared" si="5"/>
        <v>7.9741404289037643E-3</v>
      </c>
      <c r="K17" s="24">
        <f t="shared" si="10"/>
        <v>117482.14068321587</v>
      </c>
      <c r="L17" s="24" t="str">
        <f t="shared" si="6"/>
        <v/>
      </c>
      <c r="M17" s="24">
        <f t="shared" si="7"/>
        <v>2474.1594560631697</v>
      </c>
      <c r="N17" s="24">
        <f>IF(M17&lt;=0,0,IF($E$2-A17&lt;12,(M17-E17)*Dashboard!$B$18,IF($Q$2+A17&gt;=$R$2,MAX(0,M17-E17*POWER(1+$C$2,$E$2-A17))*MAX(Dashboard!$C$18,Dashboard!$B$18),IF($S$2&lt;$R$2,(M17-E17)*0.5*Dashboard!$B$18,(E17*POWER(1+$A$2,$R$2-($Q$2+A17))-E17)*0.5*Dashboard!$B$18+MAX(0,M17-E17*POWER(1+$A$2,$R$2-($Q$2+A17))*POWER(1+$C$2,$S$2-$R$2))*MAX(Dashboard!$C$18,Dashboard!$B$18)))))</f>
        <v>770.0551277531863</v>
      </c>
    </row>
    <row r="18" spans="1:14" x14ac:dyDescent="0.2">
      <c r="A18" s="22">
        <f t="shared" si="8"/>
        <v>13</v>
      </c>
      <c r="B18" s="23">
        <f t="shared" si="9"/>
        <v>19.138127853881262</v>
      </c>
      <c r="C18" t="str">
        <f t="shared" si="0"/>
        <v>19 y 1.66 m</v>
      </c>
      <c r="D18" s="24">
        <f>IF(A18&gt;=$E$2,IF(A18&lt;$E$2+$H$2,$P$2,0),IF(B18&lt;Dashboard!$I$6,0,IF(A18&gt;=$F$2,Dashboard!$C$22*POWER(1+$C$2,A18-$F$2),Dashboard!$C$22)))</f>
        <v>0</v>
      </c>
      <c r="E18" s="24">
        <f>IF(A18&gt;=$F$2,0,IF(A18=0,Dashboard!$G$10,IF(B18&lt;Dashboard!$I$6,IF($J$2&lt;=Dashboard!$H$10,Dashboard!$H$10,MAX(Dashboard!$H$10,MIN($J$2,Dashboard!$H$10*POWER($J$2/Dashboard!$H$10,A18/$D$2)))),$I$2-D18-Dashboard!$I$10-Dashboard!$J$10-Dashboard!$F$10*$I$2)))</f>
        <v>546.4655512098085</v>
      </c>
      <c r="F18" s="24">
        <f t="shared" si="1"/>
        <v>0</v>
      </c>
      <c r="G18" s="24">
        <f t="shared" si="2"/>
        <v>0</v>
      </c>
      <c r="H18" s="24">
        <f t="shared" si="3"/>
        <v>0</v>
      </c>
      <c r="I18" s="24">
        <f t="shared" si="4"/>
        <v>546.4655512098085</v>
      </c>
      <c r="J18" s="25">
        <f t="shared" si="5"/>
        <v>7.9741404289037643E-3</v>
      </c>
      <c r="K18" s="24">
        <f t="shared" si="10"/>
        <v>118969.78291516677</v>
      </c>
      <c r="L18" s="24" t="str">
        <f t="shared" si="6"/>
        <v/>
      </c>
      <c r="M18" s="24">
        <f t="shared" si="7"/>
        <v>2471.4223577789389</v>
      </c>
      <c r="N18" s="24">
        <f>IF(M18&lt;=0,0,IF($E$2-A18&lt;12,(M18-E18)*Dashboard!$B$18,IF($Q$2+A18&gt;=$R$2,MAX(0,M18-E18*POWER(1+$C$2,$E$2-A18))*MAX(Dashboard!$C$18,Dashboard!$B$18),IF($S$2&lt;$R$2,(M18-E18)*0.5*Dashboard!$B$18,(E18*POWER(1+$A$2,$R$2-($Q$2+A18))-E18)*0.5*Dashboard!$B$18+MAX(0,M18-E18*POWER(1+$A$2,$R$2-($Q$2+A18))*POWER(1+$C$2,$S$2-$R$2))*MAX(Dashboard!$C$18,Dashboard!$B$18)))))</f>
        <v>768.1873026131027</v>
      </c>
    </row>
    <row r="19" spans="1:14" x14ac:dyDescent="0.2">
      <c r="A19" s="22">
        <f t="shared" si="8"/>
        <v>14</v>
      </c>
      <c r="B19" s="23">
        <f t="shared" si="9"/>
        <v>19.221461187214594</v>
      </c>
      <c r="C19" t="str">
        <f t="shared" si="0"/>
        <v>19 y 2.66 m</v>
      </c>
      <c r="D19" s="24">
        <f>IF(A19&gt;=$E$2,IF(A19&lt;$E$2+$H$2,$P$2,0),IF(B19&lt;Dashboard!$I$6,0,IF(A19&gt;=$F$2,Dashboard!$C$22*POWER(1+$C$2,A19-$F$2),Dashboard!$C$22)))</f>
        <v>0</v>
      </c>
      <c r="E19" s="24">
        <f>IF(A19&gt;=$F$2,0,IF(A19=0,Dashboard!$G$10,IF(B19&lt;Dashboard!$I$6,IF($J$2&lt;=Dashboard!$H$10,Dashboard!$H$10,MAX(Dashboard!$H$10,MIN($J$2,Dashboard!$H$10*POWER($J$2/Dashboard!$H$10,A19/$D$2)))),$I$2-D19-Dashboard!$I$10-Dashboard!$J$10-Dashboard!$F$10*$I$2)))</f>
        <v>550.21378293026066</v>
      </c>
      <c r="F19" s="24">
        <f t="shared" si="1"/>
        <v>0</v>
      </c>
      <c r="G19" s="24">
        <f t="shared" si="2"/>
        <v>0</v>
      </c>
      <c r="H19" s="24">
        <f t="shared" si="3"/>
        <v>0</v>
      </c>
      <c r="I19" s="24">
        <f t="shared" si="4"/>
        <v>550.21378293026066</v>
      </c>
      <c r="J19" s="25">
        <f t="shared" si="5"/>
        <v>7.9741404289037643E-3</v>
      </c>
      <c r="K19" s="24">
        <f t="shared" si="10"/>
        <v>120473.06593582977</v>
      </c>
      <c r="L19" s="24" t="str">
        <f t="shared" si="6"/>
        <v/>
      </c>
      <c r="M19" s="24">
        <f t="shared" si="7"/>
        <v>2468.6882874753815</v>
      </c>
      <c r="N19" s="24">
        <f>IF(M19&lt;=0,0,IF($E$2-A19&lt;12,(M19-E19)*Dashboard!$B$18,IF($Q$2+A19&gt;=$R$2,MAX(0,M19-E19*POWER(1+$C$2,$E$2-A19))*MAX(Dashboard!$C$18,Dashboard!$B$18),IF($S$2&lt;$R$2,(M19-E19)*0.5*Dashboard!$B$18,(E19*POWER(1+$A$2,$R$2-($Q$2+A19))-E19)*0.5*Dashboard!$B$18+MAX(0,M19-E19*POWER(1+$A$2,$R$2-($Q$2+A19))*POWER(1+$C$2,$S$2-$R$2))*MAX(Dashboard!$C$18,Dashboard!$B$18)))))</f>
        <v>766.31457546823049</v>
      </c>
    </row>
    <row r="20" spans="1:14" x14ac:dyDescent="0.2">
      <c r="A20" s="22">
        <f t="shared" si="8"/>
        <v>15</v>
      </c>
      <c r="B20" s="23">
        <f t="shared" si="9"/>
        <v>19.304794520547926</v>
      </c>
      <c r="C20" t="str">
        <f t="shared" si="0"/>
        <v>19 y 3.66 m</v>
      </c>
      <c r="D20" s="24">
        <f>IF(A20&gt;=$E$2,IF(A20&lt;$E$2+$H$2,$P$2,0),IF(B20&lt;Dashboard!$I$6,0,IF(A20&gt;=$F$2,Dashboard!$C$22*POWER(1+$C$2,A20-$F$2),Dashboard!$C$22)))</f>
        <v>0</v>
      </c>
      <c r="E20" s="24">
        <f>IF(A20&gt;=$F$2,0,IF(A20=0,Dashboard!$G$10,IF(B20&lt;Dashboard!$I$6,IF($J$2&lt;=Dashboard!$H$10,Dashboard!$H$10,MAX(Dashboard!$H$10,MIN($J$2,Dashboard!$H$10*POWER($J$2/Dashboard!$H$10,A20/$D$2)))),$I$2-D20-Dashboard!$I$10-Dashboard!$J$10-Dashboard!$F$10*$I$2)))</f>
        <v>553.98772394016237</v>
      </c>
      <c r="F20" s="24">
        <f t="shared" si="1"/>
        <v>0</v>
      </c>
      <c r="G20" s="24">
        <f t="shared" si="2"/>
        <v>0</v>
      </c>
      <c r="H20" s="24">
        <f t="shared" si="3"/>
        <v>0</v>
      </c>
      <c r="I20" s="24">
        <f t="shared" si="4"/>
        <v>553.98772394016237</v>
      </c>
      <c r="J20" s="25">
        <f t="shared" si="5"/>
        <v>7.9741404289037643E-3</v>
      </c>
      <c r="K20" s="24">
        <f t="shared" si="10"/>
        <v>121992.14038134941</v>
      </c>
      <c r="L20" s="24" t="str">
        <f t="shared" si="6"/>
        <v/>
      </c>
      <c r="M20" s="24">
        <f t="shared" si="7"/>
        <v>2465.9572418027215</v>
      </c>
      <c r="N20" s="24">
        <f>IF(M20&lt;=0,0,IF($E$2-A20&lt;12,(M20-E20)*Dashboard!$B$18,IF($Q$2+A20&gt;=$R$2,MAX(0,M20-E20*POWER(1+$C$2,$E$2-A20))*MAX(Dashboard!$C$18,Dashboard!$B$18),IF($S$2&lt;$R$2,(M20-E20)*0.5*Dashboard!$B$18,(E20*POWER(1+$A$2,$R$2-($Q$2+A20))-E20)*0.5*Dashboard!$B$18+MAX(0,M20-E20*POWER(1+$A$2,$R$2-($Q$2+A20))*POWER(1+$C$2,$S$2-$R$2))*MAX(Dashboard!$C$18,Dashboard!$B$18)))))</f>
        <v>764.43690394543432</v>
      </c>
    </row>
    <row r="21" spans="1:14" x14ac:dyDescent="0.2">
      <c r="A21" s="22">
        <f t="shared" si="8"/>
        <v>16</v>
      </c>
      <c r="B21" s="23">
        <f t="shared" si="9"/>
        <v>19.388127853881258</v>
      </c>
      <c r="C21" t="str">
        <f t="shared" si="0"/>
        <v>19 y 4.66 m</v>
      </c>
      <c r="D21" s="24">
        <f>IF(A21&gt;=$E$2,IF(A21&lt;$E$2+$H$2,$P$2,0),IF(B21&lt;Dashboard!$I$6,0,IF(A21&gt;=$F$2,Dashboard!$C$22*POWER(1+$C$2,A21-$F$2),Dashboard!$C$22)))</f>
        <v>0</v>
      </c>
      <c r="E21" s="24">
        <f>IF(A21&gt;=$F$2,0,IF(A21=0,Dashboard!$G$10,IF(B21&lt;Dashboard!$I$6,IF($J$2&lt;=Dashboard!$H$10,Dashboard!$H$10,MAX(Dashboard!$H$10,MIN($J$2,Dashboard!$H$10*POWER($J$2/Dashboard!$H$10,A21/$D$2)))),$I$2-D21-Dashboard!$I$10-Dashboard!$J$10-Dashboard!$F$10*$I$2)))</f>
        <v>557.78755058068271</v>
      </c>
      <c r="F21" s="24">
        <f t="shared" si="1"/>
        <v>0</v>
      </c>
      <c r="G21" s="24">
        <f t="shared" si="2"/>
        <v>0</v>
      </c>
      <c r="H21" s="24">
        <f t="shared" si="3"/>
        <v>0</v>
      </c>
      <c r="I21" s="24">
        <f t="shared" si="4"/>
        <v>557.78755058068271</v>
      </c>
      <c r="J21" s="25">
        <f t="shared" si="5"/>
        <v>7.9741404289037643E-3</v>
      </c>
      <c r="K21" s="24">
        <f t="shared" si="10"/>
        <v>123527.15826681134</v>
      </c>
      <c r="L21" s="24" t="str">
        <f t="shared" si="6"/>
        <v/>
      </c>
      <c r="M21" s="24">
        <f t="shared" si="7"/>
        <v>2463.2292174148888</v>
      </c>
      <c r="N21" s="24">
        <f>IF(M21&lt;=0,0,IF($E$2-A21&lt;12,(M21-E21)*Dashboard!$B$18,IF($Q$2+A21&gt;=$R$2,MAX(0,M21-E21*POWER(1+$C$2,$E$2-A21))*MAX(Dashboard!$C$18,Dashboard!$B$18),IF($S$2&lt;$R$2,(M21-E21)*0.5*Dashboard!$B$18,(E21*POWER(1+$A$2,$R$2-($Q$2+A21))-E21)*0.5*Dashboard!$B$18+MAX(0,M21-E21*POWER(1+$A$2,$R$2-($Q$2+A21))*POWER(1+$C$2,$S$2-$R$2))*MAX(Dashboard!$C$18,Dashboard!$B$18)))))</f>
        <v>762.5542453906196</v>
      </c>
    </row>
    <row r="22" spans="1:14" x14ac:dyDescent="0.2">
      <c r="A22" s="22">
        <f t="shared" si="8"/>
        <v>17</v>
      </c>
      <c r="B22" s="23">
        <f t="shared" si="9"/>
        <v>19.47146118721459</v>
      </c>
      <c r="C22" t="str">
        <f t="shared" si="0"/>
        <v>19 y 5.66 m</v>
      </c>
      <c r="D22" s="24">
        <f>IF(A22&gt;=$E$2,IF(A22&lt;$E$2+$H$2,$P$2,0),IF(B22&lt;Dashboard!$I$6,0,IF(A22&gt;=$F$2,Dashboard!$C$22*POWER(1+$C$2,A22-$F$2),Dashboard!$C$22)))</f>
        <v>0</v>
      </c>
      <c r="E22" s="24">
        <f>IF(A22&gt;=$F$2,0,IF(A22=0,Dashboard!$G$10,IF(B22&lt;Dashboard!$I$6,IF($J$2&lt;=Dashboard!$H$10,Dashboard!$H$10,MAX(Dashboard!$H$10,MIN($J$2,Dashboard!$H$10*POWER($J$2/Dashboard!$H$10,A22/$D$2)))),$I$2-D22-Dashboard!$I$10-Dashboard!$J$10-Dashboard!$F$10*$I$2)))</f>
        <v>561.61344040252288</v>
      </c>
      <c r="F22" s="24">
        <f t="shared" si="1"/>
        <v>0</v>
      </c>
      <c r="G22" s="24">
        <f t="shared" si="2"/>
        <v>0</v>
      </c>
      <c r="H22" s="24">
        <f t="shared" si="3"/>
        <v>0</v>
      </c>
      <c r="I22" s="24">
        <f t="shared" si="4"/>
        <v>561.61344040252288</v>
      </c>
      <c r="J22" s="25">
        <f t="shared" si="5"/>
        <v>7.9741404289037643E-3</v>
      </c>
      <c r="K22" s="24">
        <f t="shared" si="10"/>
        <v>125078.27299845737</v>
      </c>
      <c r="L22" s="24" t="str">
        <f t="shared" si="6"/>
        <v/>
      </c>
      <c r="M22" s="24">
        <f t="shared" si="7"/>
        <v>2460.5042109695141</v>
      </c>
      <c r="N22" s="24">
        <f>IF(M22&lt;=0,0,IF($E$2-A22&lt;12,(M22-E22)*Dashboard!$B$18,IF($Q$2+A22&gt;=$R$2,MAX(0,M22-E22*POWER(1+$C$2,$E$2-A22))*MAX(Dashboard!$C$18,Dashboard!$B$18),IF($S$2&lt;$R$2,(M22-E22)*0.5*Dashboard!$B$18,(E22*POWER(1+$A$2,$R$2-($Q$2+A22))-E22)*0.5*Dashboard!$B$18+MAX(0,M22-E22*POWER(1+$A$2,$R$2-($Q$2+A22))*POWER(1+$C$2,$S$2-$R$2))*MAX(Dashboard!$C$18,Dashboard!$B$18)))))</f>
        <v>760.66655686679417</v>
      </c>
    </row>
    <row r="23" spans="1:14" x14ac:dyDescent="0.2">
      <c r="A23" s="22">
        <f t="shared" si="8"/>
        <v>18</v>
      </c>
      <c r="B23" s="23">
        <f t="shared" si="9"/>
        <v>19.554794520547922</v>
      </c>
      <c r="C23" t="str">
        <f t="shared" si="0"/>
        <v>19 y 6.66 m</v>
      </c>
      <c r="D23" s="24">
        <f>IF(A23&gt;=$E$2,IF(A23&lt;$E$2+$H$2,$P$2,0),IF(B23&lt;Dashboard!$I$6,0,IF(A23&gt;=$F$2,Dashboard!$C$22*POWER(1+$C$2,A23-$F$2),Dashboard!$C$22)))</f>
        <v>0</v>
      </c>
      <c r="E23" s="24">
        <f>IF(A23&gt;=$F$2,0,IF(A23=0,Dashboard!$G$10,IF(B23&lt;Dashboard!$I$6,IF($J$2&lt;=Dashboard!$H$10,Dashboard!$H$10,MAX(Dashboard!$H$10,MIN($J$2,Dashboard!$H$10*POWER($J$2/Dashboard!$H$10,A23/$D$2)))),$I$2-D23-Dashboard!$I$10-Dashboard!$J$10-Dashboard!$F$10*$I$2)))</f>
        <v>565.4655721742123</v>
      </c>
      <c r="F23" s="24">
        <f t="shared" si="1"/>
        <v>0</v>
      </c>
      <c r="G23" s="24">
        <f t="shared" si="2"/>
        <v>0</v>
      </c>
      <c r="H23" s="24">
        <f t="shared" si="3"/>
        <v>0</v>
      </c>
      <c r="I23" s="24">
        <f t="shared" si="4"/>
        <v>565.4655721742123</v>
      </c>
      <c r="J23" s="25">
        <f t="shared" si="5"/>
        <v>7.9741404289037643E-3</v>
      </c>
      <c r="K23" s="24">
        <f t="shared" si="10"/>
        <v>126645.63938600627</v>
      </c>
      <c r="L23" s="24" t="str">
        <f t="shared" si="6"/>
        <v/>
      </c>
      <c r="M23" s="24">
        <f t="shared" si="7"/>
        <v>2457.7822191279274</v>
      </c>
      <c r="N23" s="24">
        <f>IF(M23&lt;=0,0,IF($E$2-A23&lt;12,(M23-E23)*Dashboard!$B$18,IF($Q$2+A23&gt;=$R$2,MAX(0,M23-E23*POWER(1+$C$2,$E$2-A23))*MAX(Dashboard!$C$18,Dashboard!$B$18),IF($S$2&lt;$R$2,(M23-E23)*0.5*Dashboard!$B$18,(E23*POWER(1+$A$2,$R$2-($Q$2+A23))-E23)*0.5*Dashboard!$B$18+MAX(0,M23-E23*POWER(1+$A$2,$R$2-($Q$2+A23))*POWER(1+$C$2,$S$2-$R$2))*MAX(Dashboard!$C$18,Dashboard!$B$18)))))</f>
        <v>758.77379515211817</v>
      </c>
    </row>
    <row r="24" spans="1:14" x14ac:dyDescent="0.2">
      <c r="A24" s="22">
        <f t="shared" si="8"/>
        <v>19</v>
      </c>
      <c r="B24" s="23">
        <f t="shared" si="9"/>
        <v>19.638127853881254</v>
      </c>
      <c r="C24" t="str">
        <f t="shared" si="0"/>
        <v>19 y 7.66 m</v>
      </c>
      <c r="D24" s="24">
        <f>IF(A24&gt;=$E$2,IF(A24&lt;$E$2+$H$2,$P$2,0),IF(B24&lt;Dashboard!$I$6,0,IF(A24&gt;=$F$2,Dashboard!$C$22*POWER(1+$C$2,A24-$F$2),Dashboard!$C$22)))</f>
        <v>0</v>
      </c>
      <c r="E24" s="24">
        <f>IF(A24&gt;=$F$2,0,IF(A24=0,Dashboard!$G$10,IF(B24&lt;Dashboard!$I$6,IF($J$2&lt;=Dashboard!$H$10,Dashboard!$H$10,MAX(Dashboard!$H$10,MIN($J$2,Dashboard!$H$10*POWER($J$2/Dashboard!$H$10,A24/$D$2)))),$I$2-D24-Dashboard!$I$10-Dashboard!$J$10-Dashboard!$F$10*$I$2)))</f>
        <v>569.34412589046178</v>
      </c>
      <c r="F24" s="24">
        <f t="shared" si="1"/>
        <v>0</v>
      </c>
      <c r="G24" s="24">
        <f t="shared" si="2"/>
        <v>0</v>
      </c>
      <c r="H24" s="24">
        <f t="shared" si="3"/>
        <v>0</v>
      </c>
      <c r="I24" s="24">
        <f t="shared" si="4"/>
        <v>569.34412589046178</v>
      </c>
      <c r="J24" s="25">
        <f t="shared" si="5"/>
        <v>7.9741404289037643E-3</v>
      </c>
      <c r="K24" s="24">
        <f t="shared" si="10"/>
        <v>128229.41365508127</v>
      </c>
      <c r="L24" s="24" t="str">
        <f t="shared" si="6"/>
        <v/>
      </c>
      <c r="M24" s="24">
        <f t="shared" si="7"/>
        <v>2455.0632385551503</v>
      </c>
      <c r="N24" s="24">
        <f>IF(M24&lt;=0,0,IF($E$2-A24&lt;12,(M24-E24)*Dashboard!$B$18,IF($Q$2+A24&gt;=$R$2,MAX(0,M24-E24*POWER(1+$C$2,$E$2-A24))*MAX(Dashboard!$C$18,Dashboard!$B$18),IF($S$2&lt;$R$2,(M24-E24)*0.5*Dashboard!$B$18,(E24*POWER(1+$A$2,$R$2-($Q$2+A24))-E24)*0.5*Dashboard!$B$18+MAX(0,M24-E24*POWER(1+$A$2,$R$2-($Q$2+A24))*POWER(1+$C$2,$S$2-$R$2))*MAX(Dashboard!$C$18,Dashboard!$B$18)))))</f>
        <v>756.87591673793872</v>
      </c>
    </row>
    <row r="25" spans="1:14" x14ac:dyDescent="0.2">
      <c r="A25" s="22">
        <f t="shared" si="8"/>
        <v>20</v>
      </c>
      <c r="B25" s="23">
        <f t="shared" si="9"/>
        <v>19.721461187214587</v>
      </c>
      <c r="C25" t="str">
        <f t="shared" si="0"/>
        <v>19 y 8.66 m</v>
      </c>
      <c r="D25" s="24">
        <f>IF(A25&gt;=$E$2,IF(A25&lt;$E$2+$H$2,$P$2,0),IF(B25&lt;Dashboard!$I$6,0,IF(A25&gt;=$F$2,Dashboard!$C$22*POWER(1+$C$2,A25-$F$2),Dashboard!$C$22)))</f>
        <v>0</v>
      </c>
      <c r="E25" s="24">
        <f>IF(A25&gt;=$F$2,0,IF(A25=0,Dashboard!$G$10,IF(B25&lt;Dashboard!$I$6,IF($J$2&lt;=Dashboard!$H$10,Dashboard!$H$10,MAX(Dashboard!$H$10,MIN($J$2,Dashboard!$H$10*POWER($J$2/Dashboard!$H$10,A25/$D$2)))),$I$2-D25-Dashboard!$I$10-Dashboard!$J$10-Dashboard!$F$10*$I$2)))</f>
        <v>573.24928278057371</v>
      </c>
      <c r="F25" s="24">
        <f t="shared" si="1"/>
        <v>0</v>
      </c>
      <c r="G25" s="24">
        <f t="shared" si="2"/>
        <v>0</v>
      </c>
      <c r="H25" s="24">
        <f t="shared" si="3"/>
        <v>0</v>
      </c>
      <c r="I25" s="24">
        <f t="shared" si="4"/>
        <v>573.24928278057371</v>
      </c>
      <c r="J25" s="25">
        <f t="shared" si="5"/>
        <v>7.9741404289037643E-3</v>
      </c>
      <c r="K25" s="24">
        <f t="shared" si="10"/>
        <v>129829.7534597451</v>
      </c>
      <c r="L25" s="24" t="str">
        <f t="shared" si="6"/>
        <v/>
      </c>
      <c r="M25" s="24">
        <f t="shared" si="7"/>
        <v>2452.3472659198928</v>
      </c>
      <c r="N25" s="24">
        <f>IF(M25&lt;=0,0,IF($E$2-A25&lt;12,(M25-E25)*Dashboard!$B$18,IF($Q$2+A25&gt;=$R$2,MAX(0,M25-E25*POWER(1+$C$2,$E$2-A25))*MAX(Dashboard!$C$18,Dashboard!$B$18),IF($S$2&lt;$R$2,(M25-E25)*0.5*Dashboard!$B$18,(E25*POWER(1+$A$2,$R$2-($Q$2+A25))-E25)*0.5*Dashboard!$B$18+MAX(0,M25-E25*POWER(1+$A$2,$R$2-($Q$2+A25))*POWER(1+$C$2,$S$2-$R$2))*MAX(Dashboard!$C$18,Dashboard!$B$18)))))</f>
        <v>754.97287782681178</v>
      </c>
    </row>
    <row r="26" spans="1:14" x14ac:dyDescent="0.2">
      <c r="A26" s="22">
        <f t="shared" si="8"/>
        <v>21</v>
      </c>
      <c r="B26" s="23">
        <f t="shared" si="9"/>
        <v>19.804794520547919</v>
      </c>
      <c r="C26" t="str">
        <f t="shared" si="0"/>
        <v>19 y 9.66 m</v>
      </c>
      <c r="D26" s="24">
        <f>IF(A26&gt;=$E$2,IF(A26&lt;$E$2+$H$2,$P$2,0),IF(B26&lt;Dashboard!$I$6,0,IF(A26&gt;=$F$2,Dashboard!$C$22*POWER(1+$C$2,A26-$F$2),Dashboard!$C$22)))</f>
        <v>0</v>
      </c>
      <c r="E26" s="24">
        <f>IF(A26&gt;=$F$2,0,IF(A26=0,Dashboard!$G$10,IF(B26&lt;Dashboard!$I$6,IF($J$2&lt;=Dashboard!$H$10,Dashboard!$H$10,MAX(Dashboard!$H$10,MIN($J$2,Dashboard!$H$10*POWER($J$2/Dashboard!$H$10,A26/$D$2)))),$I$2-D26-Dashboard!$I$10-Dashboard!$J$10-Dashboard!$F$10*$I$2)))</f>
        <v>577.18122531691063</v>
      </c>
      <c r="F26" s="24">
        <f t="shared" si="1"/>
        <v>0</v>
      </c>
      <c r="G26" s="24">
        <f t="shared" si="2"/>
        <v>0</v>
      </c>
      <c r="H26" s="24">
        <f t="shared" si="3"/>
        <v>0</v>
      </c>
      <c r="I26" s="24">
        <f t="shared" si="4"/>
        <v>577.18122531691063</v>
      </c>
      <c r="J26" s="25">
        <f t="shared" si="5"/>
        <v>7.9741404289037643E-3</v>
      </c>
      <c r="K26" s="24">
        <f t="shared" si="10"/>
        <v>131446.81789514358</v>
      </c>
      <c r="L26" s="24" t="str">
        <f t="shared" si="6"/>
        <v/>
      </c>
      <c r="M26" s="24">
        <f t="shared" si="7"/>
        <v>2449.6342978945536</v>
      </c>
      <c r="N26" s="24">
        <f>IF(M26&lt;=0,0,IF($E$2-A26&lt;12,(M26-E26)*Dashboard!$B$18,IF($Q$2+A26&gt;=$R$2,MAX(0,M26-E26*POWER(1+$C$2,$E$2-A26))*MAX(Dashboard!$C$18,Dashboard!$B$18),IF($S$2&lt;$R$2,(M26-E26)*0.5*Dashboard!$B$18,(E26*POWER(1+$A$2,$R$2-($Q$2+A26))-E26)*0.5*Dashboard!$B$18+MAX(0,M26-E26*POWER(1+$A$2,$R$2-($Q$2+A26))*POWER(1+$C$2,$S$2-$R$2))*MAX(Dashboard!$C$18,Dashboard!$B$18)))))</f>
        <v>753.06463433051272</v>
      </c>
    </row>
    <row r="27" spans="1:14" x14ac:dyDescent="0.2">
      <c r="A27" s="22">
        <f t="shared" si="8"/>
        <v>22</v>
      </c>
      <c r="B27" s="23">
        <f t="shared" si="9"/>
        <v>19.888127853881251</v>
      </c>
      <c r="C27" t="str">
        <f t="shared" si="0"/>
        <v>19 y 10.66 m</v>
      </c>
      <c r="D27" s="24">
        <f>IF(A27&gt;=$E$2,IF(A27&lt;$E$2+$H$2,$P$2,0),IF(B27&lt;Dashboard!$I$6,0,IF(A27&gt;=$F$2,Dashboard!$C$22*POWER(1+$C$2,A27-$F$2),Dashboard!$C$22)))</f>
        <v>0</v>
      </c>
      <c r="E27" s="24">
        <f>IF(A27&gt;=$F$2,0,IF(A27=0,Dashboard!$G$10,IF(B27&lt;Dashboard!$I$6,IF($J$2&lt;=Dashboard!$H$10,Dashboard!$H$10,MAX(Dashboard!$H$10,MIN($J$2,Dashboard!$H$10*POWER($J$2/Dashboard!$H$10,A27/$D$2)))),$I$2-D27-Dashboard!$I$10-Dashboard!$J$10-Dashboard!$F$10*$I$2)))</f>
        <v>581.14013722342133</v>
      </c>
      <c r="F27" s="24">
        <f t="shared" si="1"/>
        <v>0</v>
      </c>
      <c r="G27" s="24">
        <f t="shared" si="2"/>
        <v>0</v>
      </c>
      <c r="H27" s="24">
        <f t="shared" si="3"/>
        <v>0</v>
      </c>
      <c r="I27" s="24">
        <f t="shared" si="4"/>
        <v>581.14013722342133</v>
      </c>
      <c r="J27" s="25">
        <f t="shared" si="5"/>
        <v>7.9741404289037643E-3</v>
      </c>
      <c r="K27" s="24">
        <f t="shared" si="10"/>
        <v>133080.76751025851</v>
      </c>
      <c r="L27" s="24" t="str">
        <f t="shared" si="6"/>
        <v/>
      </c>
      <c r="M27" s="24">
        <f t="shared" si="7"/>
        <v>2446.9243311552123</v>
      </c>
      <c r="N27" s="24">
        <f>IF(M27&lt;=0,0,IF($E$2-A27&lt;12,(M27-E27)*Dashboard!$B$18,IF($Q$2+A27&gt;=$R$2,MAX(0,M27-E27*POWER(1+$C$2,$E$2-A27))*MAX(Dashboard!$C$18,Dashboard!$B$18),IF($S$2&lt;$R$2,(M27-E27)*0.5*Dashboard!$B$18,(E27*POWER(1+$A$2,$R$2-($Q$2+A27))-E27)*0.5*Dashboard!$B$18+MAX(0,M27-E27*POWER(1+$A$2,$R$2-($Q$2+A27))*POWER(1+$C$2,$S$2-$R$2))*MAX(Dashboard!$C$18,Dashboard!$B$18)))))</f>
        <v>751.15114186802919</v>
      </c>
    </row>
    <row r="28" spans="1:14" x14ac:dyDescent="0.2">
      <c r="A28" s="22">
        <f t="shared" si="8"/>
        <v>23</v>
      </c>
      <c r="B28" s="23">
        <f t="shared" si="9"/>
        <v>19.971461187214583</v>
      </c>
      <c r="C28" t="str">
        <f t="shared" si="0"/>
        <v>19 y 11.66 m</v>
      </c>
      <c r="D28" s="24">
        <f>IF(A28&gt;=$E$2,IF(A28&lt;$E$2+$H$2,$P$2,0),IF(B28&lt;Dashboard!$I$6,0,IF(A28&gt;=$F$2,Dashboard!$C$22*POWER(1+$C$2,A28-$F$2),Dashboard!$C$22)))</f>
        <v>0</v>
      </c>
      <c r="E28" s="24">
        <f>IF(A28&gt;=$F$2,0,IF(A28=0,Dashboard!$G$10,IF(B28&lt;Dashboard!$I$6,IF($J$2&lt;=Dashboard!$H$10,Dashboard!$H$10,MAX(Dashboard!$H$10,MIN($J$2,Dashboard!$H$10*POWER($J$2/Dashboard!$H$10,A28/$D$2)))),$I$2-D28-Dashboard!$I$10-Dashboard!$J$10-Dashboard!$F$10*$I$2)))</f>
        <v>585.12620348422467</v>
      </c>
      <c r="F28" s="24">
        <f t="shared" si="1"/>
        <v>0</v>
      </c>
      <c r="G28" s="24">
        <f t="shared" si="2"/>
        <v>0</v>
      </c>
      <c r="H28" s="24">
        <f t="shared" si="3"/>
        <v>0</v>
      </c>
      <c r="I28" s="24">
        <f t="shared" si="4"/>
        <v>585.12620348422467</v>
      </c>
      <c r="J28" s="25">
        <f t="shared" si="5"/>
        <v>7.9741404289037643E-3</v>
      </c>
      <c r="K28" s="24">
        <f t="shared" si="10"/>
        <v>134731.76432077104</v>
      </c>
      <c r="L28" s="24" t="str">
        <f t="shared" si="6"/>
        <v/>
      </c>
      <c r="M28" s="24">
        <f t="shared" si="7"/>
        <v>2444.2173623816193</v>
      </c>
      <c r="N28" s="24">
        <f>IF(M28&lt;=0,0,IF($E$2-A28&lt;12,(M28-E28)*Dashboard!$B$18,IF($Q$2+A28&gt;=$R$2,MAX(0,M28-E28*POWER(1+$C$2,$E$2-A28))*MAX(Dashboard!$C$18,Dashboard!$B$18),IF($S$2&lt;$R$2,(M28-E28)*0.5*Dashboard!$B$18,(E28*POWER(1+$A$2,$R$2-($Q$2+A28))-E28)*0.5*Dashboard!$B$18+MAX(0,M28-E28*POWER(1+$A$2,$R$2-($Q$2+A28))*POWER(1+$C$2,$S$2-$R$2))*MAX(Dashboard!$C$18,Dashboard!$B$18)))))</f>
        <v>749.23235576354068</v>
      </c>
    </row>
    <row r="29" spans="1:14" x14ac:dyDescent="0.2">
      <c r="A29" s="22">
        <f t="shared" si="8"/>
        <v>24</v>
      </c>
      <c r="B29" s="23">
        <f t="shared" si="9"/>
        <v>20.054794520547915</v>
      </c>
      <c r="C29" t="str">
        <f t="shared" si="0"/>
        <v>20 y 0.66 m</v>
      </c>
      <c r="D29" s="24">
        <f>IF(A29&gt;=$E$2,IF(A29&lt;$E$2+$H$2,$P$2,0),IF(B29&lt;Dashboard!$I$6,0,IF(A29&gt;=$F$2,Dashboard!$C$22*POWER(1+$C$2,A29-$F$2),Dashboard!$C$22)))</f>
        <v>0</v>
      </c>
      <c r="E29" s="24">
        <f>IF(A29&gt;=$F$2,0,IF(A29=0,Dashboard!$G$10,IF(B29&lt;Dashboard!$I$6,IF($J$2&lt;=Dashboard!$H$10,Dashboard!$H$10,MAX(Dashboard!$H$10,MIN($J$2,Dashboard!$H$10*POWER($J$2/Dashboard!$H$10,A29/$D$2)))),$I$2-D29-Dashboard!$I$10-Dashboard!$J$10-Dashboard!$F$10*$I$2)))</f>
        <v>589.13961035225509</v>
      </c>
      <c r="F29" s="24">
        <f t="shared" si="1"/>
        <v>0</v>
      </c>
      <c r="G29" s="24">
        <f t="shared" si="2"/>
        <v>0</v>
      </c>
      <c r="H29" s="24">
        <f t="shared" si="3"/>
        <v>0</v>
      </c>
      <c r="I29" s="24">
        <f t="shared" si="4"/>
        <v>589.13961035225509</v>
      </c>
      <c r="J29" s="25">
        <f t="shared" si="5"/>
        <v>7.9741404289037643E-3</v>
      </c>
      <c r="K29" s="24">
        <f t="shared" si="10"/>
        <v>136399.97182203626</v>
      </c>
      <c r="L29" s="24" t="str">
        <f t="shared" si="6"/>
        <v/>
      </c>
      <c r="M29" s="24">
        <f t="shared" si="7"/>
        <v>2441.5133882572077</v>
      </c>
      <c r="N29" s="24">
        <f>IF(M29&lt;=0,0,IF($E$2-A29&lt;12,(M29-E29)*Dashboard!$B$18,IF($Q$2+A29&gt;=$R$2,MAX(0,M29-E29*POWER(1+$C$2,$E$2-A29))*MAX(Dashboard!$C$18,Dashboard!$B$18),IF($S$2&lt;$R$2,(M29-E29)*0.5*Dashboard!$B$18,(E29*POWER(1+$A$2,$R$2-($Q$2+A29))-E29)*0.5*Dashboard!$B$18+MAX(0,M29-E29*POWER(1+$A$2,$R$2-($Q$2+A29))*POWER(1+$C$2,$S$2-$R$2))*MAX(Dashboard!$C$18,Dashboard!$B$18)))))</f>
        <v>747.30823104439116</v>
      </c>
    </row>
    <row r="30" spans="1:14" x14ac:dyDescent="0.2">
      <c r="A30" s="22">
        <f t="shared" si="8"/>
        <v>25</v>
      </c>
      <c r="B30" s="23">
        <f t="shared" si="9"/>
        <v>20.138127853881247</v>
      </c>
      <c r="C30" t="str">
        <f t="shared" si="0"/>
        <v>20 y 1.66 m</v>
      </c>
      <c r="D30" s="24">
        <f>IF(A30&gt;=$E$2,IF(A30&lt;$E$2+$H$2,$P$2,0),IF(B30&lt;Dashboard!$I$6,0,IF(A30&gt;=$F$2,Dashboard!$C$22*POWER(1+$C$2,A30-$F$2),Dashboard!$C$22)))</f>
        <v>0</v>
      </c>
      <c r="E30" s="24">
        <f>IF(A30&gt;=$F$2,0,IF(A30=0,Dashboard!$G$10,IF(B30&lt;Dashboard!$I$6,IF($J$2&lt;=Dashboard!$H$10,Dashboard!$H$10,MAX(Dashboard!$H$10,MIN($J$2,Dashboard!$H$10*POWER($J$2/Dashboard!$H$10,A30/$D$2)))),$I$2-D30-Dashboard!$I$10-Dashboard!$J$10-Dashboard!$F$10*$I$2)))</f>
        <v>593.18054535796307</v>
      </c>
      <c r="F30" s="24">
        <f t="shared" si="1"/>
        <v>0</v>
      </c>
      <c r="G30" s="24">
        <f t="shared" si="2"/>
        <v>0</v>
      </c>
      <c r="H30" s="24">
        <f t="shared" si="3"/>
        <v>0</v>
      </c>
      <c r="I30" s="24">
        <f t="shared" si="4"/>
        <v>593.18054535796307</v>
      </c>
      <c r="J30" s="25">
        <f t="shared" si="5"/>
        <v>7.9741404289037643E-3</v>
      </c>
      <c r="K30" s="24">
        <f t="shared" si="10"/>
        <v>138085.55500217003</v>
      </c>
      <c r="L30" s="24" t="str">
        <f t="shared" si="6"/>
        <v/>
      </c>
      <c r="M30" s="24">
        <f t="shared" si="7"/>
        <v>2438.8124054690738</v>
      </c>
      <c r="N30" s="24">
        <f>IF(M30&lt;=0,0,IF($E$2-A30&lt;12,(M30-E30)*Dashboard!$B$18,IF($Q$2+A30&gt;=$R$2,MAX(0,M30-E30*POWER(1+$C$2,$E$2-A30))*MAX(Dashboard!$C$18,Dashboard!$B$18),IF($S$2&lt;$R$2,(M30-E30)*0.5*Dashboard!$B$18,(E30*POWER(1+$A$2,$R$2-($Q$2+A30))-E30)*0.5*Dashboard!$B$18+MAX(0,M30-E30*POWER(1+$A$2,$R$2-($Q$2+A30))*POWER(1+$C$2,$S$2-$R$2))*MAX(Dashboard!$C$18,Dashboard!$B$18)))))</f>
        <v>744.12205927932564</v>
      </c>
    </row>
    <row r="31" spans="1:14" x14ac:dyDescent="0.2">
      <c r="A31" s="22">
        <f t="shared" si="8"/>
        <v>26</v>
      </c>
      <c r="B31" s="23">
        <f t="shared" si="9"/>
        <v>20.22146118721458</v>
      </c>
      <c r="C31" t="str">
        <f t="shared" si="0"/>
        <v>20 y 2.66 m</v>
      </c>
      <c r="D31" s="24">
        <f>IF(A31&gt;=$E$2,IF(A31&lt;$E$2+$H$2,$P$2,0),IF(B31&lt;Dashboard!$I$6,0,IF(A31&gt;=$F$2,Dashboard!$C$22*POWER(1+$C$2,A31-$F$2),Dashboard!$C$22)))</f>
        <v>0</v>
      </c>
      <c r="E31" s="24">
        <f>IF(A31&gt;=$F$2,0,IF(A31=0,Dashboard!$G$10,IF(B31&lt;Dashboard!$I$6,IF($J$2&lt;=Dashboard!$H$10,Dashboard!$H$10,MAX(Dashboard!$H$10,MIN($J$2,Dashboard!$H$10*POWER($J$2/Dashboard!$H$10,A31/$D$2)))),$I$2-D31-Dashboard!$I$10-Dashboard!$J$10-Dashboard!$F$10*$I$2)))</f>
        <v>597.2491973180795</v>
      </c>
      <c r="F31" s="24">
        <f t="shared" si="1"/>
        <v>0</v>
      </c>
      <c r="G31" s="24">
        <f t="shared" si="2"/>
        <v>0</v>
      </c>
      <c r="H31" s="24">
        <f t="shared" si="3"/>
        <v>0</v>
      </c>
      <c r="I31" s="24">
        <f t="shared" si="4"/>
        <v>597.2491973180795</v>
      </c>
      <c r="J31" s="25">
        <f t="shared" si="5"/>
        <v>7.9741404289037643E-3</v>
      </c>
      <c r="K31" s="24">
        <f t="shared" si="10"/>
        <v>139788.680355249</v>
      </c>
      <c r="L31" s="24" t="str">
        <f t="shared" si="6"/>
        <v/>
      </c>
      <c r="M31" s="24">
        <f t="shared" si="7"/>
        <v>2436.1144107079785</v>
      </c>
      <c r="N31" s="24">
        <f>IF(M31&lt;=0,0,IF($E$2-A31&lt;12,(M31-E31)*Dashboard!$B$18,IF($Q$2+A31&gt;=$R$2,MAX(0,M31-E31*POWER(1+$C$2,$E$2-A31))*MAX(Dashboard!$C$18,Dashboard!$B$18),IF($S$2&lt;$R$2,(M31-E31)*0.5*Dashboard!$B$18,(E31*POWER(1+$A$2,$R$2-($Q$2+A31))-E31)*0.5*Dashboard!$B$18+MAX(0,M31-E31*POWER(1+$A$2,$R$2-($Q$2+A31))*POWER(1+$C$2,$S$2-$R$2))*MAX(Dashboard!$C$18,Dashboard!$B$18)))))</f>
        <v>740.92811210545017</v>
      </c>
    </row>
    <row r="32" spans="1:14" x14ac:dyDescent="0.2">
      <c r="A32" s="22">
        <f t="shared" si="8"/>
        <v>27</v>
      </c>
      <c r="B32" s="23">
        <f t="shared" si="9"/>
        <v>20.304794520547912</v>
      </c>
      <c r="C32" t="str">
        <f t="shared" si="0"/>
        <v>20 y 3.66 m</v>
      </c>
      <c r="D32" s="24">
        <f>IF(A32&gt;=$E$2,IF(A32&lt;$E$2+$H$2,$P$2,0),IF(B32&lt;Dashboard!$I$6,0,IF(A32&gt;=$F$2,Dashboard!$C$22*POWER(1+$C$2,A32-$F$2),Dashboard!$C$22)))</f>
        <v>0</v>
      </c>
      <c r="E32" s="24">
        <f>IF(A32&gt;=$F$2,0,IF(A32=0,Dashboard!$G$10,IF(B32&lt;Dashboard!$I$6,IF($J$2&lt;=Dashboard!$H$10,Dashboard!$H$10,MAX(Dashboard!$H$10,MIN($J$2,Dashboard!$H$10*POWER($J$2/Dashboard!$H$10,A32/$D$2)))),$I$2-D32-Dashboard!$I$10-Dashboard!$J$10-Dashboard!$F$10*$I$2)))</f>
        <v>601.34575634443752</v>
      </c>
      <c r="F32" s="24">
        <f t="shared" si="1"/>
        <v>0</v>
      </c>
      <c r="G32" s="24">
        <f t="shared" si="2"/>
        <v>0</v>
      </c>
      <c r="H32" s="24">
        <f t="shared" si="3"/>
        <v>0</v>
      </c>
      <c r="I32" s="24">
        <f t="shared" si="4"/>
        <v>601.34575634443752</v>
      </c>
      <c r="J32" s="25">
        <f t="shared" si="5"/>
        <v>7.9741404289037643E-3</v>
      </c>
      <c r="K32" s="24">
        <f t="shared" si="10"/>
        <v>141509.51589462475</v>
      </c>
      <c r="L32" s="24" t="str">
        <f t="shared" si="6"/>
        <v/>
      </c>
      <c r="M32" s="24">
        <f t="shared" si="7"/>
        <v>2433.4194006683456</v>
      </c>
      <c r="N32" s="24">
        <f>IF(M32&lt;=0,0,IF($E$2-A32&lt;12,(M32-E32)*Dashboard!$B$18,IF($Q$2+A32&gt;=$R$2,MAX(0,M32-E32*POWER(1+$C$2,$E$2-A32))*MAX(Dashboard!$C$18,Dashboard!$B$18),IF($S$2&lt;$R$2,(M32-E32)*0.5*Dashboard!$B$18,(E32*POWER(1+$A$2,$R$2-($Q$2+A32))-E32)*0.5*Dashboard!$B$18+MAX(0,M32-E32*POWER(1+$A$2,$R$2-($Q$2+A32))*POWER(1+$C$2,$S$2-$R$2))*MAX(Dashboard!$C$18,Dashboard!$B$18)))))</f>
        <v>737.72634400401864</v>
      </c>
    </row>
    <row r="33" spans="1:14" x14ac:dyDescent="0.2">
      <c r="A33" s="22">
        <f t="shared" si="8"/>
        <v>28</v>
      </c>
      <c r="B33" s="23">
        <f t="shared" si="9"/>
        <v>20.388127853881244</v>
      </c>
      <c r="C33" t="str">
        <f t="shared" si="0"/>
        <v>20 y 4.66 m</v>
      </c>
      <c r="D33" s="24">
        <f>IF(A33&gt;=$E$2,IF(A33&lt;$E$2+$H$2,$P$2,0),IF(B33&lt;Dashboard!$I$6,0,IF(A33&gt;=$F$2,Dashboard!$C$22*POWER(1+$C$2,A33-$F$2),Dashboard!$C$22)))</f>
        <v>0</v>
      </c>
      <c r="E33" s="24">
        <f>IF(A33&gt;=$F$2,0,IF(A33=0,Dashboard!$G$10,IF(B33&lt;Dashboard!$I$6,IF($J$2&lt;=Dashboard!$H$10,Dashboard!$H$10,MAX(Dashboard!$H$10,MIN($J$2,Dashboard!$H$10*POWER($J$2/Dashboard!$H$10,A33/$D$2)))),$I$2-D33-Dashboard!$I$10-Dashboard!$J$10-Dashboard!$F$10*$I$2)))</f>
        <v>605.47041385285604</v>
      </c>
      <c r="F33" s="24">
        <f t="shared" si="1"/>
        <v>0</v>
      </c>
      <c r="G33" s="24">
        <f t="shared" si="2"/>
        <v>0</v>
      </c>
      <c r="H33" s="24">
        <f t="shared" si="3"/>
        <v>0</v>
      </c>
      <c r="I33" s="24">
        <f t="shared" si="4"/>
        <v>605.47041385285604</v>
      </c>
      <c r="J33" s="25">
        <f t="shared" si="5"/>
        <v>7.9741404289037643E-3</v>
      </c>
      <c r="K33" s="24">
        <f t="shared" si="10"/>
        <v>143248.23116635316</v>
      </c>
      <c r="L33" s="24" t="str">
        <f t="shared" si="6"/>
        <v/>
      </c>
      <c r="M33" s="24">
        <f t="shared" si="7"/>
        <v>2430.7273720482567</v>
      </c>
      <c r="N33" s="24">
        <f>IF(M33&lt;=0,0,IF($E$2-A33&lt;12,(M33-E33)*Dashboard!$B$18,IF($Q$2+A33&gt;=$R$2,MAX(0,M33-E33*POWER(1+$C$2,$E$2-A33))*MAX(Dashboard!$C$18,Dashboard!$B$18),IF($S$2&lt;$R$2,(M33-E33)*0.5*Dashboard!$B$18,(E33*POWER(1+$A$2,$R$2-($Q$2+A33))-E33)*0.5*Dashboard!$B$18+MAX(0,M33-E33*POWER(1+$A$2,$R$2-($Q$2+A33))*POWER(1+$C$2,$S$2-$R$2))*MAX(Dashboard!$C$18,Dashboard!$B$18)))))</f>
        <v>734.5167092474403</v>
      </c>
    </row>
    <row r="34" spans="1:14" x14ac:dyDescent="0.2">
      <c r="A34" s="22">
        <f t="shared" si="8"/>
        <v>29</v>
      </c>
      <c r="B34" s="23">
        <f t="shared" si="9"/>
        <v>20.471461187214576</v>
      </c>
      <c r="C34" t="str">
        <f t="shared" si="0"/>
        <v>20 y 5.66 m</v>
      </c>
      <c r="D34" s="24">
        <f>IF(A34&gt;=$E$2,IF(A34&lt;$E$2+$H$2,$P$2,0),IF(B34&lt;Dashboard!$I$6,0,IF(A34&gt;=$F$2,Dashboard!$C$22*POWER(1+$C$2,A34-$F$2),Dashboard!$C$22)))</f>
        <v>0</v>
      </c>
      <c r="E34" s="24">
        <f>IF(A34&gt;=$F$2,0,IF(A34=0,Dashboard!$G$10,IF(B34&lt;Dashboard!$I$6,IF($J$2&lt;=Dashboard!$H$10,Dashboard!$H$10,MAX(Dashboard!$H$10,MIN($J$2,Dashboard!$H$10*POWER($J$2/Dashboard!$H$10,A34/$D$2)))),$I$2-D34-Dashboard!$I$10-Dashboard!$J$10-Dashboard!$F$10*$I$2)))</f>
        <v>609.62336257208335</v>
      </c>
      <c r="F34" s="24">
        <f t="shared" si="1"/>
        <v>0</v>
      </c>
      <c r="G34" s="24">
        <f t="shared" si="2"/>
        <v>0</v>
      </c>
      <c r="H34" s="24">
        <f t="shared" si="3"/>
        <v>0</v>
      </c>
      <c r="I34" s="24">
        <f t="shared" si="4"/>
        <v>609.62336257208335</v>
      </c>
      <c r="J34" s="25">
        <f t="shared" si="5"/>
        <v>7.9741404289037643E-3</v>
      </c>
      <c r="K34" s="24">
        <f t="shared" si="10"/>
        <v>145004.99726273969</v>
      </c>
      <c r="L34" s="24" t="str">
        <f t="shared" si="6"/>
        <v/>
      </c>
      <c r="M34" s="24">
        <f t="shared" si="7"/>
        <v>2428.0383215494444</v>
      </c>
      <c r="N34" s="24">
        <f>IF(M34&lt;=0,0,IF($E$2-A34&lt;12,(M34-E34)*Dashboard!$B$18,IF($Q$2+A34&gt;=$R$2,MAX(0,M34-E34*POWER(1+$C$2,$E$2-A34))*MAX(Dashboard!$C$18,Dashboard!$B$18),IF($S$2&lt;$R$2,(M34-E34)*0.5*Dashboard!$B$18,(E34*POWER(1+$A$2,$R$2-($Q$2+A34))-E34)*0.5*Dashboard!$B$18+MAX(0,M34-E34*POWER(1+$A$2,$R$2-($Q$2+A34))*POWER(1+$C$2,$S$2-$R$2))*MAX(Dashboard!$C$18,Dashboard!$B$18)))))</f>
        <v>731.29916189826724</v>
      </c>
    </row>
    <row r="35" spans="1:14" x14ac:dyDescent="0.2">
      <c r="A35" s="22">
        <f t="shared" si="8"/>
        <v>30</v>
      </c>
      <c r="B35" s="23">
        <f t="shared" si="9"/>
        <v>20.554794520547908</v>
      </c>
      <c r="C35" t="str">
        <f t="shared" si="0"/>
        <v>20 y 6.66 m</v>
      </c>
      <c r="D35" s="24">
        <f>IF(A35&gt;=$E$2,IF(A35&lt;$E$2+$H$2,$P$2,0),IF(B35&lt;Dashboard!$I$6,0,IF(A35&gt;=$F$2,Dashboard!$C$22*POWER(1+$C$2,A35-$F$2),Dashboard!$C$22)))</f>
        <v>0</v>
      </c>
      <c r="E35" s="24">
        <f>IF(A35&gt;=$F$2,0,IF(A35=0,Dashboard!$G$10,IF(B35&lt;Dashboard!$I$6,IF($J$2&lt;=Dashboard!$H$10,Dashboard!$H$10,MAX(Dashboard!$H$10,MIN($J$2,Dashboard!$H$10*POWER($J$2/Dashboard!$H$10,A35/$D$2)))),$I$2-D35-Dashboard!$I$10-Dashboard!$J$10-Dashboard!$F$10*$I$2)))</f>
        <v>613.80479655280317</v>
      </c>
      <c r="F35" s="24">
        <f t="shared" si="1"/>
        <v>0</v>
      </c>
      <c r="G35" s="24">
        <f t="shared" si="2"/>
        <v>0</v>
      </c>
      <c r="H35" s="24">
        <f t="shared" si="3"/>
        <v>0</v>
      </c>
      <c r="I35" s="24">
        <f t="shared" si="4"/>
        <v>613.80479655280317</v>
      </c>
      <c r="J35" s="25">
        <f t="shared" si="5"/>
        <v>7.9741404289037643E-3</v>
      </c>
      <c r="K35" s="24">
        <f t="shared" si="10"/>
        <v>146779.98683600203</v>
      </c>
      <c r="L35" s="24" t="str">
        <f t="shared" si="6"/>
        <v/>
      </c>
      <c r="M35" s="24">
        <f t="shared" si="7"/>
        <v>2425.3522458772904</v>
      </c>
      <c r="N35" s="24">
        <f>IF(M35&lt;=0,0,IF($E$2-A35&lt;12,(M35-E35)*Dashboard!$B$18,IF($Q$2+A35&gt;=$R$2,MAX(0,M35-E35*POWER(1+$C$2,$E$2-A35))*MAX(Dashboard!$C$18,Dashboard!$B$18),IF($S$2&lt;$R$2,(M35-E35)*0.5*Dashboard!$B$18,(E35*POWER(1+$A$2,$R$2-($Q$2+A35))-E35)*0.5*Dashboard!$B$18+MAX(0,M35-E35*POWER(1+$A$2,$R$2-($Q$2+A35))*POWER(1+$C$2,$S$2-$R$2))*MAX(Dashboard!$C$18,Dashboard!$B$18)))))</f>
        <v>728.0736558081818</v>
      </c>
    </row>
    <row r="36" spans="1:14" x14ac:dyDescent="0.2">
      <c r="A36" s="22">
        <f t="shared" si="8"/>
        <v>31</v>
      </c>
      <c r="B36" s="23">
        <f t="shared" si="9"/>
        <v>20.63812785388124</v>
      </c>
      <c r="C36" t="str">
        <f t="shared" si="0"/>
        <v>20 y 7.66 m</v>
      </c>
      <c r="D36" s="24">
        <f>IF(A36&gt;=$E$2,IF(A36&lt;$E$2+$H$2,$P$2,0),IF(B36&lt;Dashboard!$I$6,0,IF(A36&gt;=$F$2,Dashboard!$C$22*POWER(1+$C$2,A36-$F$2),Dashboard!$C$22)))</f>
        <v>0</v>
      </c>
      <c r="E36" s="24">
        <f>IF(A36&gt;=$F$2,0,IF(A36=0,Dashboard!$G$10,IF(B36&lt;Dashboard!$I$6,IF($J$2&lt;=Dashboard!$H$10,Dashboard!$H$10,MAX(Dashboard!$H$10,MIN($J$2,Dashboard!$H$10*POWER($J$2/Dashboard!$H$10,A36/$D$2)))),$I$2-D36-Dashboard!$I$10-Dashboard!$J$10-Dashboard!$F$10*$I$2)))</f>
        <v>618.01491117670128</v>
      </c>
      <c r="F36" s="24">
        <f t="shared" si="1"/>
        <v>0</v>
      </c>
      <c r="G36" s="24">
        <f t="shared" si="2"/>
        <v>0</v>
      </c>
      <c r="H36" s="24">
        <f t="shared" si="3"/>
        <v>0</v>
      </c>
      <c r="I36" s="24">
        <f t="shared" si="4"/>
        <v>618.01491117670128</v>
      </c>
      <c r="J36" s="25">
        <f t="shared" si="5"/>
        <v>7.9741404289037643E-3</v>
      </c>
      <c r="K36" s="24">
        <f t="shared" si="10"/>
        <v>148573.37411205054</v>
      </c>
      <c r="L36" s="24" t="str">
        <f t="shared" si="6"/>
        <v/>
      </c>
      <c r="M36" s="24">
        <f t="shared" si="7"/>
        <v>2422.669141740821</v>
      </c>
      <c r="N36" s="24">
        <f>IF(M36&lt;=0,0,IF($E$2-A36&lt;12,(M36-E36)*Dashboard!$B$18,IF($Q$2+A36&gt;=$R$2,MAX(0,M36-E36*POWER(1+$C$2,$E$2-A36))*MAX(Dashboard!$C$18,Dashboard!$B$18),IF($S$2&lt;$R$2,(M36-E36)*0.5*Dashboard!$B$18,(E36*POWER(1+$A$2,$R$2-($Q$2+A36))-E36)*0.5*Dashboard!$B$18+MAX(0,M36-E36*POWER(1+$A$2,$R$2-($Q$2+A36))*POWER(1+$C$2,$S$2-$R$2))*MAX(Dashboard!$C$18,Dashboard!$B$18)))))</f>
        <v>724.84014461697438</v>
      </c>
    </row>
    <row r="37" spans="1:14" x14ac:dyDescent="0.2">
      <c r="A37" s="22">
        <f t="shared" si="8"/>
        <v>32</v>
      </c>
      <c r="B37" s="23">
        <f t="shared" si="9"/>
        <v>20.721461187214572</v>
      </c>
      <c r="C37" t="str">
        <f t="shared" si="0"/>
        <v>20 y 8.66 m</v>
      </c>
      <c r="D37" s="24">
        <f>IF(A37&gt;=$E$2,IF(A37&lt;$E$2+$H$2,$P$2,0),IF(B37&lt;Dashboard!$I$6,0,IF(A37&gt;=$F$2,Dashboard!$C$22*POWER(1+$C$2,A37-$F$2),Dashboard!$C$22)))</f>
        <v>0</v>
      </c>
      <c r="E37" s="24">
        <f>IF(A37&gt;=$F$2,0,IF(A37=0,Dashboard!$G$10,IF(B37&lt;Dashboard!$I$6,IF($J$2&lt;=Dashboard!$H$10,Dashboard!$H$10,MAX(Dashboard!$H$10,MIN($J$2,Dashboard!$H$10*POWER($J$2/Dashboard!$H$10,A37/$D$2)))),$I$2-D37-Dashboard!$I$10-Dashboard!$J$10-Dashboard!$F$10*$I$2)))</f>
        <v>622.25390316559549</v>
      </c>
      <c r="F37" s="24">
        <f t="shared" si="1"/>
        <v>0</v>
      </c>
      <c r="G37" s="24">
        <f t="shared" si="2"/>
        <v>0</v>
      </c>
      <c r="H37" s="24">
        <f t="shared" si="3"/>
        <v>0</v>
      </c>
      <c r="I37" s="24">
        <f t="shared" si="4"/>
        <v>622.25390316559549</v>
      </c>
      <c r="J37" s="25">
        <f t="shared" si="5"/>
        <v>7.9741404289037643E-3</v>
      </c>
      <c r="K37" s="24">
        <f t="shared" si="10"/>
        <v>150385.33490438797</v>
      </c>
      <c r="L37" s="24" t="str">
        <f t="shared" si="6"/>
        <v/>
      </c>
      <c r="M37" s="24">
        <f t="shared" si="7"/>
        <v>2419.9890058527035</v>
      </c>
      <c r="N37" s="24">
        <f>IF(M37&lt;=0,0,IF($E$2-A37&lt;12,(M37-E37)*Dashboard!$B$18,IF($Q$2+A37&gt;=$R$2,MAX(0,M37-E37*POWER(1+$C$2,$E$2-A37))*MAX(Dashboard!$C$18,Dashboard!$B$18),IF($S$2&lt;$R$2,(M37-E37)*0.5*Dashboard!$B$18,(E37*POWER(1+$A$2,$R$2-($Q$2+A37))-E37)*0.5*Dashboard!$B$18+MAX(0,M37-E37*POWER(1+$A$2,$R$2-($Q$2+A37))*POWER(1+$C$2,$S$2-$R$2))*MAX(Dashboard!$C$18,Dashboard!$B$18)))))</f>
        <v>721.59858175151976</v>
      </c>
    </row>
    <row r="38" spans="1:14" x14ac:dyDescent="0.2">
      <c r="A38" s="22">
        <f t="shared" si="8"/>
        <v>33</v>
      </c>
      <c r="B38" s="23">
        <f t="shared" si="9"/>
        <v>20.804794520547905</v>
      </c>
      <c r="C38" t="str">
        <f t="shared" si="0"/>
        <v>20 y 9.66 m</v>
      </c>
      <c r="D38" s="24">
        <f>IF(A38&gt;=$E$2,IF(A38&lt;$E$2+$H$2,$P$2,0),IF(B38&lt;Dashboard!$I$6,0,IF(A38&gt;=$F$2,Dashboard!$C$22*POWER(1+$C$2,A38-$F$2),Dashboard!$C$22)))</f>
        <v>0</v>
      </c>
      <c r="E38" s="24">
        <f>IF(A38&gt;=$F$2,0,IF(A38=0,Dashboard!$G$10,IF(B38&lt;Dashboard!$I$6,IF($J$2&lt;=Dashboard!$H$10,Dashboard!$H$10,MAX(Dashboard!$H$10,MIN($J$2,Dashboard!$H$10*POWER($J$2/Dashboard!$H$10,A38/$D$2)))),$I$2-D38-Dashboard!$I$10-Dashboard!$J$10-Dashboard!$F$10*$I$2)))</f>
        <v>626.52197059062712</v>
      </c>
      <c r="F38" s="24">
        <f t="shared" si="1"/>
        <v>0</v>
      </c>
      <c r="G38" s="24">
        <f t="shared" si="2"/>
        <v>0</v>
      </c>
      <c r="H38" s="24">
        <f t="shared" si="3"/>
        <v>0</v>
      </c>
      <c r="I38" s="24">
        <f t="shared" si="4"/>
        <v>626.52197059062712</v>
      </c>
      <c r="J38" s="25">
        <f t="shared" si="5"/>
        <v>7.9741404289037643E-3</v>
      </c>
      <c r="K38" s="24">
        <f t="shared" si="10"/>
        <v>152216.0466281292</v>
      </c>
      <c r="L38" s="24" t="str">
        <f t="shared" si="6"/>
        <v/>
      </c>
      <c r="M38" s="24">
        <f t="shared" si="7"/>
        <v>2417.3118349292422</v>
      </c>
      <c r="N38" s="24">
        <f>IF(M38&lt;=0,0,IF($E$2-A38&lt;12,(M38-E38)*Dashboard!$B$18,IF($Q$2+A38&gt;=$R$2,MAX(0,M38-E38*POWER(1+$C$2,$E$2-A38))*MAX(Dashboard!$C$18,Dashboard!$B$18),IF($S$2&lt;$R$2,(M38-E38)*0.5*Dashboard!$B$18,(E38*POWER(1+$A$2,$R$2-($Q$2+A38))-E38)*0.5*Dashboard!$B$18+MAX(0,M38-E38*POWER(1+$A$2,$R$2-($Q$2+A38))*POWER(1+$C$2,$S$2-$R$2))*MAX(Dashboard!$C$18,Dashboard!$B$18)))))</f>
        <v>718.3489204247478</v>
      </c>
    </row>
    <row r="39" spans="1:14" x14ac:dyDescent="0.2">
      <c r="A39" s="22">
        <f t="shared" si="8"/>
        <v>34</v>
      </c>
      <c r="B39" s="23">
        <f t="shared" si="9"/>
        <v>20.888127853881237</v>
      </c>
      <c r="C39" t="str">
        <f t="shared" si="0"/>
        <v>20 y 10.66 m</v>
      </c>
      <c r="D39" s="24">
        <f>IF(A39&gt;=$E$2,IF(A39&lt;$E$2+$H$2,$P$2,0),IF(B39&lt;Dashboard!$I$6,0,IF(A39&gt;=$F$2,Dashboard!$C$22*POWER(1+$C$2,A39-$F$2),Dashboard!$C$22)))</f>
        <v>0</v>
      </c>
      <c r="E39" s="24">
        <f>IF(A39&gt;=$F$2,0,IF(A39=0,Dashboard!$G$10,IF(B39&lt;Dashboard!$I$6,IF($J$2&lt;=Dashboard!$H$10,Dashboard!$H$10,MAX(Dashboard!$H$10,MIN($J$2,Dashboard!$H$10*POWER($J$2/Dashboard!$H$10,A39/$D$2)))),$I$2-D39-Dashboard!$I$10-Dashboard!$J$10-Dashboard!$F$10*$I$2)))</f>
        <v>630.81931288151634</v>
      </c>
      <c r="F39" s="24">
        <f t="shared" si="1"/>
        <v>0</v>
      </c>
      <c r="G39" s="24">
        <f t="shared" si="2"/>
        <v>0</v>
      </c>
      <c r="H39" s="24">
        <f t="shared" si="3"/>
        <v>0</v>
      </c>
      <c r="I39" s="24">
        <f t="shared" si="4"/>
        <v>630.81931288151634</v>
      </c>
      <c r="J39" s="25">
        <f t="shared" si="5"/>
        <v>7.9741404289037643E-3</v>
      </c>
      <c r="K39" s="24">
        <f t="shared" si="10"/>
        <v>154065.68831414214</v>
      </c>
      <c r="L39" s="24" t="str">
        <f t="shared" si="6"/>
        <v/>
      </c>
      <c r="M39" s="24">
        <f t="shared" si="7"/>
        <v>2414.6376256903736</v>
      </c>
      <c r="N39" s="24">
        <f>IF(M39&lt;=0,0,IF($E$2-A39&lt;12,(M39-E39)*Dashboard!$B$18,IF($Q$2+A39&gt;=$R$2,MAX(0,M39-E39*POWER(1+$C$2,$E$2-A39))*MAX(Dashboard!$C$18,Dashboard!$B$18),IF($S$2&lt;$R$2,(M39-E39)*0.5*Dashboard!$B$18,(E39*POWER(1+$A$2,$R$2-($Q$2+A39))-E39)*0.5*Dashboard!$B$18+MAX(0,M39-E39*POWER(1+$A$2,$R$2-($Q$2+A39))*POWER(1+$C$2,$S$2-$R$2))*MAX(Dashboard!$C$18,Dashboard!$B$18)))))</f>
        <v>715.09111363460727</v>
      </c>
    </row>
    <row r="40" spans="1:14" x14ac:dyDescent="0.2">
      <c r="A40" s="22">
        <f t="shared" si="8"/>
        <v>35</v>
      </c>
      <c r="B40" s="23">
        <f t="shared" si="9"/>
        <v>20.971461187214569</v>
      </c>
      <c r="C40" t="str">
        <f t="shared" si="0"/>
        <v>20 y 11.66 m</v>
      </c>
      <c r="D40" s="24">
        <f>IF(A40&gt;=$E$2,IF(A40&lt;$E$2+$H$2,$P$2,0),IF(B40&lt;Dashboard!$I$6,0,IF(A40&gt;=$F$2,Dashboard!$C$22*POWER(1+$C$2,A40-$F$2),Dashboard!$C$22)))</f>
        <v>0</v>
      </c>
      <c r="E40" s="24">
        <f>IF(A40&gt;=$F$2,0,IF(A40=0,Dashboard!$G$10,IF(B40&lt;Dashboard!$I$6,IF($J$2&lt;=Dashboard!$H$10,Dashboard!$H$10,MAX(Dashboard!$H$10,MIN($J$2,Dashboard!$H$10*POWER($J$2/Dashboard!$H$10,A40/$D$2)))),$I$2-D40-Dashboard!$I$10-Dashboard!$J$10-Dashboard!$F$10*$I$2)))</f>
        <v>635.14613083588108</v>
      </c>
      <c r="F40" s="24">
        <f t="shared" si="1"/>
        <v>0</v>
      </c>
      <c r="G40" s="24">
        <f t="shared" si="2"/>
        <v>0</v>
      </c>
      <c r="H40" s="24">
        <f t="shared" si="3"/>
        <v>0</v>
      </c>
      <c r="I40" s="24">
        <f t="shared" si="4"/>
        <v>635.14613083588108</v>
      </c>
      <c r="J40" s="25">
        <f t="shared" si="5"/>
        <v>7.9741404289037643E-3</v>
      </c>
      <c r="K40" s="24">
        <f t="shared" si="10"/>
        <v>155934.44062331086</v>
      </c>
      <c r="L40" s="24" t="str">
        <f t="shared" si="6"/>
        <v/>
      </c>
      <c r="M40" s="24">
        <f t="shared" si="7"/>
        <v>2411.9663748596636</v>
      </c>
      <c r="N40" s="24">
        <f>IF(M40&lt;=0,0,IF($E$2-A40&lt;12,(M40-E40)*Dashboard!$B$18,IF($Q$2+A40&gt;=$R$2,MAX(0,M40-E40*POWER(1+$C$2,$E$2-A40))*MAX(Dashboard!$C$18,Dashboard!$B$18),IF($S$2&lt;$R$2,(M40-E40)*0.5*Dashboard!$B$18,(E40*POWER(1+$A$2,$R$2-($Q$2+A40))-E40)*0.5*Dashboard!$B$18+MAX(0,M40-E40*POWER(1+$A$2,$R$2-($Q$2+A40))*POWER(1+$C$2,$S$2-$R$2))*MAX(Dashboard!$C$18,Dashboard!$B$18)))))</f>
        <v>711.82511416302691</v>
      </c>
    </row>
    <row r="41" spans="1:14" x14ac:dyDescent="0.2">
      <c r="A41" s="22">
        <f t="shared" si="8"/>
        <v>36</v>
      </c>
      <c r="B41" s="23">
        <f t="shared" si="9"/>
        <v>21.054794520547901</v>
      </c>
      <c r="C41" t="str">
        <f t="shared" si="0"/>
        <v>21 y 0.66 m</v>
      </c>
      <c r="D41" s="24">
        <f>IF(A41&gt;=$E$2,IF(A41&lt;$E$2+$H$2,$P$2,0),IF(B41&lt;Dashboard!$I$6,0,IF(A41&gt;=$F$2,Dashboard!$C$22*POWER(1+$C$2,A41-$F$2),Dashboard!$C$22)))</f>
        <v>0</v>
      </c>
      <c r="E41" s="24">
        <f>IF(A41&gt;=$F$2,0,IF(A41=0,Dashboard!$G$10,IF(B41&lt;Dashboard!$I$6,IF($J$2&lt;=Dashboard!$H$10,Dashboard!$H$10,MAX(Dashboard!$H$10,MIN($J$2,Dashboard!$H$10*POWER($J$2/Dashboard!$H$10,A41/$D$2)))),$I$2-D41-Dashboard!$I$10-Dashboard!$J$10-Dashboard!$F$10*$I$2)))</f>
        <v>639.50262662861883</v>
      </c>
      <c r="F41" s="24">
        <f t="shared" si="1"/>
        <v>0</v>
      </c>
      <c r="G41" s="24">
        <f t="shared" si="2"/>
        <v>0</v>
      </c>
      <c r="H41" s="24">
        <f t="shared" si="3"/>
        <v>0</v>
      </c>
      <c r="I41" s="24">
        <f t="shared" si="4"/>
        <v>639.50262662861883</v>
      </c>
      <c r="J41" s="25">
        <f t="shared" si="5"/>
        <v>7.9741404289037643E-3</v>
      </c>
      <c r="K41" s="24">
        <f t="shared" si="10"/>
        <v>157822.4858609217</v>
      </c>
      <c r="L41" s="24" t="str">
        <f t="shared" si="6"/>
        <v/>
      </c>
      <c r="M41" s="24">
        <f t="shared" si="7"/>
        <v>2409.2980791643013</v>
      </c>
      <c r="N41" s="24">
        <f>IF(M41&lt;=0,0,IF($E$2-A41&lt;12,(M41-E41)*Dashboard!$B$18,IF($Q$2+A41&gt;=$R$2,MAX(0,M41-E41*POWER(1+$C$2,$E$2-A41))*MAX(Dashboard!$C$18,Dashboard!$B$18),IF($S$2&lt;$R$2,(M41-E41)*0.5*Dashboard!$B$18,(E41*POWER(1+$A$2,$R$2-($Q$2+A41))-E41)*0.5*Dashboard!$B$18+MAX(0,M41-E41*POWER(1+$A$2,$R$2-($Q$2+A41))*POWER(1+$C$2,$S$2-$R$2))*MAX(Dashboard!$C$18,Dashboard!$B$18)))))</f>
        <v>708.55087457487048</v>
      </c>
    </row>
    <row r="42" spans="1:14" x14ac:dyDescent="0.2">
      <c r="A42" s="22">
        <f t="shared" si="8"/>
        <v>37</v>
      </c>
      <c r="B42" s="23">
        <f t="shared" si="9"/>
        <v>21.138127853881233</v>
      </c>
      <c r="C42" t="str">
        <f t="shared" si="0"/>
        <v>21 y 1.66 m</v>
      </c>
      <c r="D42" s="24">
        <f>IF(A42&gt;=$E$2,IF(A42&lt;$E$2+$H$2,$P$2,0),IF(B42&lt;Dashboard!$I$6,0,IF(A42&gt;=$F$2,Dashboard!$C$22*POWER(1+$C$2,A42-$F$2),Dashboard!$C$22)))</f>
        <v>0</v>
      </c>
      <c r="E42" s="24">
        <f>IF(A42&gt;=$F$2,0,IF(A42=0,Dashboard!$G$10,IF(B42&lt;Dashboard!$I$6,IF($J$2&lt;=Dashboard!$H$10,Dashboard!$H$10,MAX(Dashboard!$H$10,MIN($J$2,Dashboard!$H$10*POWER($J$2/Dashboard!$H$10,A42/$D$2)))),$I$2-D42-Dashboard!$I$10-Dashboard!$J$10-Dashboard!$F$10*$I$2)))</f>
        <v>643.88900382135353</v>
      </c>
      <c r="F42" s="24">
        <f t="shared" si="1"/>
        <v>0</v>
      </c>
      <c r="G42" s="24">
        <f t="shared" si="2"/>
        <v>0</v>
      </c>
      <c r="H42" s="24">
        <f t="shared" si="3"/>
        <v>0</v>
      </c>
      <c r="I42" s="24">
        <f t="shared" si="4"/>
        <v>643.88900382135353</v>
      </c>
      <c r="J42" s="25">
        <f t="shared" si="5"/>
        <v>7.9741404289037643E-3</v>
      </c>
      <c r="K42" s="24">
        <f t="shared" si="10"/>
        <v>159730.00799117383</v>
      </c>
      <c r="L42" s="24" t="str">
        <f t="shared" si="6"/>
        <v/>
      </c>
      <c r="M42" s="24">
        <f t="shared" si="7"/>
        <v>2406.6327353350985</v>
      </c>
      <c r="N42" s="24">
        <f>IF(M42&lt;=0,0,IF($E$2-A42&lt;12,(M42-E42)*Dashboard!$B$18,IF($Q$2+A42&gt;=$R$2,MAX(0,M42-E42*POWER(1+$C$2,$E$2-A42))*MAX(Dashboard!$C$18,Dashboard!$B$18),IF($S$2&lt;$R$2,(M42-E42)*0.5*Dashboard!$B$18,(E42*POWER(1+$A$2,$R$2-($Q$2+A42))-E42)*0.5*Dashboard!$B$18+MAX(0,M42-E42*POWER(1+$A$2,$R$2-($Q$2+A42))*POWER(1+$C$2,$S$2-$R$2))*MAX(Dashboard!$C$18,Dashboard!$B$18)))))</f>
        <v>705.26834721688874</v>
      </c>
    </row>
    <row r="43" spans="1:14" x14ac:dyDescent="0.2">
      <c r="A43" s="22">
        <f t="shared" si="8"/>
        <v>38</v>
      </c>
      <c r="B43" s="23">
        <f t="shared" si="9"/>
        <v>21.221461187214565</v>
      </c>
      <c r="C43" t="str">
        <f t="shared" si="0"/>
        <v>21 y 2.66 m</v>
      </c>
      <c r="D43" s="24">
        <f>IF(A43&gt;=$E$2,IF(A43&lt;$E$2+$H$2,$P$2,0),IF(B43&lt;Dashboard!$I$6,0,IF(A43&gt;=$F$2,Dashboard!$C$22*POWER(1+$C$2,A43-$F$2),Dashboard!$C$22)))</f>
        <v>0</v>
      </c>
      <c r="E43" s="24">
        <f>IF(A43&gt;=$F$2,0,IF(A43=0,Dashboard!$G$10,IF(B43&lt;Dashboard!$I$6,IF($J$2&lt;=Dashboard!$H$10,Dashboard!$H$10,MAX(Dashboard!$H$10,MIN($J$2,Dashboard!$H$10*POWER($J$2/Dashboard!$H$10,A43/$D$2)))),$I$2-D43-Dashboard!$I$10-Dashboard!$J$10-Dashboard!$F$10*$I$2)))</f>
        <v>648.305467371948</v>
      </c>
      <c r="F43" s="24">
        <f t="shared" si="1"/>
        <v>0</v>
      </c>
      <c r="G43" s="24">
        <f t="shared" si="2"/>
        <v>0</v>
      </c>
      <c r="H43" s="24">
        <f t="shared" si="3"/>
        <v>0</v>
      </c>
      <c r="I43" s="24">
        <f t="shared" si="4"/>
        <v>648.305467371948</v>
      </c>
      <c r="J43" s="25">
        <f t="shared" si="5"/>
        <v>7.9741404289037643E-3</v>
      </c>
      <c r="K43" s="24">
        <f t="shared" si="10"/>
        <v>161657.19265181496</v>
      </c>
      <c r="L43" s="24" t="str">
        <f t="shared" si="6"/>
        <v/>
      </c>
      <c r="M43" s="24">
        <f t="shared" si="7"/>
        <v>2403.9703401064808</v>
      </c>
      <c r="N43" s="24">
        <f>IF(M43&lt;=0,0,IF($E$2-A43&lt;12,(M43-E43)*Dashboard!$B$18,IF($Q$2+A43&gt;=$R$2,MAX(0,M43-E43*POWER(1+$C$2,$E$2-A43))*MAX(Dashboard!$C$18,Dashboard!$B$18),IF($S$2&lt;$R$2,(M43-E43)*0.5*Dashboard!$B$18,(E43*POWER(1+$A$2,$R$2-($Q$2+A43))-E43)*0.5*Dashboard!$B$18+MAX(0,M43-E43*POWER(1+$A$2,$R$2-($Q$2+A43))*POWER(1+$C$2,$S$2-$R$2))*MAX(Dashboard!$C$18,Dashboard!$B$18)))))</f>
        <v>701.97748421666074</v>
      </c>
    </row>
    <row r="44" spans="1:14" x14ac:dyDescent="0.2">
      <c r="A44" s="22">
        <f t="shared" si="8"/>
        <v>39</v>
      </c>
      <c r="B44" s="23">
        <f t="shared" si="9"/>
        <v>21.304794520547897</v>
      </c>
      <c r="C44" t="str">
        <f t="shared" si="0"/>
        <v>21 y 3.66 m</v>
      </c>
      <c r="D44" s="24">
        <f>IF(A44&gt;=$E$2,IF(A44&lt;$E$2+$H$2,$P$2,0),IF(B44&lt;Dashboard!$I$6,0,IF(A44&gt;=$F$2,Dashboard!$C$22*POWER(1+$C$2,A44-$F$2),Dashboard!$C$22)))</f>
        <v>0</v>
      </c>
      <c r="E44" s="24">
        <f>IF(A44&gt;=$F$2,0,IF(A44=0,Dashboard!$G$10,IF(B44&lt;Dashboard!$I$6,IF($J$2&lt;=Dashboard!$H$10,Dashboard!$H$10,MAX(Dashboard!$H$10,MIN($J$2,Dashboard!$H$10*POWER($J$2/Dashboard!$H$10,A44/$D$2)))),$I$2-D44-Dashboard!$I$10-Dashboard!$J$10-Dashboard!$F$10*$I$2)))</f>
        <v>652.75222364407978</v>
      </c>
      <c r="F44" s="24">
        <f t="shared" si="1"/>
        <v>0</v>
      </c>
      <c r="G44" s="24">
        <f t="shared" si="2"/>
        <v>0</v>
      </c>
      <c r="H44" s="24">
        <f t="shared" si="3"/>
        <v>0</v>
      </c>
      <c r="I44" s="24">
        <f t="shared" si="4"/>
        <v>652.75222364407978</v>
      </c>
      <c r="J44" s="25">
        <f t="shared" si="5"/>
        <v>7.9741404289037643E-3</v>
      </c>
      <c r="K44" s="24">
        <f t="shared" si="10"/>
        <v>163604.22716890357</v>
      </c>
      <c r="L44" s="24" t="str">
        <f t="shared" si="6"/>
        <v/>
      </c>
      <c r="M44" s="24">
        <f t="shared" si="7"/>
        <v>2401.310890216489</v>
      </c>
      <c r="N44" s="24">
        <f>IF(M44&lt;=0,0,IF($E$2-A44&lt;12,(M44-E44)*Dashboard!$B$18,IF($Q$2+A44&gt;=$R$2,MAX(0,M44-E44*POWER(1+$C$2,$E$2-A44))*MAX(Dashboard!$C$18,Dashboard!$B$18),IF($S$2&lt;$R$2,(M44-E44)*0.5*Dashboard!$B$18,(E44*POWER(1+$A$2,$R$2-($Q$2+A44))-E44)*0.5*Dashboard!$B$18+MAX(0,M44-E44*POWER(1+$A$2,$R$2-($Q$2+A44))*POWER(1+$C$2,$S$2-$R$2))*MAX(Dashboard!$C$18,Dashboard!$B$18)))))</f>
        <v>698.67823748153944</v>
      </c>
    </row>
    <row r="45" spans="1:14" x14ac:dyDescent="0.2">
      <c r="A45" s="22">
        <f t="shared" si="8"/>
        <v>40</v>
      </c>
      <c r="B45" s="23">
        <f t="shared" si="9"/>
        <v>21.38812785388123</v>
      </c>
      <c r="C45" t="str">
        <f t="shared" si="0"/>
        <v>21 y 4.66 m</v>
      </c>
      <c r="D45" s="24">
        <f>IF(A45&gt;=$E$2,IF(A45&lt;$E$2+$H$2,$P$2,0),IF(B45&lt;Dashboard!$I$6,0,IF(A45&gt;=$F$2,Dashboard!$C$22*POWER(1+$C$2,A45-$F$2),Dashboard!$C$22)))</f>
        <v>0</v>
      </c>
      <c r="E45" s="24">
        <f>IF(A45&gt;=$F$2,0,IF(A45=0,Dashboard!$G$10,IF(B45&lt;Dashboard!$I$6,IF($J$2&lt;=Dashboard!$H$10,Dashboard!$H$10,MAX(Dashboard!$H$10,MIN($J$2,Dashboard!$H$10*POWER($J$2/Dashboard!$H$10,A45/$D$2)))),$I$2-D45-Dashboard!$I$10-Dashboard!$J$10-Dashboard!$F$10*$I$2)))</f>
        <v>657.22948041688437</v>
      </c>
      <c r="F45" s="24">
        <f t="shared" si="1"/>
        <v>0</v>
      </c>
      <c r="G45" s="24">
        <f t="shared" si="2"/>
        <v>0</v>
      </c>
      <c r="H45" s="24">
        <f t="shared" si="3"/>
        <v>0</v>
      </c>
      <c r="I45" s="24">
        <f t="shared" si="4"/>
        <v>657.22948041688437</v>
      </c>
      <c r="J45" s="25">
        <f t="shared" si="5"/>
        <v>7.9741404289037643E-3</v>
      </c>
      <c r="K45" s="24">
        <f t="shared" si="10"/>
        <v>165571.30057169843</v>
      </c>
      <c r="L45" s="24" t="str">
        <f t="shared" si="6"/>
        <v/>
      </c>
      <c r="M45" s="24">
        <f t="shared" si="7"/>
        <v>2398.6543824067712</v>
      </c>
      <c r="N45" s="24">
        <f>IF(M45&lt;=0,0,IF($E$2-A45&lt;12,(M45-E45)*Dashboard!$B$18,IF($Q$2+A45&gt;=$R$2,MAX(0,M45-E45*POWER(1+$C$2,$E$2-A45))*MAX(Dashboard!$C$18,Dashboard!$B$18),IF($S$2&lt;$R$2,(M45-E45)*0.5*Dashboard!$B$18,(E45*POWER(1+$A$2,$R$2-($Q$2+A45))-E45)*0.5*Dashboard!$B$18+MAX(0,M45-E45*POWER(1+$A$2,$R$2-($Q$2+A45))*POWER(1+$C$2,$S$2-$R$2))*MAX(Dashboard!$C$18,Dashboard!$B$18)))))</f>
        <v>695.37055869758262</v>
      </c>
    </row>
    <row r="46" spans="1:14" x14ac:dyDescent="0.2">
      <c r="A46" s="22">
        <f t="shared" si="8"/>
        <v>41</v>
      </c>
      <c r="B46" s="23">
        <f t="shared" si="9"/>
        <v>21.471461187214562</v>
      </c>
      <c r="C46" t="str">
        <f t="shared" si="0"/>
        <v>21 y 5.66 m</v>
      </c>
      <c r="D46" s="24">
        <f>IF(A46&gt;=$E$2,IF(A46&lt;$E$2+$H$2,$P$2,0),IF(B46&lt;Dashboard!$I$6,0,IF(A46&gt;=$F$2,Dashboard!$C$22*POWER(1+$C$2,A46-$F$2),Dashboard!$C$22)))</f>
        <v>0</v>
      </c>
      <c r="E46" s="24">
        <f>IF(A46&gt;=$F$2,0,IF(A46=0,Dashboard!$G$10,IF(B46&lt;Dashboard!$I$6,IF($J$2&lt;=Dashboard!$H$10,Dashboard!$H$10,MAX(Dashboard!$H$10,MIN($J$2,Dashboard!$H$10*POWER($J$2/Dashboard!$H$10,A46/$D$2)))),$I$2-D46-Dashboard!$I$10-Dashboard!$J$10-Dashboard!$F$10*$I$2)))</f>
        <v>661.73744689466355</v>
      </c>
      <c r="F46" s="24">
        <f t="shared" si="1"/>
        <v>0</v>
      </c>
      <c r="G46" s="24">
        <f t="shared" si="2"/>
        <v>0</v>
      </c>
      <c r="H46" s="24">
        <f t="shared" si="3"/>
        <v>0</v>
      </c>
      <c r="I46" s="24">
        <f t="shared" si="4"/>
        <v>661.73744689466355</v>
      </c>
      <c r="J46" s="25">
        <f t="shared" si="5"/>
        <v>7.9741404289037643E-3</v>
      </c>
      <c r="K46" s="24">
        <f t="shared" si="10"/>
        <v>167558.60360767666</v>
      </c>
      <c r="L46" s="24" t="str">
        <f t="shared" si="6"/>
        <v/>
      </c>
      <c r="M46" s="24">
        <f t="shared" si="7"/>
        <v>2396.0008134225814</v>
      </c>
      <c r="N46" s="24">
        <f>IF(M46&lt;=0,0,IF($E$2-A46&lt;12,(M46-E46)*Dashboard!$B$18,IF($Q$2+A46&gt;=$R$2,MAX(0,M46-E46*POWER(1+$C$2,$E$2-A46))*MAX(Dashboard!$C$18,Dashboard!$B$18),IF($S$2&lt;$R$2,(M46-E46)*0.5*Dashboard!$B$18,(E46*POWER(1+$A$2,$R$2-($Q$2+A46))-E46)*0.5*Dashboard!$B$18+MAX(0,M46-E46*POWER(1+$A$2,$R$2-($Q$2+A46))*POWER(1+$C$2,$S$2-$R$2))*MAX(Dashboard!$C$18,Dashboard!$B$18)))))</f>
        <v>692.05439932848594</v>
      </c>
    </row>
    <row r="47" spans="1:14" x14ac:dyDescent="0.2">
      <c r="A47" s="22">
        <f t="shared" si="8"/>
        <v>42</v>
      </c>
      <c r="B47" s="23">
        <f t="shared" si="9"/>
        <v>21.554794520547894</v>
      </c>
      <c r="C47" t="str">
        <f t="shared" si="0"/>
        <v>21 y 6.66 m</v>
      </c>
      <c r="D47" s="24">
        <f>IF(A47&gt;=$E$2,IF(A47&lt;$E$2+$H$2,$P$2,0),IF(B47&lt;Dashboard!$I$6,0,IF(A47&gt;=$F$2,Dashboard!$C$22*POWER(1+$C$2,A47-$F$2),Dashboard!$C$22)))</f>
        <v>0</v>
      </c>
      <c r="E47" s="24">
        <f>IF(A47&gt;=$F$2,0,IF(A47=0,Dashboard!$G$10,IF(B47&lt;Dashboard!$I$6,IF($J$2&lt;=Dashboard!$H$10,Dashboard!$H$10,MAX(Dashboard!$H$10,MIN($J$2,Dashboard!$H$10*POWER($J$2/Dashboard!$H$10,A47/$D$2)))),$I$2-D47-Dashboard!$I$10-Dashboard!$J$10-Dashboard!$F$10*$I$2)))</f>
        <v>666.27633371666082</v>
      </c>
      <c r="F47" s="24">
        <f t="shared" si="1"/>
        <v>0</v>
      </c>
      <c r="G47" s="24">
        <f t="shared" si="2"/>
        <v>0</v>
      </c>
      <c r="H47" s="24">
        <f t="shared" si="3"/>
        <v>0</v>
      </c>
      <c r="I47" s="24">
        <f t="shared" si="4"/>
        <v>666.27633371666082</v>
      </c>
      <c r="J47" s="25">
        <f t="shared" si="5"/>
        <v>7.9741404289037643E-3</v>
      </c>
      <c r="K47" s="24">
        <f t="shared" si="10"/>
        <v>169566.32875768148</v>
      </c>
      <c r="L47" s="24" t="str">
        <f t="shared" si="6"/>
        <v/>
      </c>
      <c r="M47" s="24">
        <f t="shared" si="7"/>
        <v>2393.3501800127719</v>
      </c>
      <c r="N47" s="24">
        <f>IF(M47&lt;=0,0,IF($E$2-A47&lt;12,(M47-E47)*Dashboard!$B$18,IF($Q$2+A47&gt;=$R$2,MAX(0,M47-E47*POWER(1+$C$2,$E$2-A47))*MAX(Dashboard!$C$18,Dashboard!$B$18),IF($S$2&lt;$R$2,(M47-E47)*0.5*Dashboard!$B$18,(E47*POWER(1+$A$2,$R$2-($Q$2+A47))-E47)*0.5*Dashboard!$B$18+MAX(0,M47-E47*POWER(1+$A$2,$R$2-($Q$2+A47))*POWER(1+$C$2,$S$2-$R$2))*MAX(Dashboard!$C$18,Dashboard!$B$18)))))</f>
        <v>688.72971061450562</v>
      </c>
    </row>
    <row r="48" spans="1:14" x14ac:dyDescent="0.2">
      <c r="A48" s="22">
        <f t="shared" si="8"/>
        <v>43</v>
      </c>
      <c r="B48" s="23">
        <f t="shared" si="9"/>
        <v>21.638127853881226</v>
      </c>
      <c r="C48" t="str">
        <f t="shared" si="0"/>
        <v>21 y 7.66 m</v>
      </c>
      <c r="D48" s="24">
        <f>IF(A48&gt;=$E$2,IF(A48&lt;$E$2+$H$2,$P$2,0),IF(B48&lt;Dashboard!$I$6,0,IF(A48&gt;=$F$2,Dashboard!$C$22*POWER(1+$C$2,A48-$F$2),Dashboard!$C$22)))</f>
        <v>0</v>
      </c>
      <c r="E48" s="24">
        <f>IF(A48&gt;=$F$2,0,IF(A48=0,Dashboard!$G$10,IF(B48&lt;Dashboard!$I$6,IF($J$2&lt;=Dashboard!$H$10,Dashboard!$H$10,MAX(Dashboard!$H$10,MIN($J$2,Dashboard!$H$10*POWER($J$2/Dashboard!$H$10,A48/$D$2)))),$I$2-D48-Dashboard!$I$10-Dashboard!$J$10-Dashboard!$F$10*$I$2)))</f>
        <v>670.84635296690374</v>
      </c>
      <c r="F48" s="24">
        <f t="shared" si="1"/>
        <v>0</v>
      </c>
      <c r="G48" s="24">
        <f t="shared" si="2"/>
        <v>0</v>
      </c>
      <c r="H48" s="24">
        <f t="shared" si="3"/>
        <v>0</v>
      </c>
      <c r="I48" s="24">
        <f t="shared" si="4"/>
        <v>670.84635296690374</v>
      </c>
      <c r="J48" s="25">
        <f t="shared" si="5"/>
        <v>7.9741404289037643E-3</v>
      </c>
      <c r="K48" s="24">
        <f t="shared" si="10"/>
        <v>171594.67025120059</v>
      </c>
      <c r="L48" s="24" t="str">
        <f t="shared" si="6"/>
        <v/>
      </c>
      <c r="M48" s="24">
        <f t="shared" si="7"/>
        <v>2390.7024789297943</v>
      </c>
      <c r="N48" s="24">
        <f>IF(M48&lt;=0,0,IF($E$2-A48&lt;12,(M48-E48)*Dashboard!$B$18,IF($Q$2+A48&gt;=$R$2,MAX(0,M48-E48*POWER(1+$C$2,$E$2-A48))*MAX(Dashboard!$C$18,Dashboard!$B$18),IF($S$2&lt;$R$2,(M48-E48)*0.5*Dashboard!$B$18,(E48*POWER(1+$A$2,$R$2-($Q$2+A48))-E48)*0.5*Dashboard!$B$18+MAX(0,M48-E48*POWER(1+$A$2,$R$2-($Q$2+A48))*POWER(1+$C$2,$S$2-$R$2))*MAX(Dashboard!$C$18,Dashboard!$B$18)))))</f>
        <v>685.39644357138002</v>
      </c>
    </row>
    <row r="49" spans="1:14" x14ac:dyDescent="0.2">
      <c r="A49" s="22">
        <f t="shared" si="8"/>
        <v>44</v>
      </c>
      <c r="B49" s="23">
        <f t="shared" si="9"/>
        <v>21.721461187214558</v>
      </c>
      <c r="C49" t="str">
        <f t="shared" si="0"/>
        <v>21 y 8.66 m</v>
      </c>
      <c r="D49" s="24">
        <f>IF(A49&gt;=$E$2,IF(A49&lt;$E$2+$H$2,$P$2,0),IF(B49&lt;Dashboard!$I$6,0,IF(A49&gt;=$F$2,Dashboard!$C$22*POWER(1+$C$2,A49-$F$2),Dashboard!$C$22)))</f>
        <v>0</v>
      </c>
      <c r="E49" s="24">
        <f>IF(A49&gt;=$F$2,0,IF(A49=0,Dashboard!$G$10,IF(B49&lt;Dashboard!$I$6,IF($J$2&lt;=Dashboard!$H$10,Dashboard!$H$10,MAX(Dashboard!$H$10,MIN($J$2,Dashboard!$H$10*POWER($J$2/Dashboard!$H$10,A49/$D$2)))),$I$2-D49-Dashboard!$I$10-Dashboard!$J$10-Dashboard!$F$10*$I$2)))</f>
        <v>675.4477181841138</v>
      </c>
      <c r="F49" s="24">
        <f t="shared" si="1"/>
        <v>0</v>
      </c>
      <c r="G49" s="24">
        <f t="shared" si="2"/>
        <v>0</v>
      </c>
      <c r="H49" s="24">
        <f t="shared" si="3"/>
        <v>0</v>
      </c>
      <c r="I49" s="24">
        <f t="shared" si="4"/>
        <v>675.4477181841138</v>
      </c>
      <c r="J49" s="25">
        <f t="shared" si="5"/>
        <v>7.9741404289037643E-3</v>
      </c>
      <c r="K49" s="24">
        <f t="shared" si="10"/>
        <v>173643.8240817764</v>
      </c>
      <c r="L49" s="24" t="str">
        <f t="shared" si="6"/>
        <v/>
      </c>
      <c r="M49" s="24">
        <f t="shared" si="7"/>
        <v>2388.0577069296905</v>
      </c>
      <c r="N49" s="24">
        <f>IF(M49&lt;=0,0,IF($E$2-A49&lt;12,(M49-E49)*Dashboard!$B$18,IF($Q$2+A49&gt;=$R$2,MAX(0,M49-E49*POWER(1+$C$2,$E$2-A49))*MAX(Dashboard!$C$18,Dashboard!$B$18),IF($S$2&lt;$R$2,(M49-E49)*0.5*Dashboard!$B$18,(E49*POWER(1+$A$2,$R$2-($Q$2+A49))-E49)*0.5*Dashboard!$B$18+MAX(0,M49-E49*POWER(1+$A$2,$R$2-($Q$2+A49))*POWER(1+$C$2,$S$2-$R$2))*MAX(Dashboard!$C$18,Dashboard!$B$18)))))</f>
        <v>682.05454898924347</v>
      </c>
    </row>
    <row r="50" spans="1:14" x14ac:dyDescent="0.2">
      <c r="A50" s="22">
        <f t="shared" si="8"/>
        <v>45</v>
      </c>
      <c r="B50" s="23">
        <f t="shared" si="9"/>
        <v>21.80479452054789</v>
      </c>
      <c r="C50" t="str">
        <f t="shared" si="0"/>
        <v>21 y 9.66 m</v>
      </c>
      <c r="D50" s="24">
        <f>IF(A50&gt;=$E$2,IF(A50&lt;$E$2+$H$2,$P$2,0),IF(B50&lt;Dashboard!$I$6,0,IF(A50&gt;=$F$2,Dashboard!$C$22*POWER(1+$C$2,A50-$F$2),Dashboard!$C$22)))</f>
        <v>0</v>
      </c>
      <c r="E50" s="24">
        <f>IF(A50&gt;=$F$2,0,IF(A50=0,Dashboard!$G$10,IF(B50&lt;Dashboard!$I$6,IF($J$2&lt;=Dashboard!$H$10,Dashboard!$H$10,MAX(Dashboard!$H$10,MIN($J$2,Dashboard!$H$10*POWER($J$2/Dashboard!$H$10,A50/$D$2)))),$I$2-D50-Dashboard!$I$10-Dashboard!$J$10-Dashboard!$F$10*$I$2)))</f>
        <v>680.08064437168366</v>
      </c>
      <c r="F50" s="24">
        <f t="shared" si="1"/>
        <v>0</v>
      </c>
      <c r="G50" s="24">
        <f t="shared" si="2"/>
        <v>0</v>
      </c>
      <c r="H50" s="24">
        <f t="shared" si="3"/>
        <v>0</v>
      </c>
      <c r="I50" s="24">
        <f t="shared" si="4"/>
        <v>680.08064437168366</v>
      </c>
      <c r="J50" s="25">
        <f t="shared" si="5"/>
        <v>7.9741404289037643E-3</v>
      </c>
      <c r="K50" s="24">
        <f t="shared" si="10"/>
        <v>175713.98802254922</v>
      </c>
      <c r="L50" s="24" t="str">
        <f t="shared" si="6"/>
        <v/>
      </c>
      <c r="M50" s="24">
        <f t="shared" si="7"/>
        <v>2385.4158607720929</v>
      </c>
      <c r="N50" s="24">
        <f>IF(M50&lt;=0,0,IF($E$2-A50&lt;12,(M50-E50)*Dashboard!$B$18,IF($Q$2+A50&gt;=$R$2,MAX(0,M50-E50*POWER(1+$C$2,$E$2-A50))*MAX(Dashboard!$C$18,Dashboard!$B$18),IF($S$2&lt;$R$2,(M50-E50)*0.5*Dashboard!$B$18,(E50*POWER(1+$A$2,$R$2-($Q$2+A50))-E50)*0.5*Dashboard!$B$18+MAX(0,M50-E50*POWER(1+$A$2,$R$2-($Q$2+A50))*POWER(1+$C$2,$S$2-$R$2))*MAX(Dashboard!$C$18,Dashboard!$B$18)))))</f>
        <v>678.70397743153671</v>
      </c>
    </row>
    <row r="51" spans="1:14" x14ac:dyDescent="0.2">
      <c r="A51" s="22">
        <f t="shared" si="8"/>
        <v>46</v>
      </c>
      <c r="B51" s="23">
        <f t="shared" si="9"/>
        <v>21.888127853881223</v>
      </c>
      <c r="C51" t="str">
        <f t="shared" si="0"/>
        <v>21 y 10.66 m</v>
      </c>
      <c r="D51" s="24">
        <f>IF(A51&gt;=$E$2,IF(A51&lt;$E$2+$H$2,$P$2,0),IF(B51&lt;Dashboard!$I$6,0,IF(A51&gt;=$F$2,Dashboard!$C$22*POWER(1+$C$2,A51-$F$2),Dashboard!$C$22)))</f>
        <v>0</v>
      </c>
      <c r="E51" s="24">
        <f>IF(A51&gt;=$F$2,0,IF(A51=0,Dashboard!$G$10,IF(B51&lt;Dashboard!$I$6,IF($J$2&lt;=Dashboard!$H$10,Dashboard!$H$10,MAX(Dashboard!$H$10,MIN($J$2,Dashboard!$H$10*POWER($J$2/Dashboard!$H$10,A51/$D$2)))),$I$2-D51-Dashboard!$I$10-Dashboard!$J$10-Dashboard!$F$10*$I$2)))</f>
        <v>684.74534800772483</v>
      </c>
      <c r="F51" s="24">
        <f t="shared" si="1"/>
        <v>0</v>
      </c>
      <c r="G51" s="24">
        <f t="shared" si="2"/>
        <v>0</v>
      </c>
      <c r="H51" s="24">
        <f t="shared" si="3"/>
        <v>0</v>
      </c>
      <c r="I51" s="24">
        <f t="shared" si="4"/>
        <v>684.74534800772483</v>
      </c>
      <c r="J51" s="25">
        <f t="shared" si="5"/>
        <v>7.9741404289037643E-3</v>
      </c>
      <c r="K51" s="24">
        <f t="shared" si="10"/>
        <v>177805.36164193455</v>
      </c>
      <c r="L51" s="24" t="str">
        <f t="shared" si="6"/>
        <v/>
      </c>
      <c r="M51" s="24">
        <f t="shared" si="7"/>
        <v>2382.7769372202192</v>
      </c>
      <c r="N51" s="24">
        <f>IF(M51&lt;=0,0,IF($E$2-A51&lt;12,(M51-E51)*Dashboard!$B$18,IF($Q$2+A51&gt;=$R$2,MAX(0,M51-E51*POWER(1+$C$2,$E$2-A51))*MAX(Dashboard!$C$18,Dashboard!$B$18),IF($S$2&lt;$R$2,(M51-E51)*0.5*Dashboard!$B$18,(E51*POWER(1+$A$2,$R$2-($Q$2+A51))-E51)*0.5*Dashboard!$B$18+MAX(0,M51-E51*POWER(1+$A$2,$R$2-($Q$2+A51))*POWER(1+$C$2,$S$2-$R$2))*MAX(Dashboard!$C$18,Dashboard!$B$18)))))</f>
        <v>675.34467923391105</v>
      </c>
    </row>
    <row r="52" spans="1:14" x14ac:dyDescent="0.2">
      <c r="A52" s="22">
        <f t="shared" si="8"/>
        <v>47</v>
      </c>
      <c r="B52" s="23">
        <f t="shared" si="9"/>
        <v>21.971461187214555</v>
      </c>
      <c r="C52" t="str">
        <f t="shared" si="0"/>
        <v>21 y 11.66 m</v>
      </c>
      <c r="D52" s="24">
        <f>IF(A52&gt;=$E$2,IF(A52&lt;$E$2+$H$2,$P$2,0),IF(B52&lt;Dashboard!$I$6,0,IF(A52&gt;=$F$2,Dashboard!$C$22*POWER(1+$C$2,A52-$F$2),Dashboard!$C$22)))</f>
        <v>0</v>
      </c>
      <c r="E52" s="24">
        <f>IF(A52&gt;=$F$2,0,IF(A52=0,Dashboard!$G$10,IF(B52&lt;Dashboard!$I$6,IF($J$2&lt;=Dashboard!$H$10,Dashboard!$H$10,MAX(Dashboard!$H$10,MIN($J$2,Dashboard!$H$10*POWER($J$2/Dashboard!$H$10,A52/$D$2)))),$I$2-D52-Dashboard!$I$10-Dashboard!$J$10-Dashboard!$F$10*$I$2)))</f>
        <v>689.44204705518098</v>
      </c>
      <c r="F52" s="24">
        <f t="shared" si="1"/>
        <v>0</v>
      </c>
      <c r="G52" s="24">
        <f t="shared" si="2"/>
        <v>0</v>
      </c>
      <c r="H52" s="24">
        <f t="shared" si="3"/>
        <v>0</v>
      </c>
      <c r="I52" s="24">
        <f t="shared" si="4"/>
        <v>689.44204705518098</v>
      </c>
      <c r="J52" s="25">
        <f t="shared" si="5"/>
        <v>7.9741404289037643E-3</v>
      </c>
      <c r="K52" s="24">
        <f t="shared" si="10"/>
        <v>179918.14631943533</v>
      </c>
      <c r="L52" s="24" t="str">
        <f t="shared" si="6"/>
        <v/>
      </c>
      <c r="M52" s="24">
        <f t="shared" si="7"/>
        <v>2380.1409330408642</v>
      </c>
      <c r="N52" s="24">
        <f>IF(M52&lt;=0,0,IF($E$2-A52&lt;12,(M52-E52)*Dashboard!$B$18,IF($Q$2+A52&gt;=$R$2,MAX(0,M52-E52*POWER(1+$C$2,$E$2-A52))*MAX(Dashboard!$C$18,Dashboard!$B$18),IF($S$2&lt;$R$2,(M52-E52)*0.5*Dashboard!$B$18,(E52*POWER(1+$A$2,$R$2-($Q$2+A52))-E52)*0.5*Dashboard!$B$18+MAX(0,M52-E52*POWER(1+$A$2,$R$2-($Q$2+A52))*POWER(1+$C$2,$S$2-$R$2))*MAX(Dashboard!$C$18,Dashboard!$B$18)))))</f>
        <v>671.97660450312503</v>
      </c>
    </row>
    <row r="53" spans="1:14" x14ac:dyDescent="0.2">
      <c r="A53" s="22">
        <f t="shared" si="8"/>
        <v>48</v>
      </c>
      <c r="B53" s="23">
        <f t="shared" si="9"/>
        <v>22.054794520547887</v>
      </c>
      <c r="C53" t="str">
        <f t="shared" si="0"/>
        <v>22 y 0.66 m</v>
      </c>
      <c r="D53" s="24">
        <f>IF(A53&gt;=$E$2,IF(A53&lt;$E$2+$H$2,$P$2,0),IF(B53&lt;Dashboard!$I$6,0,IF(A53&gt;=$F$2,Dashboard!$C$22*POWER(1+$C$2,A53-$F$2),Dashboard!$C$22)))</f>
        <v>0</v>
      </c>
      <c r="E53" s="24">
        <f>IF(A53&gt;=$F$2,0,IF(A53=0,Dashboard!$G$10,IF(B53&lt;Dashboard!$I$6,IF($J$2&lt;=Dashboard!$H$10,Dashboard!$H$10,MAX(Dashboard!$H$10,MIN($J$2,Dashboard!$H$10*POWER($J$2/Dashboard!$H$10,A53/$D$2)))),$I$2-D53-Dashboard!$I$10-Dashboard!$J$10-Dashboard!$F$10*$I$2)))</f>
        <v>694.17096097201375</v>
      </c>
      <c r="F53" s="24">
        <f t="shared" si="1"/>
        <v>0</v>
      </c>
      <c r="G53" s="24">
        <f t="shared" si="2"/>
        <v>0</v>
      </c>
      <c r="H53" s="24">
        <f t="shared" si="3"/>
        <v>0</v>
      </c>
      <c r="I53" s="24">
        <f t="shared" si="4"/>
        <v>694.17096097201375</v>
      </c>
      <c r="J53" s="25">
        <f t="shared" si="5"/>
        <v>7.9741404289037643E-3</v>
      </c>
      <c r="K53" s="24">
        <f t="shared" si="10"/>
        <v>182052.54526159103</v>
      </c>
      <c r="L53" s="24" t="str">
        <f t="shared" si="6"/>
        <v/>
      </c>
      <c r="M53" s="24">
        <f t="shared" si="7"/>
        <v>2377.5078450044034</v>
      </c>
      <c r="N53" s="24">
        <f>IF(M53&lt;=0,0,IF($E$2-A53&lt;12,(M53-E53)*Dashboard!$B$18,IF($Q$2+A53&gt;=$R$2,MAX(0,M53-E53*POWER(1+$C$2,$E$2-A53))*MAX(Dashboard!$C$18,Dashboard!$B$18),IF($S$2&lt;$R$2,(M53-E53)*0.5*Dashboard!$B$18,(E53*POWER(1+$A$2,$R$2-($Q$2+A53))-E53)*0.5*Dashboard!$B$18+MAX(0,M53-E53*POWER(1+$A$2,$R$2-($Q$2+A53))*POWER(1+$C$2,$S$2-$R$2))*MAX(Dashboard!$C$18,Dashboard!$B$18)))))</f>
        <v>668.59970311594293</v>
      </c>
    </row>
    <row r="54" spans="1:14" x14ac:dyDescent="0.2">
      <c r="A54" s="22">
        <f t="shared" si="8"/>
        <v>49</v>
      </c>
      <c r="B54" s="23">
        <f t="shared" si="9"/>
        <v>22.138127853881219</v>
      </c>
      <c r="C54" t="str">
        <f t="shared" si="0"/>
        <v>22 y 1.66 m</v>
      </c>
      <c r="D54" s="24">
        <f>IF(A54&gt;=$E$2,IF(A54&lt;$E$2+$H$2,$P$2,0),IF(B54&lt;Dashboard!$I$6,0,IF(A54&gt;=$F$2,Dashboard!$C$22*POWER(1+$C$2,A54-$F$2),Dashboard!$C$22)))</f>
        <v>0</v>
      </c>
      <c r="E54" s="24">
        <f>IF(A54&gt;=$F$2,0,IF(A54=0,Dashboard!$G$10,IF(B54&lt;Dashboard!$I$6,IF($J$2&lt;=Dashboard!$H$10,Dashboard!$H$10,MAX(Dashboard!$H$10,MIN($J$2,Dashboard!$H$10*POWER($J$2/Dashboard!$H$10,A54/$D$2)))),$I$2-D54-Dashboard!$I$10-Dashboard!$J$10-Dashboard!$F$10*$I$2)))</f>
        <v>698.93231072145693</v>
      </c>
      <c r="F54" s="24">
        <f t="shared" si="1"/>
        <v>0</v>
      </c>
      <c r="G54" s="24">
        <f t="shared" si="2"/>
        <v>0</v>
      </c>
      <c r="H54" s="24">
        <f t="shared" si="3"/>
        <v>0</v>
      </c>
      <c r="I54" s="24">
        <f t="shared" si="4"/>
        <v>698.93231072145693</v>
      </c>
      <c r="J54" s="25">
        <f t="shared" si="5"/>
        <v>7.9741404289037643E-3</v>
      </c>
      <c r="K54" s="24">
        <f t="shared" si="10"/>
        <v>184208.76351806376</v>
      </c>
      <c r="L54" s="24" t="str">
        <f t="shared" si="6"/>
        <v/>
      </c>
      <c r="M54" s="24">
        <f t="shared" si="7"/>
        <v>2374.8776698847842</v>
      </c>
      <c r="N54" s="24">
        <f>IF(M54&lt;=0,0,IF($E$2-A54&lt;12,(M54-E54)*Dashboard!$B$18,IF($Q$2+A54&gt;=$R$2,MAX(0,M54-E54*POWER(1+$C$2,$E$2-A54))*MAX(Dashboard!$C$18,Dashboard!$B$18),IF($S$2&lt;$R$2,(M54-E54)*0.5*Dashboard!$B$18,(E54*POWER(1+$A$2,$R$2-($Q$2+A54))-E54)*0.5*Dashboard!$B$18+MAX(0,M54-E54*POWER(1+$A$2,$R$2-($Q$2+A54))*POWER(1+$C$2,$S$2-$R$2))*MAX(Dashboard!$C$18,Dashboard!$B$18)))))</f>
        <v>665.21392471801948</v>
      </c>
    </row>
    <row r="55" spans="1:14" x14ac:dyDescent="0.2">
      <c r="A55" s="22">
        <f t="shared" si="8"/>
        <v>50</v>
      </c>
      <c r="B55" s="23">
        <f t="shared" si="9"/>
        <v>22.221461187214551</v>
      </c>
      <c r="C55" t="str">
        <f t="shared" si="0"/>
        <v>22 y 2.66 m</v>
      </c>
      <c r="D55" s="24">
        <f>IF(A55&gt;=$E$2,IF(A55&lt;$E$2+$H$2,$P$2,0),IF(B55&lt;Dashboard!$I$6,0,IF(A55&gt;=$F$2,Dashboard!$C$22*POWER(1+$C$2,A55-$F$2),Dashboard!$C$22)))</f>
        <v>0</v>
      </c>
      <c r="E55" s="24">
        <f>IF(A55&gt;=$F$2,0,IF(A55=0,Dashboard!$G$10,IF(B55&lt;Dashboard!$I$6,IF($J$2&lt;=Dashboard!$H$10,Dashboard!$H$10,MAX(Dashboard!$H$10,MIN($J$2,Dashboard!$H$10*POWER($J$2/Dashboard!$H$10,A55/$D$2)))),$I$2-D55-Dashboard!$I$10-Dashboard!$J$10-Dashboard!$F$10*$I$2)))</f>
        <v>703.72631878234085</v>
      </c>
      <c r="F55" s="24">
        <f t="shared" si="1"/>
        <v>0</v>
      </c>
      <c r="G55" s="24">
        <f t="shared" si="2"/>
        <v>0</v>
      </c>
      <c r="H55" s="24">
        <f t="shared" si="3"/>
        <v>0</v>
      </c>
      <c r="I55" s="24">
        <f t="shared" si="4"/>
        <v>703.72631878234085</v>
      </c>
      <c r="J55" s="25">
        <f t="shared" si="5"/>
        <v>7.9741404289037643E-3</v>
      </c>
      <c r="K55" s="24">
        <f t="shared" si="10"/>
        <v>186387.00799786334</v>
      </c>
      <c r="L55" s="24" t="str">
        <f t="shared" si="6"/>
        <v/>
      </c>
      <c r="M55" s="24">
        <f t="shared" si="7"/>
        <v>2372.2504044595216</v>
      </c>
      <c r="N55" s="24">
        <f>IF(M55&lt;=0,0,IF($E$2-A55&lt;12,(M55-E55)*Dashboard!$B$18,IF($Q$2+A55&gt;=$R$2,MAX(0,M55-E55*POWER(1+$C$2,$E$2-A55))*MAX(Dashboard!$C$18,Dashboard!$B$18),IF($S$2&lt;$R$2,(M55-E55)*0.5*Dashboard!$B$18,(E55*POWER(1+$A$2,$R$2-($Q$2+A55))-E55)*0.5*Dashboard!$B$18+MAX(0,M55-E55*POWER(1+$A$2,$R$2-($Q$2+A55))*POWER(1+$C$2,$S$2-$R$2))*MAX(Dashboard!$C$18,Dashboard!$B$18)))))</f>
        <v>661.81921872278417</v>
      </c>
    </row>
    <row r="56" spans="1:14" x14ac:dyDescent="0.2">
      <c r="A56" s="22">
        <f t="shared" si="8"/>
        <v>51</v>
      </c>
      <c r="B56" s="23">
        <f t="shared" si="9"/>
        <v>22.304794520547883</v>
      </c>
      <c r="C56" t="str">
        <f t="shared" si="0"/>
        <v>22 y 3.66 m</v>
      </c>
      <c r="D56" s="24">
        <f>IF(A56&gt;=$E$2,IF(A56&lt;$E$2+$H$2,$P$2,0),IF(B56&lt;Dashboard!$I$6,0,IF(A56&gt;=$F$2,Dashboard!$C$22*POWER(1+$C$2,A56-$F$2),Dashboard!$C$22)))</f>
        <v>0</v>
      </c>
      <c r="E56" s="24">
        <f>IF(A56&gt;=$F$2,0,IF(A56=0,Dashboard!$G$10,IF(B56&lt;Dashboard!$I$6,IF($J$2&lt;=Dashboard!$H$10,Dashboard!$H$10,MAX(Dashboard!$H$10,MIN($J$2,Dashboard!$H$10*POWER($J$2/Dashboard!$H$10,A56/$D$2)))),$I$2-D56-Dashboard!$I$10-Dashboard!$J$10-Dashboard!$F$10*$I$2)))</f>
        <v>708.55320915948801</v>
      </c>
      <c r="F56" s="24">
        <f t="shared" si="1"/>
        <v>0</v>
      </c>
      <c r="G56" s="24">
        <f t="shared" si="2"/>
        <v>0</v>
      </c>
      <c r="H56" s="24">
        <f t="shared" si="3"/>
        <v>0</v>
      </c>
      <c r="I56" s="24">
        <f t="shared" si="4"/>
        <v>708.55320915948801</v>
      </c>
      <c r="J56" s="25">
        <f t="shared" si="5"/>
        <v>7.9741404289037643E-3</v>
      </c>
      <c r="K56" s="24">
        <f t="shared" si="10"/>
        <v>188587.48748571219</v>
      </c>
      <c r="L56" s="24" t="str">
        <f t="shared" si="6"/>
        <v/>
      </c>
      <c r="M56" s="24">
        <f t="shared" si="7"/>
        <v>2369.6260455096963</v>
      </c>
      <c r="N56" s="24">
        <f>IF(M56&lt;=0,0,IF($E$2-A56&lt;12,(M56-E56)*Dashboard!$B$18,IF($Q$2+A56&gt;=$R$2,MAX(0,M56-E56*POWER(1+$C$2,$E$2-A56))*MAX(Dashboard!$C$18,Dashboard!$B$18),IF($S$2&lt;$R$2,(M56-E56)*0.5*Dashboard!$B$18,(E56*POWER(1+$A$2,$R$2-($Q$2+A56))-E56)*0.5*Dashboard!$B$18+MAX(0,M56-E56*POWER(1+$A$2,$R$2-($Q$2+A56))*POWER(1+$C$2,$S$2-$R$2))*MAX(Dashboard!$C$18,Dashboard!$B$18)))))</f>
        <v>658.4155343103198</v>
      </c>
    </row>
    <row r="57" spans="1:14" x14ac:dyDescent="0.2">
      <c r="A57" s="22">
        <f t="shared" si="8"/>
        <v>52</v>
      </c>
      <c r="B57" s="23">
        <f t="shared" si="9"/>
        <v>22.388127853881215</v>
      </c>
      <c r="C57" t="str">
        <f t="shared" si="0"/>
        <v>22 y 4.66 m</v>
      </c>
      <c r="D57" s="24">
        <f>IF(A57&gt;=$E$2,IF(A57&lt;$E$2+$H$2,$P$2,0),IF(B57&lt;Dashboard!$I$6,0,IF(A57&gt;=$F$2,Dashboard!$C$22*POWER(1+$C$2,A57-$F$2),Dashboard!$C$22)))</f>
        <v>0</v>
      </c>
      <c r="E57" s="24">
        <f>IF(A57&gt;=$F$2,0,IF(A57=0,Dashboard!$G$10,IF(B57&lt;Dashboard!$I$6,IF($J$2&lt;=Dashboard!$H$10,Dashboard!$H$10,MAX(Dashboard!$H$10,MIN($J$2,Dashboard!$H$10*POWER($J$2/Dashboard!$H$10,A57/$D$2)))),$I$2-D57-Dashboard!$I$10-Dashboard!$J$10-Dashboard!$F$10*$I$2)))</f>
        <v>713.4132073941804</v>
      </c>
      <c r="F57" s="24">
        <f t="shared" si="1"/>
        <v>0</v>
      </c>
      <c r="G57" s="24">
        <f t="shared" si="2"/>
        <v>0</v>
      </c>
      <c r="H57" s="24">
        <f t="shared" si="3"/>
        <v>0</v>
      </c>
      <c r="I57" s="24">
        <f t="shared" si="4"/>
        <v>713.4132073941804</v>
      </c>
      <c r="J57" s="25">
        <f t="shared" si="5"/>
        <v>7.9741404289037643E-3</v>
      </c>
      <c r="K57" s="24">
        <f t="shared" si="10"/>
        <v>190810.41265855118</v>
      </c>
      <c r="L57" s="24" t="str">
        <f t="shared" si="6"/>
        <v/>
      </c>
      <c r="M57" s="24">
        <f t="shared" si="7"/>
        <v>2367.0045898199501</v>
      </c>
      <c r="N57" s="24">
        <f>IF(M57&lt;=0,0,IF($E$2-A57&lt;12,(M57-E57)*Dashboard!$B$18,IF($Q$2+A57&gt;=$R$2,MAX(0,M57-E57*POWER(1+$C$2,$E$2-A57))*MAX(Dashboard!$C$18,Dashboard!$B$18),IF($S$2&lt;$R$2,(M57-E57)*0.5*Dashboard!$B$18,(E57*POWER(1+$A$2,$R$2-($Q$2+A57))-E57)*0.5*Dashboard!$B$18+MAX(0,M57-E57*POWER(1+$A$2,$R$2-($Q$2+A57))*POWER(1+$C$2,$S$2-$R$2))*MAX(Dashboard!$C$18,Dashboard!$B$18)))))</f>
        <v>655.00282042623405</v>
      </c>
    </row>
    <row r="58" spans="1:14" x14ac:dyDescent="0.2">
      <c r="A58" s="22">
        <f t="shared" si="8"/>
        <v>53</v>
      </c>
      <c r="B58" s="23">
        <f t="shared" si="9"/>
        <v>22.471461187214548</v>
      </c>
      <c r="C58" t="str">
        <f t="shared" si="0"/>
        <v>22 y 5.66 m</v>
      </c>
      <c r="D58" s="24">
        <f>IF(A58&gt;=$E$2,IF(A58&lt;$E$2+$H$2,$P$2,0),IF(B58&lt;Dashboard!$I$6,0,IF(A58&gt;=$F$2,Dashboard!$C$22*POWER(1+$C$2,A58-$F$2),Dashboard!$C$22)))</f>
        <v>0</v>
      </c>
      <c r="E58" s="24">
        <f>IF(A58&gt;=$F$2,0,IF(A58=0,Dashboard!$G$10,IF(B58&lt;Dashboard!$I$6,IF($J$2&lt;=Dashboard!$H$10,Dashboard!$H$10,MAX(Dashboard!$H$10,MIN($J$2,Dashboard!$H$10*POWER($J$2/Dashboard!$H$10,A58/$D$2)))),$I$2-D58-Dashboard!$I$10-Dashboard!$J$10-Dashboard!$F$10*$I$2)))</f>
        <v>718.30654057469735</v>
      </c>
      <c r="F58" s="24">
        <f t="shared" si="1"/>
        <v>0</v>
      </c>
      <c r="G58" s="24">
        <f t="shared" si="2"/>
        <v>0</v>
      </c>
      <c r="H58" s="24">
        <f t="shared" si="3"/>
        <v>0</v>
      </c>
      <c r="I58" s="24">
        <f t="shared" si="4"/>
        <v>718.30654057469735</v>
      </c>
      <c r="J58" s="25">
        <f t="shared" si="5"/>
        <v>7.9741404289037643E-3</v>
      </c>
      <c r="K58" s="24">
        <f t="shared" si="10"/>
        <v>193055.99610218778</v>
      </c>
      <c r="L58" s="24" t="str">
        <f t="shared" si="6"/>
        <v/>
      </c>
      <c r="M58" s="24">
        <f t="shared" si="7"/>
        <v>2364.3860341784825</v>
      </c>
      <c r="N58" s="24">
        <f>IF(M58&lt;=0,0,IF($E$2-A58&lt;12,(M58-E58)*Dashboard!$B$18,IF($Q$2+A58&gt;=$R$2,MAX(0,M58-E58*POWER(1+$C$2,$E$2-A58))*MAX(Dashboard!$C$18,Dashboard!$B$18),IF($S$2&lt;$R$2,(M58-E58)*0.5*Dashboard!$B$18,(E58*POWER(1+$A$2,$R$2-($Q$2+A58))-E58)*0.5*Dashboard!$B$18+MAX(0,M58-E58*POWER(1+$A$2,$R$2-($Q$2+A58))*POWER(1+$C$2,$S$2-$R$2))*MAX(Dashboard!$C$18,Dashboard!$B$18)))))</f>
        <v>651.58102578052842</v>
      </c>
    </row>
    <row r="59" spans="1:14" x14ac:dyDescent="0.2">
      <c r="A59" s="22">
        <f t="shared" si="8"/>
        <v>54</v>
      </c>
      <c r="B59" s="23">
        <f t="shared" si="9"/>
        <v>22.55479452054788</v>
      </c>
      <c r="C59" t="str">
        <f t="shared" si="0"/>
        <v>22 y 6.66 m</v>
      </c>
      <c r="D59" s="24">
        <f>IF(A59&gt;=$E$2,IF(A59&lt;$E$2+$H$2,$P$2,0),IF(B59&lt;Dashboard!$I$6,0,IF(A59&gt;=$F$2,Dashboard!$C$22*POWER(1+$C$2,A59-$F$2),Dashboard!$C$22)))</f>
        <v>0</v>
      </c>
      <c r="E59" s="24">
        <f>IF(A59&gt;=$F$2,0,IF(A59=0,Dashboard!$G$10,IF(B59&lt;Dashboard!$I$6,IF($J$2&lt;=Dashboard!$H$10,Dashboard!$H$10,MAX(Dashboard!$H$10,MIN($J$2,Dashboard!$H$10*POWER($J$2/Dashboard!$H$10,A59/$D$2)))),$I$2-D59-Dashboard!$I$10-Dashboard!$J$10-Dashboard!$F$10*$I$2)))</f>
        <v>723.23343734692719</v>
      </c>
      <c r="F59" s="24">
        <f t="shared" si="1"/>
        <v>0</v>
      </c>
      <c r="G59" s="24">
        <f t="shared" si="2"/>
        <v>0</v>
      </c>
      <c r="H59" s="24">
        <f t="shared" si="3"/>
        <v>0</v>
      </c>
      <c r="I59" s="24">
        <f t="shared" si="4"/>
        <v>723.23343734692719</v>
      </c>
      <c r="J59" s="25">
        <f t="shared" si="5"/>
        <v>7.9741404289037643E-3</v>
      </c>
      <c r="K59" s="24">
        <f t="shared" si="10"/>
        <v>195324.45232808773</v>
      </c>
      <c r="L59" s="24" t="str">
        <f t="shared" si="6"/>
        <v/>
      </c>
      <c r="M59" s="24">
        <f t="shared" si="7"/>
        <v>2361.7703753770456</v>
      </c>
      <c r="N59" s="24">
        <f>IF(M59&lt;=0,0,IF($E$2-A59&lt;12,(M59-E59)*Dashboard!$B$18,IF($Q$2+A59&gt;=$R$2,MAX(0,M59-E59*POWER(1+$C$2,$E$2-A59))*MAX(Dashboard!$C$18,Dashboard!$B$18),IF($S$2&lt;$R$2,(M59-E59)*0.5*Dashboard!$B$18,(E59*POWER(1+$A$2,$R$2-($Q$2+A59))-E59)*0.5*Dashboard!$B$18+MAX(0,M59-E59*POWER(1+$A$2,$R$2-($Q$2+A59))*POWER(1+$C$2,$S$2-$R$2))*MAX(Dashboard!$C$18,Dashboard!$B$18)))))</f>
        <v>648.15009884645735</v>
      </c>
    </row>
    <row r="60" spans="1:14" x14ac:dyDescent="0.2">
      <c r="A60" s="22">
        <f t="shared" si="8"/>
        <v>55</v>
      </c>
      <c r="B60" s="23">
        <f t="shared" si="9"/>
        <v>22.638127853881212</v>
      </c>
      <c r="C60" t="str">
        <f t="shared" si="0"/>
        <v>22 y 7.66 m</v>
      </c>
      <c r="D60" s="24">
        <f>IF(A60&gt;=$E$2,IF(A60&lt;$E$2+$H$2,$P$2,0),IF(B60&lt;Dashboard!$I$6,0,IF(A60&gt;=$F$2,Dashboard!$C$22*POWER(1+$C$2,A60-$F$2),Dashboard!$C$22)))</f>
        <v>0</v>
      </c>
      <c r="E60" s="24">
        <f>IF(A60&gt;=$F$2,0,IF(A60=0,Dashboard!$G$10,IF(B60&lt;Dashboard!$I$6,IF($J$2&lt;=Dashboard!$H$10,Dashboard!$H$10,MAX(Dashboard!$H$10,MIN($J$2,Dashboard!$H$10*POWER($J$2/Dashboard!$H$10,A60/$D$2)))),$I$2-D60-Dashboard!$I$10-Dashboard!$J$10-Dashboard!$F$10*$I$2)))</f>
        <v>728.19412792505068</v>
      </c>
      <c r="F60" s="24">
        <f t="shared" si="1"/>
        <v>0</v>
      </c>
      <c r="G60" s="24">
        <f t="shared" si="2"/>
        <v>0</v>
      </c>
      <c r="H60" s="24">
        <f t="shared" si="3"/>
        <v>0</v>
      </c>
      <c r="I60" s="24">
        <f t="shared" si="4"/>
        <v>728.19412792505068</v>
      </c>
      <c r="J60" s="25">
        <f t="shared" si="5"/>
        <v>7.9741404289037643E-3</v>
      </c>
      <c r="K60" s="24">
        <f t="shared" si="10"/>
        <v>197615.99779031126</v>
      </c>
      <c r="L60" s="24" t="str">
        <f t="shared" si="6"/>
        <v/>
      </c>
      <c r="M60" s="24">
        <f t="shared" si="7"/>
        <v>2359.1576102109393</v>
      </c>
      <c r="N60" s="24">
        <f>IF(M60&lt;=0,0,IF($E$2-A60&lt;12,(M60-E60)*Dashboard!$B$18,IF($Q$2+A60&gt;=$R$2,MAX(0,M60-E60*POWER(1+$C$2,$E$2-A60))*MAX(Dashboard!$C$18,Dashboard!$B$18),IF($S$2&lt;$R$2,(M60-E60)*0.5*Dashboard!$B$18,(E60*POWER(1+$A$2,$R$2-($Q$2+A60))-E60)*0.5*Dashboard!$B$18+MAX(0,M60-E60*POWER(1+$A$2,$R$2-($Q$2+A60))*POWER(1+$C$2,$S$2-$R$2))*MAX(Dashboard!$C$18,Dashboard!$B$18)))))</f>
        <v>644.70998785938582</v>
      </c>
    </row>
    <row r="61" spans="1:14" x14ac:dyDescent="0.2">
      <c r="A61" s="22">
        <f t="shared" si="8"/>
        <v>56</v>
      </c>
      <c r="B61" s="23">
        <f t="shared" si="9"/>
        <v>22.721461187214544</v>
      </c>
      <c r="C61" t="str">
        <f t="shared" si="0"/>
        <v>22 y 8.66 m</v>
      </c>
      <c r="D61" s="24">
        <f>IF(A61&gt;=$E$2,IF(A61&lt;$E$2+$H$2,$P$2,0),IF(B61&lt;Dashboard!$I$6,0,IF(A61&gt;=$F$2,Dashboard!$C$22*POWER(1+$C$2,A61-$F$2),Dashboard!$C$22)))</f>
        <v>0</v>
      </c>
      <c r="E61" s="24">
        <f>IF(A61&gt;=$F$2,0,IF(A61=0,Dashboard!$G$10,IF(B61&lt;Dashboard!$I$6,IF($J$2&lt;=Dashboard!$H$10,Dashboard!$H$10,MAX(Dashboard!$H$10,MIN($J$2,Dashboard!$H$10*POWER($J$2/Dashboard!$H$10,A61/$D$2)))),$I$2-D61-Dashboard!$I$10-Dashboard!$J$10-Dashboard!$F$10*$I$2)))</f>
        <v>733.18884410229748</v>
      </c>
      <c r="F61" s="24">
        <f t="shared" si="1"/>
        <v>0</v>
      </c>
      <c r="G61" s="24">
        <f t="shared" si="2"/>
        <v>0</v>
      </c>
      <c r="H61" s="24">
        <f t="shared" si="3"/>
        <v>0</v>
      </c>
      <c r="I61" s="24">
        <f t="shared" si="4"/>
        <v>733.18884410229748</v>
      </c>
      <c r="J61" s="25">
        <f t="shared" si="5"/>
        <v>7.9741404289037643E-3</v>
      </c>
      <c r="K61" s="24">
        <f t="shared" si="10"/>
        <v>199930.85090259521</v>
      </c>
      <c r="L61" s="24" t="str">
        <f t="shared" si="6"/>
        <v/>
      </c>
      <c r="M61" s="24">
        <f t="shared" si="7"/>
        <v>2356.547735479011</v>
      </c>
      <c r="N61" s="24">
        <f>IF(M61&lt;=0,0,IF($E$2-A61&lt;12,(M61-E61)*Dashboard!$B$18,IF($Q$2+A61&gt;=$R$2,MAX(0,M61-E61*POWER(1+$C$2,$E$2-A61))*MAX(Dashboard!$C$18,Dashboard!$B$18),IF($S$2&lt;$R$2,(M61-E61)*0.5*Dashboard!$B$18,(E61*POWER(1+$A$2,$R$2-($Q$2+A61))-E61)*0.5*Dashboard!$B$18+MAX(0,M61-E61*POWER(1+$A$2,$R$2-($Q$2+A61))*POWER(1+$C$2,$S$2-$R$2))*MAX(Dashboard!$C$18,Dashboard!$B$18)))))</f>
        <v>641.26064081564152</v>
      </c>
    </row>
    <row r="62" spans="1:14" x14ac:dyDescent="0.2">
      <c r="A62" s="22">
        <f t="shared" si="8"/>
        <v>57</v>
      </c>
      <c r="B62" s="23">
        <f t="shared" si="9"/>
        <v>22.804794520547876</v>
      </c>
      <c r="C62" t="str">
        <f t="shared" si="0"/>
        <v>22 y 9.66 m</v>
      </c>
      <c r="D62" s="24">
        <f>IF(A62&gt;=$E$2,IF(A62&lt;$E$2+$H$2,$P$2,0),IF(B62&lt;Dashboard!$I$6,0,IF(A62&gt;=$F$2,Dashboard!$C$22*POWER(1+$C$2,A62-$F$2),Dashboard!$C$22)))</f>
        <v>0</v>
      </c>
      <c r="E62" s="24">
        <f>IF(A62&gt;=$F$2,0,IF(A62=0,Dashboard!$G$10,IF(B62&lt;Dashboard!$I$6,IF($J$2&lt;=Dashboard!$H$10,Dashboard!$H$10,MAX(Dashboard!$H$10,MIN($J$2,Dashboard!$H$10*POWER($J$2/Dashboard!$H$10,A62/$D$2)))),$I$2-D62-Dashboard!$I$10-Dashboard!$J$10-Dashboard!$F$10*$I$2)))</f>
        <v>738.217819261778</v>
      </c>
      <c r="F62" s="24">
        <f t="shared" si="1"/>
        <v>0</v>
      </c>
      <c r="G62" s="24">
        <f t="shared" si="2"/>
        <v>0</v>
      </c>
      <c r="H62" s="24">
        <f t="shared" si="3"/>
        <v>0</v>
      </c>
      <c r="I62" s="24">
        <f t="shared" si="4"/>
        <v>738.217819261778</v>
      </c>
      <c r="J62" s="25">
        <f t="shared" si="5"/>
        <v>7.9741404289037643E-3</v>
      </c>
      <c r="K62" s="24">
        <f t="shared" si="10"/>
        <v>202269.2320555824</v>
      </c>
      <c r="L62" s="24" t="str">
        <f t="shared" si="6"/>
        <v/>
      </c>
      <c r="M62" s="24">
        <f t="shared" si="7"/>
        <v>2353.9407479836491</v>
      </c>
      <c r="N62" s="24">
        <f>IF(M62&lt;=0,0,IF($E$2-A62&lt;12,(M62-E62)*Dashboard!$B$18,IF($Q$2+A62&gt;=$R$2,MAX(0,M62-E62*POWER(1+$C$2,$E$2-A62))*MAX(Dashboard!$C$18,Dashboard!$B$18),IF($S$2&lt;$R$2,(M62-E62)*0.5*Dashboard!$B$18,(E62*POWER(1+$A$2,$R$2-($Q$2+A62))-E62)*0.5*Dashboard!$B$18+MAX(0,M62-E62*POWER(1+$A$2,$R$2-($Q$2+A62))*POWER(1+$C$2,$S$2-$R$2))*MAX(Dashboard!$C$18,Dashboard!$B$18)))))</f>
        <v>637.80200547135837</v>
      </c>
    </row>
    <row r="63" spans="1:14" x14ac:dyDescent="0.2">
      <c r="A63" s="22">
        <f t="shared" si="8"/>
        <v>58</v>
      </c>
      <c r="B63" s="23">
        <f t="shared" si="9"/>
        <v>22.888127853881208</v>
      </c>
      <c r="C63" t="str">
        <f t="shared" si="0"/>
        <v>22 y 10.66 m</v>
      </c>
      <c r="D63" s="24">
        <f>IF(A63&gt;=$E$2,IF(A63&lt;$E$2+$H$2,$P$2,0),IF(B63&lt;Dashboard!$I$6,0,IF(A63&gt;=$F$2,Dashboard!$C$22*POWER(1+$C$2,A63-$F$2),Dashboard!$C$22)))</f>
        <v>0</v>
      </c>
      <c r="E63" s="24">
        <f>IF(A63&gt;=$F$2,0,IF(A63=0,Dashboard!$G$10,IF(B63&lt;Dashboard!$I$6,IF($J$2&lt;=Dashboard!$H$10,Dashboard!$H$10,MAX(Dashboard!$H$10,MIN($J$2,Dashboard!$H$10*POWER($J$2/Dashboard!$H$10,A63/$D$2)))),$I$2-D63-Dashboard!$I$10-Dashboard!$J$10-Dashboard!$F$10*$I$2)))</f>
        <v>743.28128838738769</v>
      </c>
      <c r="F63" s="24">
        <f t="shared" si="1"/>
        <v>0</v>
      </c>
      <c r="G63" s="24">
        <f t="shared" si="2"/>
        <v>0</v>
      </c>
      <c r="H63" s="24">
        <f t="shared" si="3"/>
        <v>0</v>
      </c>
      <c r="I63" s="24">
        <f t="shared" si="4"/>
        <v>743.28128838738769</v>
      </c>
      <c r="J63" s="25">
        <f t="shared" si="5"/>
        <v>7.9741404289037643E-3</v>
      </c>
      <c r="K63" s="24">
        <f t="shared" si="10"/>
        <v>204631.36363419931</v>
      </c>
      <c r="L63" s="24" t="str">
        <f t="shared" si="6"/>
        <v/>
      </c>
      <c r="M63" s="24">
        <f t="shared" si="7"/>
        <v>2351.3366445307774</v>
      </c>
      <c r="N63" s="24">
        <f>IF(M63&lt;=0,0,IF($E$2-A63&lt;12,(M63-E63)*Dashboard!$B$18,IF($Q$2+A63&gt;=$R$2,MAX(0,M63-E63*POWER(1+$C$2,$E$2-A63))*MAX(Dashboard!$C$18,Dashboard!$B$18),IF($S$2&lt;$R$2,(M63-E63)*0.5*Dashboard!$B$18,(E63*POWER(1+$A$2,$R$2-($Q$2+A63))-E63)*0.5*Dashboard!$B$18+MAX(0,M63-E63*POWER(1+$A$2,$R$2-($Q$2+A63))*POWER(1+$C$2,$S$2-$R$2))*MAX(Dashboard!$C$18,Dashboard!$B$18)))))</f>
        <v>634.3340293413155</v>
      </c>
    </row>
    <row r="64" spans="1:14" x14ac:dyDescent="0.2">
      <c r="A64" s="22">
        <f t="shared" si="8"/>
        <v>59</v>
      </c>
      <c r="B64" s="23">
        <f t="shared" si="9"/>
        <v>22.97146118721454</v>
      </c>
      <c r="C64" t="str">
        <f t="shared" si="0"/>
        <v>22 y 11.66 m</v>
      </c>
      <c r="D64" s="24">
        <f>IF(A64&gt;=$E$2,IF(A64&lt;$E$2+$H$2,$P$2,0),IF(B64&lt;Dashboard!$I$6,0,IF(A64&gt;=$F$2,Dashboard!$C$22*POWER(1+$C$2,A64-$F$2),Dashboard!$C$22)))</f>
        <v>0</v>
      </c>
      <c r="E64" s="24">
        <f>IF(A64&gt;=$F$2,0,IF(A64=0,Dashboard!$G$10,IF(B64&lt;Dashboard!$I$6,IF($J$2&lt;=Dashboard!$H$10,Dashboard!$H$10,MAX(Dashboard!$H$10,MIN($J$2,Dashboard!$H$10*POWER($J$2/Dashboard!$H$10,A64/$D$2)))),$I$2-D64-Dashboard!$I$10-Dashboard!$J$10-Dashboard!$F$10*$I$2)))</f>
        <v>748.37948807478688</v>
      </c>
      <c r="F64" s="24">
        <f t="shared" si="1"/>
        <v>0</v>
      </c>
      <c r="G64" s="24">
        <f t="shared" si="2"/>
        <v>0</v>
      </c>
      <c r="H64" s="24">
        <f t="shared" si="3"/>
        <v>0</v>
      </c>
      <c r="I64" s="24">
        <f t="shared" si="4"/>
        <v>748.37948807478688</v>
      </c>
      <c r="J64" s="25">
        <f t="shared" si="5"/>
        <v>7.9741404289037643E-3</v>
      </c>
      <c r="K64" s="24">
        <f t="shared" si="10"/>
        <v>207017.47003518327</v>
      </c>
      <c r="L64" s="24" t="str">
        <f t="shared" si="6"/>
        <v/>
      </c>
      <c r="M64" s="24">
        <f t="shared" si="7"/>
        <v>2348.7354219298554</v>
      </c>
      <c r="N64" s="24">
        <f>IF(M64&lt;=0,0,IF($E$2-A64&lt;12,(M64-E64)*Dashboard!$B$18,IF($Q$2+A64&gt;=$R$2,MAX(0,M64-E64*POWER(1+$C$2,$E$2-A64))*MAX(Dashboard!$C$18,Dashboard!$B$18),IF($S$2&lt;$R$2,(M64-E64)*0.5*Dashboard!$B$18,(E64*POWER(1+$A$2,$R$2-($Q$2+A64))-E64)*0.5*Dashboard!$B$18+MAX(0,M64-E64*POWER(1+$A$2,$R$2-($Q$2+A64))*POWER(1+$C$2,$S$2-$R$2))*MAX(Dashboard!$C$18,Dashboard!$B$18)))))</f>
        <v>630.85665969777494</v>
      </c>
    </row>
    <row r="65" spans="1:14" x14ac:dyDescent="0.2">
      <c r="A65" s="22">
        <f t="shared" si="8"/>
        <v>60</v>
      </c>
      <c r="B65" s="23">
        <f t="shared" si="9"/>
        <v>23.054794520547873</v>
      </c>
      <c r="C65" t="str">
        <f t="shared" si="0"/>
        <v>23 y 0.66 m</v>
      </c>
      <c r="D65" s="24">
        <f>IF(A65&gt;=$E$2,IF(A65&lt;$E$2+$H$2,$P$2,0),IF(B65&lt;Dashboard!$I$6,0,IF(A65&gt;=$F$2,Dashboard!$C$22*POWER(1+$C$2,A65-$F$2),Dashboard!$C$22)))</f>
        <v>0</v>
      </c>
      <c r="E65" s="24">
        <f>IF(A65&gt;=$F$2,0,IF(A65=0,Dashboard!$G$10,IF(B65&lt;Dashboard!$I$6,IF($J$2&lt;=Dashboard!$H$10,Dashboard!$H$10,MAX(Dashboard!$H$10,MIN($J$2,Dashboard!$H$10*POWER($J$2/Dashboard!$H$10,A65/$D$2)))),$I$2-D65-Dashboard!$I$10-Dashboard!$J$10-Dashboard!$F$10*$I$2)))</f>
        <v>753.51265654245617</v>
      </c>
      <c r="F65" s="24">
        <f t="shared" si="1"/>
        <v>0</v>
      </c>
      <c r="G65" s="24">
        <f t="shared" si="2"/>
        <v>0</v>
      </c>
      <c r="H65" s="24">
        <f t="shared" si="3"/>
        <v>0</v>
      </c>
      <c r="I65" s="24">
        <f t="shared" si="4"/>
        <v>753.51265654245617</v>
      </c>
      <c r="J65" s="25">
        <f t="shared" si="5"/>
        <v>7.9741404289037643E-3</v>
      </c>
      <c r="K65" s="24">
        <f t="shared" si="10"/>
        <v>209427.77768476086</v>
      </c>
      <c r="L65" s="24" t="str">
        <f t="shared" si="6"/>
        <v/>
      </c>
      <c r="M65" s="24">
        <f t="shared" si="7"/>
        <v>2346.1370769938708</v>
      </c>
      <c r="N65" s="24">
        <f>IF(M65&lt;=0,0,IF($E$2-A65&lt;12,(M65-E65)*Dashboard!$B$18,IF($Q$2+A65&gt;=$R$2,MAX(0,M65-E65*POWER(1+$C$2,$E$2-A65))*MAX(Dashboard!$C$18,Dashboard!$B$18),IF($S$2&lt;$R$2,(M65-E65)*0.5*Dashboard!$B$18,(E65*POWER(1+$A$2,$R$2-($Q$2+A65))-E65)*0.5*Dashboard!$B$18+MAX(0,M65-E65*POWER(1+$A$2,$R$2-($Q$2+A65))*POWER(1+$C$2,$S$2-$R$2))*MAX(Dashboard!$C$18,Dashboard!$B$18)))))</f>
        <v>627.36984356930679</v>
      </c>
    </row>
    <row r="66" spans="1:14" x14ac:dyDescent="0.2">
      <c r="A66" s="22">
        <f t="shared" si="8"/>
        <v>61</v>
      </c>
      <c r="B66" s="23">
        <f t="shared" si="9"/>
        <v>23.138127853881205</v>
      </c>
      <c r="C66" t="str">
        <f t="shared" si="0"/>
        <v>23 y 1.66 m</v>
      </c>
      <c r="D66" s="24">
        <f>IF(A66&gt;=$E$2,IF(A66&lt;$E$2+$H$2,$P$2,0),IF(B66&lt;Dashboard!$I$6,0,IF(A66&gt;=$F$2,Dashboard!$C$22*POWER(1+$C$2,A66-$F$2),Dashboard!$C$22)))</f>
        <v>0</v>
      </c>
      <c r="E66" s="24">
        <f>IF(A66&gt;=$F$2,0,IF(A66=0,Dashboard!$G$10,IF(B66&lt;Dashboard!$I$6,IF($J$2&lt;=Dashboard!$H$10,Dashboard!$H$10,MAX(Dashboard!$H$10,MIN($J$2,Dashboard!$H$10*POWER($J$2/Dashboard!$H$10,A66/$D$2)))),$I$2-D66-Dashboard!$I$10-Dashboard!$J$10-Dashboard!$F$10*$I$2)))</f>
        <v>758.68103364282774</v>
      </c>
      <c r="F66" s="24">
        <f t="shared" si="1"/>
        <v>0</v>
      </c>
      <c r="G66" s="24">
        <f t="shared" si="2"/>
        <v>0</v>
      </c>
      <c r="H66" s="24">
        <f t="shared" si="3"/>
        <v>0</v>
      </c>
      <c r="I66" s="24">
        <f t="shared" si="4"/>
        <v>758.68103364282774</v>
      </c>
      <c r="J66" s="25">
        <f t="shared" si="5"/>
        <v>7.9741404289037643E-3</v>
      </c>
      <c r="K66" s="24">
        <f t="shared" si="10"/>
        <v>211862.51505647821</v>
      </c>
      <c r="L66" s="24" t="str">
        <f t="shared" si="6"/>
        <v/>
      </c>
      <c r="M66" s="24">
        <f t="shared" si="7"/>
        <v>2343.5416065393392</v>
      </c>
      <c r="N66" s="24">
        <f>IF(M66&lt;=0,0,IF($E$2-A66&lt;12,(M66-E66)*Dashboard!$B$18,IF($Q$2+A66&gt;=$R$2,MAX(0,M66-E66*POWER(1+$C$2,$E$2-A66))*MAX(Dashboard!$C$18,Dashboard!$B$18),IF($S$2&lt;$R$2,(M66-E66)*0.5*Dashboard!$B$18,(E66*POWER(1+$A$2,$R$2-($Q$2+A66))-E66)*0.5*Dashboard!$B$18+MAX(0,M66-E66*POWER(1+$A$2,$R$2-($Q$2+A66))*POWER(1+$C$2,$S$2-$R$2))*MAX(Dashboard!$C$18,Dashboard!$B$18)))))</f>
        <v>623.87352773961527</v>
      </c>
    </row>
    <row r="67" spans="1:14" x14ac:dyDescent="0.2">
      <c r="A67" s="22">
        <f t="shared" si="8"/>
        <v>62</v>
      </c>
      <c r="B67" s="23">
        <f t="shared" si="9"/>
        <v>23.221461187214537</v>
      </c>
      <c r="C67" t="str">
        <f t="shared" si="0"/>
        <v>23 y 2.66 m</v>
      </c>
      <c r="D67" s="24">
        <f>IF(A67&gt;=$E$2,IF(A67&lt;$E$2+$H$2,$P$2,0),IF(B67&lt;Dashboard!$I$6,0,IF(A67&gt;=$F$2,Dashboard!$C$22*POWER(1+$C$2,A67-$F$2),Dashboard!$C$22)))</f>
        <v>0</v>
      </c>
      <c r="E67" s="24">
        <f>IF(A67&gt;=$F$2,0,IF(A67=0,Dashboard!$G$10,IF(B67&lt;Dashboard!$I$6,IF($J$2&lt;=Dashboard!$H$10,Dashboard!$H$10,MAX(Dashboard!$H$10,MIN($J$2,Dashboard!$H$10*POWER($J$2/Dashboard!$H$10,A67/$D$2)))),$I$2-D67-Dashboard!$I$10-Dashboard!$J$10-Dashboard!$F$10*$I$2)))</f>
        <v>763.88486087349202</v>
      </c>
      <c r="F67" s="24">
        <f t="shared" si="1"/>
        <v>0</v>
      </c>
      <c r="G67" s="24">
        <f t="shared" si="2"/>
        <v>0</v>
      </c>
      <c r="H67" s="24">
        <f t="shared" si="3"/>
        <v>0</v>
      </c>
      <c r="I67" s="24">
        <f t="shared" si="4"/>
        <v>763.88486087349202</v>
      </c>
      <c r="J67" s="25">
        <f t="shared" si="5"/>
        <v>7.9741404289037643E-3</v>
      </c>
      <c r="K67" s="24">
        <f t="shared" si="10"/>
        <v>214321.91268918492</v>
      </c>
      <c r="L67" s="24" t="str">
        <f t="shared" si="6"/>
        <v/>
      </c>
      <c r="M67" s="24">
        <f t="shared" si="7"/>
        <v>2340.9490073862958</v>
      </c>
      <c r="N67" s="24">
        <f>IF(M67&lt;=0,0,IF($E$2-A67&lt;12,(M67-E67)*Dashboard!$B$18,IF($Q$2+A67&gt;=$R$2,MAX(0,M67-E67*POWER(1+$C$2,$E$2-A67))*MAX(Dashboard!$C$18,Dashboard!$B$18),IF($S$2&lt;$R$2,(M67-E67)*0.5*Dashboard!$B$18,(E67*POWER(1+$A$2,$R$2-($Q$2+A67))-E67)*0.5*Dashboard!$B$18+MAX(0,M67-E67*POWER(1+$A$2,$R$2-($Q$2+A67))*POWER(1+$C$2,$S$2-$R$2))*MAX(Dashboard!$C$18,Dashboard!$B$18)))))</f>
        <v>620.3676587463533</v>
      </c>
    </row>
    <row r="68" spans="1:14" x14ac:dyDescent="0.2">
      <c r="A68" s="22">
        <f t="shared" si="8"/>
        <v>63</v>
      </c>
      <c r="B68" s="23">
        <f t="shared" si="9"/>
        <v>23.304794520547869</v>
      </c>
      <c r="C68" t="str">
        <f t="shared" si="0"/>
        <v>23 y 3.66 m</v>
      </c>
      <c r="D68" s="24">
        <f>IF(A68&gt;=$E$2,IF(A68&lt;$E$2+$H$2,$P$2,0),IF(B68&lt;Dashboard!$I$6,0,IF(A68&gt;=$F$2,Dashboard!$C$22*POWER(1+$C$2,A68-$F$2),Dashboard!$C$22)))</f>
        <v>0</v>
      </c>
      <c r="E68" s="24">
        <f>IF(A68&gt;=$F$2,0,IF(A68=0,Dashboard!$G$10,IF(B68&lt;Dashboard!$I$6,IF($J$2&lt;=Dashboard!$H$10,Dashboard!$H$10,MAX(Dashboard!$H$10,MIN($J$2,Dashboard!$H$10*POWER($J$2/Dashboard!$H$10,A68/$D$2)))),$I$2-D68-Dashboard!$I$10-Dashboard!$J$10-Dashboard!$F$10*$I$2)))</f>
        <v>769.12438138848233</v>
      </c>
      <c r="F68" s="24">
        <f t="shared" si="1"/>
        <v>0</v>
      </c>
      <c r="G68" s="24">
        <f t="shared" si="2"/>
        <v>0</v>
      </c>
      <c r="H68" s="24">
        <f t="shared" si="3"/>
        <v>0</v>
      </c>
      <c r="I68" s="24">
        <f t="shared" si="4"/>
        <v>769.12438138848233</v>
      </c>
      <c r="J68" s="25">
        <f t="shared" si="5"/>
        <v>7.9741404289037643E-3</v>
      </c>
      <c r="K68" s="24">
        <f t="shared" si="10"/>
        <v>216806.2032051727</v>
      </c>
      <c r="L68" s="24" t="str">
        <f t="shared" si="6"/>
        <v/>
      </c>
      <c r="M68" s="24">
        <f t="shared" si="7"/>
        <v>2338.3592763582942</v>
      </c>
      <c r="N68" s="24">
        <f>IF(M68&lt;=0,0,IF($E$2-A68&lt;12,(M68-E68)*Dashboard!$B$18,IF($Q$2+A68&gt;=$R$2,MAX(0,M68-E68*POWER(1+$C$2,$E$2-A68))*MAX(Dashboard!$C$18,Dashboard!$B$18),IF($S$2&lt;$R$2,(M68-E68)*0.5*Dashboard!$B$18,(E68*POWER(1+$A$2,$R$2-($Q$2+A68))-E68)*0.5*Dashboard!$B$18+MAX(0,M68-E68*POWER(1+$A$2,$R$2-($Q$2+A68))*POWER(1+$C$2,$S$2-$R$2))*MAX(Dashboard!$C$18,Dashboard!$B$18)))))</f>
        <v>616.85218287993632</v>
      </c>
    </row>
    <row r="69" spans="1:14" x14ac:dyDescent="0.2">
      <c r="A69" s="22">
        <f t="shared" si="8"/>
        <v>64</v>
      </c>
      <c r="B69" s="23">
        <f t="shared" si="9"/>
        <v>23.388127853881201</v>
      </c>
      <c r="C69" t="str">
        <f t="shared" ref="C69:C132" si="11">INT(B69)&amp;" y "&amp;ROUND((B69-INT(B69))*12,2)&amp;" m"</f>
        <v>23 y 4.66 m</v>
      </c>
      <c r="D69" s="24">
        <f>IF(A69&gt;=$E$2,IF(A69&lt;$E$2+$H$2,$P$2,0),IF(B69&lt;Dashboard!$I$6,0,IF(A69&gt;=$F$2,Dashboard!$C$22*POWER(1+$C$2,A69-$F$2),Dashboard!$C$22)))</f>
        <v>0</v>
      </c>
      <c r="E69" s="24">
        <f>IF(A69&gt;=$F$2,0,IF(A69=0,Dashboard!$G$10,IF(B69&lt;Dashboard!$I$6,IF($J$2&lt;=Dashboard!$H$10,Dashboard!$H$10,MAX(Dashboard!$H$10,MIN($J$2,Dashboard!$H$10*POWER($J$2/Dashboard!$H$10,A69/$D$2)))),$I$2-D69-Dashboard!$I$10-Dashboard!$J$10-Dashboard!$F$10*$I$2)))</f>
        <v>774.39984000963659</v>
      </c>
      <c r="F69" s="24">
        <f t="shared" ref="F69:F132" si="12">IF(A69&gt;=$F$2,$X$2*POWER(1+$C$2,A69-$F$2)+D69,0)</f>
        <v>0</v>
      </c>
      <c r="G69" s="24">
        <f t="shared" ref="G69:G132" si="13">IF(F69&lt;=0,0,IF(F69*12&lt;=18200,F69,IF(F69*12&lt;=40712,(18200+(F69*12-18200)/0.84)/12,IF(F69*12&lt;=103712,(45000+(F69*12-40712)/0.7)/12,IF(F69*12&lt;=138362,(135000+(F69*12-103712)/0.63)/12,(190000+(F69*12-138362)/0.55)/12)))))</f>
        <v>0</v>
      </c>
      <c r="H69" s="24">
        <f t="shared" ref="H69:H132" si="14">IF(A69=$E$2,$W$2,0)</f>
        <v>0</v>
      </c>
      <c r="I69" s="24">
        <f t="shared" ref="I69:I132" si="15">E69-G69-H69</f>
        <v>774.39984000963659</v>
      </c>
      <c r="J69" s="25">
        <f t="shared" ref="J69:J132" si="16">IF(A69&gt;=$F$2,$B$2,$A$2)</f>
        <v>7.9741404289037643E-3</v>
      </c>
      <c r="K69" s="24">
        <f t="shared" si="10"/>
        <v>219315.62132847018</v>
      </c>
      <c r="L69" s="24" t="str">
        <f t="shared" ref="L69:L132" si="17">IF(A69&gt;=$F$2,K69,"")</f>
        <v/>
      </c>
      <c r="M69" s="24">
        <f t="shared" ref="M69:M132" si="18">IF(AND(A69&lt;$E$2,E69&gt;0),E69*POWER(1+$A$2,$E$2-A69),0)</f>
        <v>2335.7724102824018</v>
      </c>
      <c r="N69" s="24">
        <f>IF(M69&lt;=0,0,IF($E$2-A69&lt;12,(M69-E69)*Dashboard!$B$18,IF($Q$2+A69&gt;=$R$2,MAX(0,M69-E69*POWER(1+$C$2,$E$2-A69))*MAX(Dashboard!$C$18,Dashboard!$B$18),IF($S$2&lt;$R$2,(M69-E69)*0.5*Dashboard!$B$18,(E69*POWER(1+$A$2,$R$2-($Q$2+A69))-E69)*0.5*Dashboard!$B$18+MAX(0,M69-E69*POWER(1+$A$2,$R$2-($Q$2+A69))*POWER(1+$C$2,$S$2-$R$2))*MAX(Dashboard!$C$18,Dashboard!$B$18)))))</f>
        <v>613.32704618234754</v>
      </c>
    </row>
    <row r="70" spans="1:14" x14ac:dyDescent="0.2">
      <c r="A70" s="22">
        <f t="shared" ref="A70:A133" si="19">A69+1</f>
        <v>65</v>
      </c>
      <c r="B70" s="23">
        <f t="shared" ref="B70:B133" si="20">B69+1/12</f>
        <v>23.471461187214533</v>
      </c>
      <c r="C70" t="str">
        <f t="shared" si="11"/>
        <v>23 y 5.66 m</v>
      </c>
      <c r="D70" s="24">
        <f>IF(A70&gt;=$E$2,IF(A70&lt;$E$2+$H$2,$P$2,0),IF(B70&lt;Dashboard!$I$6,0,IF(A70&gt;=$F$2,Dashboard!$C$22*POWER(1+$C$2,A70-$F$2),Dashboard!$C$22)))</f>
        <v>0</v>
      </c>
      <c r="E70" s="24">
        <f>IF(A70&gt;=$F$2,0,IF(A70=0,Dashboard!$G$10,IF(B70&lt;Dashboard!$I$6,IF($J$2&lt;=Dashboard!$H$10,Dashboard!$H$10,MAX(Dashboard!$H$10,MIN($J$2,Dashboard!$H$10*POWER($J$2/Dashboard!$H$10,A70/$D$2)))),$I$2-D70-Dashboard!$I$10-Dashboard!$J$10-Dashboard!$F$10*$I$2)))</f>
        <v>779.71148323803629</v>
      </c>
      <c r="F70" s="24">
        <f t="shared" si="12"/>
        <v>0</v>
      </c>
      <c r="G70" s="24">
        <f t="shared" si="13"/>
        <v>0</v>
      </c>
      <c r="H70" s="24">
        <f t="shared" si="14"/>
        <v>0</v>
      </c>
      <c r="I70" s="24">
        <f t="shared" si="15"/>
        <v>779.71148323803629</v>
      </c>
      <c r="J70" s="25">
        <f t="shared" si="16"/>
        <v>7.9741404289037643E-3</v>
      </c>
      <c r="K70" s="24">
        <f t="shared" ref="K70:K133" si="21">(K69+I70)*(1+J70)</f>
        <v>221850.40390329508</v>
      </c>
      <c r="L70" s="24" t="str">
        <f t="shared" si="17"/>
        <v/>
      </c>
      <c r="M70" s="24">
        <f t="shared" si="18"/>
        <v>2333.1884059891981</v>
      </c>
      <c r="N70" s="24">
        <f>IF(M70&lt;=0,0,IF($E$2-A70&lt;12,(M70-E70)*Dashboard!$B$18,IF($Q$2+A70&gt;=$R$2,MAX(0,M70-E70*POWER(1+$C$2,$E$2-A70))*MAX(Dashboard!$C$18,Dashboard!$B$18),IF($S$2&lt;$R$2,(M70-E70)*0.5*Dashboard!$B$18,(E70*POWER(1+$A$2,$R$2-($Q$2+A70))-E70)*0.5*Dashboard!$B$18+MAX(0,M70-E70*POWER(1+$A$2,$R$2-($Q$2+A70))*POWER(1+$C$2,$S$2-$R$2))*MAX(Dashboard!$C$18,Dashboard!$B$18)))))</f>
        <v>609.79219444594003</v>
      </c>
    </row>
    <row r="71" spans="1:14" x14ac:dyDescent="0.2">
      <c r="A71" s="22">
        <f t="shared" si="19"/>
        <v>66</v>
      </c>
      <c r="B71" s="23">
        <f t="shared" si="20"/>
        <v>23.554794520547865</v>
      </c>
      <c r="C71" t="str">
        <f t="shared" si="11"/>
        <v>23 y 6.66 m</v>
      </c>
      <c r="D71" s="24">
        <f>IF(A71&gt;=$E$2,IF(A71&lt;$E$2+$H$2,$P$2,0),IF(B71&lt;Dashboard!$I$6,0,IF(A71&gt;=$F$2,Dashboard!$C$22*POWER(1+$C$2,A71-$F$2),Dashboard!$C$22)))</f>
        <v>0</v>
      </c>
      <c r="E71" s="24">
        <f>IF(A71&gt;=$F$2,0,IF(A71=0,Dashboard!$G$10,IF(B71&lt;Dashboard!$I$6,IF($J$2&lt;=Dashboard!$H$10,Dashboard!$H$10,MAX(Dashboard!$H$10,MIN($J$2,Dashboard!$H$10*POWER($J$2/Dashboard!$H$10,A71/$D$2)))),$I$2-D71-Dashboard!$I$10-Dashboard!$J$10-Dashboard!$F$10*$I$2)))</f>
        <v>785.05955926552519</v>
      </c>
      <c r="F71" s="24">
        <f t="shared" si="12"/>
        <v>0</v>
      </c>
      <c r="G71" s="24">
        <f t="shared" si="13"/>
        <v>0</v>
      </c>
      <c r="H71" s="24">
        <f t="shared" si="14"/>
        <v>0</v>
      </c>
      <c r="I71" s="24">
        <f t="shared" si="15"/>
        <v>785.05955926552519</v>
      </c>
      <c r="J71" s="25">
        <f t="shared" si="16"/>
        <v>7.9741404289037643E-3</v>
      </c>
      <c r="K71" s="24">
        <f t="shared" si="21"/>
        <v>224410.78991266515</v>
      </c>
      <c r="L71" s="24" t="str">
        <f t="shared" si="17"/>
        <v/>
      </c>
      <c r="M71" s="24">
        <f t="shared" si="18"/>
        <v>2330.6072603127654</v>
      </c>
      <c r="N71" s="24">
        <f>IF(M71&lt;=0,0,IF($E$2-A71&lt;12,(M71-E71)*Dashboard!$B$18,IF($Q$2+A71&gt;=$R$2,MAX(0,M71-E71*POWER(1+$C$2,$E$2-A71))*MAX(Dashboard!$C$18,Dashboard!$B$18),IF($S$2&lt;$R$2,(M71-E71)*0.5*Dashboard!$B$18,(E71*POWER(1+$A$2,$R$2-($Q$2+A71))-E71)*0.5*Dashboard!$B$18+MAX(0,M71-E71*POWER(1+$A$2,$R$2-($Q$2+A71))*POWER(1+$C$2,$S$2-$R$2))*MAX(Dashboard!$C$18,Dashboard!$B$18)))))</f>
        <v>606.24757321222796</v>
      </c>
    </row>
    <row r="72" spans="1:14" x14ac:dyDescent="0.2">
      <c r="A72" s="22">
        <f t="shared" si="19"/>
        <v>67</v>
      </c>
      <c r="B72" s="23">
        <f t="shared" si="20"/>
        <v>23.638127853881198</v>
      </c>
      <c r="C72" t="str">
        <f t="shared" si="11"/>
        <v>23 y 7.66 m</v>
      </c>
      <c r="D72" s="24">
        <f>IF(A72&gt;=$E$2,IF(A72&lt;$E$2+$H$2,$P$2,0),IF(B72&lt;Dashboard!$I$6,0,IF(A72&gt;=$F$2,Dashboard!$C$22*POWER(1+$C$2,A72-$F$2),Dashboard!$C$22)))</f>
        <v>0</v>
      </c>
      <c r="E72" s="24">
        <f>IF(A72&gt;=$F$2,0,IF(A72=0,Dashboard!$G$10,IF(B72&lt;Dashboard!$I$6,IF($J$2&lt;=Dashboard!$H$10,Dashboard!$H$10,MAX(Dashboard!$H$10,MIN($J$2,Dashboard!$H$10*POWER($J$2/Dashboard!$H$10,A72/$D$2)))),$I$2-D72-Dashboard!$I$10-Dashboard!$J$10-Dashboard!$F$10*$I$2)))</f>
        <v>790.44431798630615</v>
      </c>
      <c r="F72" s="24">
        <f t="shared" si="12"/>
        <v>0</v>
      </c>
      <c r="G72" s="24">
        <f t="shared" si="13"/>
        <v>0</v>
      </c>
      <c r="H72" s="24">
        <f t="shared" si="14"/>
        <v>0</v>
      </c>
      <c r="I72" s="24">
        <f t="shared" si="15"/>
        <v>790.44431798630615</v>
      </c>
      <c r="J72" s="25">
        <f t="shared" si="16"/>
        <v>7.9741404289037643E-3</v>
      </c>
      <c r="K72" s="24">
        <f t="shared" si="21"/>
        <v>226997.02049716911</v>
      </c>
      <c r="L72" s="24" t="str">
        <f t="shared" si="17"/>
        <v/>
      </c>
      <c r="M72" s="24">
        <f t="shared" si="18"/>
        <v>2328.0289700906915</v>
      </c>
      <c r="N72" s="24">
        <f>IF(M72&lt;=0,0,IF($E$2-A72&lt;12,(M72-E72)*Dashboard!$B$18,IF($Q$2+A72&gt;=$R$2,MAX(0,M72-E72*POWER(1+$C$2,$E$2-A72))*MAX(Dashboard!$C$18,Dashboard!$B$18),IF($S$2&lt;$R$2,(M72-E72)*0.5*Dashboard!$B$18,(E72*POWER(1+$A$2,$R$2-($Q$2+A72))-E72)*0.5*Dashboard!$B$18+MAX(0,M72-E72*POWER(1+$A$2,$R$2-($Q$2+A72))*POWER(1+$C$2,$S$2-$R$2))*MAX(Dashboard!$C$18,Dashboard!$B$18)))))</f>
        <v>602.69312777067944</v>
      </c>
    </row>
    <row r="73" spans="1:14" x14ac:dyDescent="0.2">
      <c r="A73" s="22">
        <f t="shared" si="19"/>
        <v>68</v>
      </c>
      <c r="B73" s="23">
        <f t="shared" si="20"/>
        <v>23.72146118721453</v>
      </c>
      <c r="C73" t="str">
        <f t="shared" si="11"/>
        <v>23 y 8.66 m</v>
      </c>
      <c r="D73" s="24">
        <f>IF(A73&gt;=$E$2,IF(A73&lt;$E$2+$H$2,$P$2,0),IF(B73&lt;Dashboard!$I$6,0,IF(A73&gt;=$F$2,Dashboard!$C$22*POWER(1+$C$2,A73-$F$2),Dashboard!$C$22)))</f>
        <v>0</v>
      </c>
      <c r="E73" s="24">
        <f>IF(A73&gt;=$F$2,0,IF(A73=0,Dashboard!$G$10,IF(B73&lt;Dashboard!$I$6,IF($J$2&lt;=Dashboard!$H$10,Dashboard!$H$10,MAX(Dashboard!$H$10,MIN($J$2,Dashboard!$H$10*POWER($J$2/Dashboard!$H$10,A73/$D$2)))),$I$2-D73-Dashboard!$I$10-Dashboard!$J$10-Dashboard!$F$10*$I$2)))</f>
        <v>795.86601100861697</v>
      </c>
      <c r="F73" s="24">
        <f t="shared" si="12"/>
        <v>0</v>
      </c>
      <c r="G73" s="24">
        <f t="shared" si="13"/>
        <v>0</v>
      </c>
      <c r="H73" s="24">
        <f t="shared" si="14"/>
        <v>0</v>
      </c>
      <c r="I73" s="24">
        <f t="shared" si="15"/>
        <v>795.86601100861697</v>
      </c>
      <c r="J73" s="25">
        <f t="shared" si="16"/>
        <v>7.9741404289037643E-3</v>
      </c>
      <c r="K73" s="24">
        <f t="shared" si="21"/>
        <v>229609.33897389928</v>
      </c>
      <c r="L73" s="24" t="str">
        <f t="shared" si="17"/>
        <v/>
      </c>
      <c r="M73" s="24">
        <f t="shared" si="18"/>
        <v>2325.4535321640601</v>
      </c>
      <c r="N73" s="24">
        <f>IF(M73&lt;=0,0,IF($E$2-A73&lt;12,(M73-E73)*Dashboard!$B$18,IF($Q$2+A73&gt;=$R$2,MAX(0,M73-E73*POWER(1+$C$2,$E$2-A73))*MAX(Dashboard!$C$18,Dashboard!$B$18),IF($S$2&lt;$R$2,(M73-E73)*0.5*Dashboard!$B$18,(E73*POWER(1+$A$2,$R$2-($Q$2+A73))-E73)*0.5*Dashboard!$B$18+MAX(0,M73-E73*POWER(1+$A$2,$R$2-($Q$2+A73))*POWER(1+$C$2,$S$2-$R$2))*MAX(Dashboard!$C$18,Dashboard!$B$18)))))</f>
        <v>599.12880315749692</v>
      </c>
    </row>
    <row r="74" spans="1:14" x14ac:dyDescent="0.2">
      <c r="A74" s="22">
        <f t="shared" si="19"/>
        <v>69</v>
      </c>
      <c r="B74" s="23">
        <f t="shared" si="20"/>
        <v>23.804794520547862</v>
      </c>
      <c r="C74" t="str">
        <f t="shared" si="11"/>
        <v>23 y 9.66 m</v>
      </c>
      <c r="D74" s="24">
        <f>IF(A74&gt;=$E$2,IF(A74&lt;$E$2+$H$2,$P$2,0),IF(B74&lt;Dashboard!$I$6,0,IF(A74&gt;=$F$2,Dashboard!$C$22*POWER(1+$C$2,A74-$F$2),Dashboard!$C$22)))</f>
        <v>0</v>
      </c>
      <c r="E74" s="24">
        <f>IF(A74&gt;=$F$2,0,IF(A74=0,Dashboard!$G$10,IF(B74&lt;Dashboard!$I$6,IF($J$2&lt;=Dashboard!$H$10,Dashboard!$H$10,MAX(Dashboard!$H$10,MIN($J$2,Dashboard!$H$10*POWER($J$2/Dashboard!$H$10,A74/$D$2)))),$I$2-D74-Dashboard!$I$10-Dashboard!$J$10-Dashboard!$F$10*$I$2)))</f>
        <v>801.32489166648861</v>
      </c>
      <c r="F74" s="24">
        <f t="shared" si="12"/>
        <v>0</v>
      </c>
      <c r="G74" s="24">
        <f t="shared" si="13"/>
        <v>0</v>
      </c>
      <c r="H74" s="24">
        <f t="shared" si="14"/>
        <v>0</v>
      </c>
      <c r="I74" s="24">
        <f t="shared" si="15"/>
        <v>801.32489166648861</v>
      </c>
      <c r="J74" s="25">
        <f t="shared" si="16"/>
        <v>7.9741404289037643E-3</v>
      </c>
      <c r="K74" s="24">
        <f t="shared" si="21"/>
        <v>232247.99085554673</v>
      </c>
      <c r="L74" s="24" t="str">
        <f t="shared" si="17"/>
        <v/>
      </c>
      <c r="M74" s="24">
        <f t="shared" si="18"/>
        <v>2322.8809433774531</v>
      </c>
      <c r="N74" s="24">
        <f>IF(M74&lt;=0,0,IF($E$2-A74&lt;12,(M74-E74)*Dashboard!$B$18,IF($Q$2+A74&gt;=$R$2,MAX(0,M74-E74*POWER(1+$C$2,$E$2-A74))*MAX(Dashboard!$C$18,Dashboard!$B$18),IF($S$2&lt;$R$2,(M74-E74)*0.5*Dashboard!$B$18,(E74*POWER(1+$A$2,$R$2-($Q$2+A74))-E74)*0.5*Dashboard!$B$18+MAX(0,M74-E74*POWER(1+$A$2,$R$2-($Q$2+A74))*POWER(1+$C$2,$S$2-$R$2))*MAX(Dashboard!$C$18,Dashboard!$B$18)))))</f>
        <v>595.55454415439669</v>
      </c>
    </row>
    <row r="75" spans="1:14" x14ac:dyDescent="0.2">
      <c r="A75" s="22">
        <f t="shared" si="19"/>
        <v>70</v>
      </c>
      <c r="B75" s="23">
        <f t="shared" si="20"/>
        <v>23.888127853881194</v>
      </c>
      <c r="C75" t="str">
        <f t="shared" si="11"/>
        <v>23 y 10.66 m</v>
      </c>
      <c r="D75" s="24">
        <f>IF(A75&gt;=$E$2,IF(A75&lt;$E$2+$H$2,$P$2,0),IF(B75&lt;Dashboard!$I$6,0,IF(A75&gt;=$F$2,Dashboard!$C$22*POWER(1+$C$2,A75-$F$2),Dashboard!$C$22)))</f>
        <v>0</v>
      </c>
      <c r="E75" s="24">
        <f>IF(A75&gt;=$F$2,0,IF(A75=0,Dashboard!$G$10,IF(B75&lt;Dashboard!$I$6,IF($J$2&lt;=Dashboard!$H$10,Dashboard!$H$10,MAX(Dashboard!$H$10,MIN($J$2,Dashboard!$H$10*POWER($J$2/Dashboard!$H$10,A75/$D$2)))),$I$2-D75-Dashboard!$I$10-Dashboard!$J$10-Dashboard!$F$10*$I$2)))</f>
        <v>806.82121503158055</v>
      </c>
      <c r="F75" s="24">
        <f t="shared" si="12"/>
        <v>0</v>
      </c>
      <c r="G75" s="24">
        <f t="shared" si="13"/>
        <v>0</v>
      </c>
      <c r="H75" s="24">
        <f t="shared" si="14"/>
        <v>0</v>
      </c>
      <c r="I75" s="24">
        <f t="shared" si="15"/>
        <v>806.82121503158055</v>
      </c>
      <c r="J75" s="25">
        <f t="shared" si="16"/>
        <v>7.9741404289037643E-3</v>
      </c>
      <c r="K75" s="24">
        <f t="shared" si="21"/>
        <v>234913.22386966087</v>
      </c>
      <c r="L75" s="24" t="str">
        <f t="shared" si="17"/>
        <v/>
      </c>
      <c r="M75" s="24">
        <f t="shared" si="18"/>
        <v>2320.3112005789399</v>
      </c>
      <c r="N75" s="24">
        <f>IF(M75&lt;=0,0,IF($E$2-A75&lt;12,(M75-E75)*Dashboard!$B$18,IF($Q$2+A75&gt;=$R$2,MAX(0,M75-E75*POWER(1+$C$2,$E$2-A75))*MAX(Dashboard!$C$18,Dashboard!$B$18),IF($S$2&lt;$R$2,(M75-E75)*0.5*Dashboard!$B$18,(E75*POWER(1+$A$2,$R$2-($Q$2+A75))-E75)*0.5*Dashboard!$B$18+MAX(0,M75-E75*POWER(1+$A$2,$R$2-($Q$2+A75))*POWER(1+$C$2,$S$2-$R$2))*MAX(Dashboard!$C$18,Dashboard!$B$18)))))</f>
        <v>591.97029528737789</v>
      </c>
    </row>
    <row r="76" spans="1:14" x14ac:dyDescent="0.2">
      <c r="A76" s="22">
        <f t="shared" si="19"/>
        <v>71</v>
      </c>
      <c r="B76" s="23">
        <f t="shared" si="20"/>
        <v>23.971461187214526</v>
      </c>
      <c r="C76" t="str">
        <f t="shared" si="11"/>
        <v>23 y 11.66 m</v>
      </c>
      <c r="D76" s="24">
        <f>IF(A76&gt;=$E$2,IF(A76&lt;$E$2+$H$2,$P$2,0),IF(B76&lt;Dashboard!$I$6,0,IF(A76&gt;=$F$2,Dashboard!$C$22*POWER(1+$C$2,A76-$F$2),Dashboard!$C$22)))</f>
        <v>0</v>
      </c>
      <c r="E76" s="24">
        <f>IF(A76&gt;=$F$2,0,IF(A76=0,Dashboard!$G$10,IF(B76&lt;Dashboard!$I$6,IF($J$2&lt;=Dashboard!$H$10,Dashboard!$H$10,MAX(Dashboard!$H$10,MIN($J$2,Dashboard!$H$10*POWER($J$2/Dashboard!$H$10,A76/$D$2)))),$I$2-D76-Dashboard!$I$10-Dashboard!$J$10-Dashboard!$F$10*$I$2)))</f>
        <v>812.35523792510071</v>
      </c>
      <c r="F76" s="24">
        <f t="shared" si="12"/>
        <v>0</v>
      </c>
      <c r="G76" s="24">
        <f t="shared" si="13"/>
        <v>0</v>
      </c>
      <c r="H76" s="24">
        <f t="shared" si="14"/>
        <v>0</v>
      </c>
      <c r="I76" s="24">
        <f t="shared" si="15"/>
        <v>812.35523792510071</v>
      </c>
      <c r="J76" s="25">
        <f t="shared" si="16"/>
        <v>7.9741404289037643E-3</v>
      </c>
      <c r="K76" s="24">
        <f t="shared" si="21"/>
        <v>237605.28797807454</v>
      </c>
      <c r="L76" s="24" t="str">
        <f t="shared" si="17"/>
        <v/>
      </c>
      <c r="M76" s="24">
        <f t="shared" si="18"/>
        <v>2317.744300620077</v>
      </c>
      <c r="N76" s="24">
        <f>IF(M76&lt;=0,0,IF($E$2-A76&lt;12,(M76-E76)*Dashboard!$B$18,IF($Q$2+A76&gt;=$R$2,MAX(0,M76-E76*POWER(1+$C$2,$E$2-A76))*MAX(Dashboard!$C$18,Dashboard!$B$18),IF($S$2&lt;$R$2,(M76-E76)*0.5*Dashboard!$B$18,(E76*POWER(1+$A$2,$R$2-($Q$2+A76))-E76)*0.5*Dashboard!$B$18+MAX(0,M76-E76*POWER(1+$A$2,$R$2-($Q$2+A76))*POWER(1+$C$2,$S$2-$R$2))*MAX(Dashboard!$C$18,Dashboard!$B$18)))))</f>
        <v>588.37600082548965</v>
      </c>
    </row>
    <row r="77" spans="1:14" x14ac:dyDescent="0.2">
      <c r="A77" s="22">
        <f t="shared" si="19"/>
        <v>72</v>
      </c>
      <c r="B77" s="23">
        <f t="shared" si="20"/>
        <v>24.054794520547858</v>
      </c>
      <c r="C77" t="str">
        <f t="shared" si="11"/>
        <v>24 y 0.66 m</v>
      </c>
      <c r="D77" s="24">
        <f>IF(A77&gt;=$E$2,IF(A77&lt;$E$2+$H$2,$P$2,0),IF(B77&lt;Dashboard!$I$6,0,IF(A77&gt;=$F$2,Dashboard!$C$22*POWER(1+$C$2,A77-$F$2),Dashboard!$C$22)))</f>
        <v>0</v>
      </c>
      <c r="E77" s="24">
        <f>IF(A77&gt;=$F$2,0,IF(A77=0,Dashboard!$G$10,IF(B77&lt;Dashboard!$I$6,IF($J$2&lt;=Dashboard!$H$10,Dashboard!$H$10,MAX(Dashboard!$H$10,MIN($J$2,Dashboard!$H$10*POWER($J$2/Dashboard!$H$10,A77/$D$2)))),$I$2-D77-Dashboard!$I$10-Dashboard!$J$10-Dashboard!$F$10*$I$2)))</f>
        <v>817.92721892980524</v>
      </c>
      <c r="F77" s="24">
        <f t="shared" si="12"/>
        <v>0</v>
      </c>
      <c r="G77" s="24">
        <f t="shared" si="13"/>
        <v>0</v>
      </c>
      <c r="H77" s="24">
        <f t="shared" si="14"/>
        <v>0</v>
      </c>
      <c r="I77" s="24">
        <f t="shared" si="15"/>
        <v>817.92721892980524</v>
      </c>
      <c r="J77" s="25">
        <f t="shared" si="16"/>
        <v>7.9741404289037643E-3</v>
      </c>
      <c r="K77" s="24">
        <f t="shared" si="21"/>
        <v>240324.435396496</v>
      </c>
      <c r="L77" s="24" t="str">
        <f t="shared" si="17"/>
        <v/>
      </c>
      <c r="M77" s="24">
        <f t="shared" si="18"/>
        <v>2315.1802403559059</v>
      </c>
      <c r="N77" s="24">
        <f>IF(M77&lt;=0,0,IF($E$2-A77&lt;12,(M77-E77)*Dashboard!$B$18,IF($Q$2+A77&gt;=$R$2,MAX(0,M77-E77*POWER(1+$C$2,$E$2-A77))*MAX(Dashboard!$C$18,Dashboard!$B$18),IF($S$2&lt;$R$2,(M77-E77)*0.5*Dashboard!$B$18,(E77*POWER(1+$A$2,$R$2-($Q$2+A77))-E77)*0.5*Dashboard!$B$18+MAX(0,M77-E77*POWER(1+$A$2,$R$2-($Q$2+A77))*POWER(1+$C$2,$S$2-$R$2))*MAX(Dashboard!$C$18,Dashboard!$B$18)))))</f>
        <v>584.7716047795916</v>
      </c>
    </row>
    <row r="78" spans="1:14" x14ac:dyDescent="0.2">
      <c r="A78" s="22">
        <f t="shared" si="19"/>
        <v>73</v>
      </c>
      <c r="B78" s="23">
        <f t="shared" si="20"/>
        <v>24.138127853881191</v>
      </c>
      <c r="C78" t="str">
        <f t="shared" si="11"/>
        <v>24 y 1.66 m</v>
      </c>
      <c r="D78" s="24">
        <f>IF(A78&gt;=$E$2,IF(A78&lt;$E$2+$H$2,$P$2,0),IF(B78&lt;Dashboard!$I$6,0,IF(A78&gt;=$F$2,Dashboard!$C$22*POWER(1+$C$2,A78-$F$2),Dashboard!$C$22)))</f>
        <v>0</v>
      </c>
      <c r="E78" s="24">
        <f>IF(A78&gt;=$F$2,0,IF(A78=0,Dashboard!$G$10,IF(B78&lt;Dashboard!$I$6,IF($J$2&lt;=Dashboard!$H$10,Dashboard!$H$10,MAX(Dashboard!$H$10,MIN($J$2,Dashboard!$H$10*POWER($J$2/Dashboard!$H$10,A78/$D$2)))),$I$2-D78-Dashboard!$I$10-Dashboard!$J$10-Dashboard!$F$10*$I$2)))</f>
        <v>823.53741840208068</v>
      </c>
      <c r="F78" s="24">
        <f t="shared" si="12"/>
        <v>0</v>
      </c>
      <c r="G78" s="24">
        <f t="shared" si="13"/>
        <v>0</v>
      </c>
      <c r="H78" s="24">
        <f t="shared" si="14"/>
        <v>0</v>
      </c>
      <c r="I78" s="24">
        <f t="shared" si="15"/>
        <v>823.53741840208068</v>
      </c>
      <c r="J78" s="25">
        <f t="shared" si="16"/>
        <v>7.9741404289037643E-3</v>
      </c>
      <c r="K78" s="24">
        <f t="shared" si="21"/>
        <v>243070.92061426956</v>
      </c>
      <c r="L78" s="24" t="str">
        <f t="shared" si="17"/>
        <v/>
      </c>
      <c r="M78" s="24">
        <f t="shared" si="18"/>
        <v>2312.6190166449455</v>
      </c>
      <c r="N78" s="24">
        <f>IF(M78&lt;=0,0,IF($E$2-A78&lt;12,(M78-E78)*Dashboard!$B$18,IF($Q$2+A78&gt;=$R$2,MAX(0,M78-E78*POWER(1+$C$2,$E$2-A78))*MAX(Dashboard!$C$18,Dashboard!$B$18),IF($S$2&lt;$R$2,(M78-E78)*0.5*Dashboard!$B$18,(E78*POWER(1+$A$2,$R$2-($Q$2+A78))-E78)*0.5*Dashboard!$B$18+MAX(0,M78-E78*POWER(1+$A$2,$R$2-($Q$2+A78))*POWER(1+$C$2,$S$2-$R$2))*MAX(Dashboard!$C$18,Dashboard!$B$18)))))</f>
        <v>581.15705090110521</v>
      </c>
    </row>
    <row r="79" spans="1:14" x14ac:dyDescent="0.2">
      <c r="A79" s="22">
        <f t="shared" si="19"/>
        <v>74</v>
      </c>
      <c r="B79" s="23">
        <f t="shared" si="20"/>
        <v>24.221461187214523</v>
      </c>
      <c r="C79" t="str">
        <f t="shared" si="11"/>
        <v>24 y 2.66 m</v>
      </c>
      <c r="D79" s="24">
        <f>IF(A79&gt;=$E$2,IF(A79&lt;$E$2+$H$2,$P$2,0),IF(B79&lt;Dashboard!$I$6,0,IF(A79&gt;=$F$2,Dashboard!$C$22*POWER(1+$C$2,A79-$F$2),Dashboard!$C$22)))</f>
        <v>0</v>
      </c>
      <c r="E79" s="24">
        <f>IF(A79&gt;=$F$2,0,IF(A79=0,Dashboard!$G$10,IF(B79&lt;Dashboard!$I$6,IF($J$2&lt;=Dashboard!$H$10,Dashboard!$H$10,MAX(Dashboard!$H$10,MIN($J$2,Dashboard!$H$10*POWER($J$2/Dashboard!$H$10,A79/$D$2)))),$I$2-D79-Dashboard!$I$10-Dashboard!$J$10-Dashboard!$F$10*$I$2)))</f>
        <v>829.18609848411006</v>
      </c>
      <c r="F79" s="24">
        <f t="shared" si="12"/>
        <v>0</v>
      </c>
      <c r="G79" s="24">
        <f t="shared" si="13"/>
        <v>0</v>
      </c>
      <c r="H79" s="24">
        <f t="shared" si="14"/>
        <v>0</v>
      </c>
      <c r="I79" s="24">
        <f t="shared" si="15"/>
        <v>829.18609848411006</v>
      </c>
      <c r="J79" s="25">
        <f t="shared" si="16"/>
        <v>7.9741404289037643E-3</v>
      </c>
      <c r="K79" s="24">
        <f t="shared" si="21"/>
        <v>245845.0004143058</v>
      </c>
      <c r="L79" s="24" t="str">
        <f t="shared" si="17"/>
        <v/>
      </c>
      <c r="M79" s="24">
        <f t="shared" si="18"/>
        <v>2310.0606263491918</v>
      </c>
      <c r="N79" s="24">
        <f>IF(M79&lt;=0,0,IF($E$2-A79&lt;12,(M79-E79)*Dashboard!$B$18,IF($Q$2+A79&gt;=$R$2,MAX(0,M79-E79*POWER(1+$C$2,$E$2-A79))*MAX(Dashboard!$C$18,Dashboard!$B$18),IF($S$2&lt;$R$2,(M79-E79)*0.5*Dashboard!$B$18,(E79*POWER(1+$A$2,$R$2-($Q$2+A79))-E79)*0.5*Dashboard!$B$18+MAX(0,M79-E79*POWER(1+$A$2,$R$2-($Q$2+A79))*POWER(1+$C$2,$S$2-$R$2))*MAX(Dashboard!$C$18,Dashboard!$B$18)))))</f>
        <v>577.53228268076475</v>
      </c>
    </row>
    <row r="80" spans="1:14" x14ac:dyDescent="0.2">
      <c r="A80" s="22">
        <f t="shared" si="19"/>
        <v>75</v>
      </c>
      <c r="B80" s="23">
        <f t="shared" si="20"/>
        <v>24.304794520547855</v>
      </c>
      <c r="C80" t="str">
        <f t="shared" si="11"/>
        <v>24 y 3.66 m</v>
      </c>
      <c r="D80" s="24">
        <f>IF(A80&gt;=$E$2,IF(A80&lt;$E$2+$H$2,$P$2,0),IF(B80&lt;Dashboard!$I$6,0,IF(A80&gt;=$F$2,Dashboard!$C$22*POWER(1+$C$2,A80-$F$2),Dashboard!$C$22)))</f>
        <v>0</v>
      </c>
      <c r="E80" s="24">
        <f>IF(A80&gt;=$F$2,0,IF(A80=0,Dashboard!$G$10,IF(B80&lt;Dashboard!$I$6,IF($J$2&lt;=Dashboard!$H$10,Dashboard!$H$10,MAX(Dashboard!$H$10,MIN($J$2,Dashboard!$H$10*POWER($J$2/Dashboard!$H$10,A80/$D$2)))),$I$2-D80-Dashboard!$I$10-Dashboard!$J$10-Dashboard!$F$10*$I$2)))</f>
        <v>834.87352311612131</v>
      </c>
      <c r="F80" s="24">
        <f t="shared" si="12"/>
        <v>0</v>
      </c>
      <c r="G80" s="24">
        <f t="shared" si="13"/>
        <v>0</v>
      </c>
      <c r="H80" s="24">
        <f t="shared" si="14"/>
        <v>0</v>
      </c>
      <c r="I80" s="24">
        <f t="shared" si="15"/>
        <v>834.87352311612131</v>
      </c>
      <c r="J80" s="25">
        <f t="shared" si="16"/>
        <v>7.9741404289037643E-3</v>
      </c>
      <c r="K80" s="24">
        <f t="shared" si="21"/>
        <v>248646.93389318319</v>
      </c>
      <c r="L80" s="24" t="str">
        <f t="shared" si="17"/>
        <v/>
      </c>
      <c r="M80" s="24">
        <f t="shared" si="18"/>
        <v>2307.5050663341099</v>
      </c>
      <c r="N80" s="24">
        <f>IF(M80&lt;=0,0,IF($E$2-A80&lt;12,(M80-E80)*Dashboard!$B$18,IF($Q$2+A80&gt;=$R$2,MAX(0,M80-E80*POWER(1+$C$2,$E$2-A80))*MAX(Dashboard!$C$18,Dashboard!$B$18),IF($S$2&lt;$R$2,(M80-E80)*0.5*Dashboard!$B$18,(E80*POWER(1+$A$2,$R$2-($Q$2+A80))-E80)*0.5*Dashboard!$B$18+MAX(0,M80-E80*POWER(1+$A$2,$R$2-($Q$2+A80))*POWER(1+$C$2,$S$2-$R$2))*MAX(Dashboard!$C$18,Dashboard!$B$18)))))</f>
        <v>573.89724334735547</v>
      </c>
    </row>
    <row r="81" spans="1:14" x14ac:dyDescent="0.2">
      <c r="A81" s="22">
        <f t="shared" si="19"/>
        <v>76</v>
      </c>
      <c r="B81" s="23">
        <f t="shared" si="20"/>
        <v>24.388127853881187</v>
      </c>
      <c r="C81" t="str">
        <f t="shared" si="11"/>
        <v>24 y 4.66 m</v>
      </c>
      <c r="D81" s="24">
        <f>IF(A81&gt;=$E$2,IF(A81&lt;$E$2+$H$2,$P$2,0),IF(B81&lt;Dashboard!$I$6,0,IF(A81&gt;=$F$2,Dashboard!$C$22*POWER(1+$C$2,A81-$F$2),Dashboard!$C$22)))</f>
        <v>0</v>
      </c>
      <c r="E81" s="24">
        <f>IF(A81&gt;=$F$2,0,IF(A81=0,Dashboard!$G$10,IF(B81&lt;Dashboard!$I$6,IF($J$2&lt;=Dashboard!$H$10,Dashboard!$H$10,MAX(Dashboard!$H$10,MIN($J$2,Dashboard!$H$10*POWER($J$2/Dashboard!$H$10,A81/$D$2)))),$I$2-D81-Dashboard!$I$10-Dashboard!$J$10-Dashboard!$F$10*$I$2)))</f>
        <v>840.59995804871983</v>
      </c>
      <c r="F81" s="24">
        <f t="shared" si="12"/>
        <v>0</v>
      </c>
      <c r="G81" s="24">
        <f t="shared" si="13"/>
        <v>0</v>
      </c>
      <c r="H81" s="24">
        <f t="shared" si="14"/>
        <v>0</v>
      </c>
      <c r="I81" s="24">
        <f t="shared" si="15"/>
        <v>840.59995804871983</v>
      </c>
      <c r="J81" s="25">
        <f t="shared" si="16"/>
        <v>7.9741404289037643E-3</v>
      </c>
      <c r="K81" s="24">
        <f t="shared" si="21"/>
        <v>251476.98248142251</v>
      </c>
      <c r="L81" s="24" t="str">
        <f t="shared" si="17"/>
        <v/>
      </c>
      <c r="M81" s="24">
        <f t="shared" si="18"/>
        <v>2304.9523334686337</v>
      </c>
      <c r="N81" s="24">
        <f>IF(M81&lt;=0,0,IF($E$2-A81&lt;12,(M81-E81)*Dashboard!$B$18,IF($Q$2+A81&gt;=$R$2,MAX(0,M81-E81*POWER(1+$C$2,$E$2-A81))*MAX(Dashboard!$C$18,Dashboard!$B$18),IF($S$2&lt;$R$2,(M81-E81)*0.5*Dashboard!$B$18,(E81*POWER(1+$A$2,$R$2-($Q$2+A81))-E81)*0.5*Dashboard!$B$18+MAX(0,M81-E81*POWER(1+$A$2,$R$2-($Q$2+A81))*POWER(1+$C$2,$S$2-$R$2))*MAX(Dashboard!$C$18,Dashboard!$B$18)))))</f>
        <v>570.25187586645256</v>
      </c>
    </row>
    <row r="82" spans="1:14" x14ac:dyDescent="0.2">
      <c r="A82" s="22">
        <f t="shared" si="19"/>
        <v>77</v>
      </c>
      <c r="B82" s="23">
        <f t="shared" si="20"/>
        <v>24.471461187214519</v>
      </c>
      <c r="C82" t="str">
        <f t="shared" si="11"/>
        <v>24 y 5.66 m</v>
      </c>
      <c r="D82" s="24">
        <f>IF(A82&gt;=$E$2,IF(A82&lt;$E$2+$H$2,$P$2,0),IF(B82&lt;Dashboard!$I$6,0,IF(A82&gt;=$F$2,Dashboard!$C$22*POWER(1+$C$2,A82-$F$2),Dashboard!$C$22)))</f>
        <v>0</v>
      </c>
      <c r="E82" s="24">
        <f>IF(A82&gt;=$F$2,0,IF(A82=0,Dashboard!$G$10,IF(B82&lt;Dashboard!$I$6,IF($J$2&lt;=Dashboard!$H$10,Dashboard!$H$10,MAX(Dashboard!$H$10,MIN($J$2,Dashboard!$H$10*POWER($J$2/Dashboard!$H$10,A82/$D$2)))),$I$2-D82-Dashboard!$I$10-Dashboard!$J$10-Dashboard!$F$10*$I$2)))</f>
        <v>846.36567085530692</v>
      </c>
      <c r="F82" s="24">
        <f t="shared" si="12"/>
        <v>0</v>
      </c>
      <c r="G82" s="24">
        <f t="shared" si="13"/>
        <v>0</v>
      </c>
      <c r="H82" s="24">
        <f t="shared" si="14"/>
        <v>0</v>
      </c>
      <c r="I82" s="24">
        <f t="shared" si="15"/>
        <v>846.36567085530692</v>
      </c>
      <c r="J82" s="25">
        <f t="shared" si="16"/>
        <v>7.9741404289037643E-3</v>
      </c>
      <c r="K82" s="24">
        <f t="shared" si="21"/>
        <v>254335.40996393526</v>
      </c>
      <c r="L82" s="24" t="str">
        <f t="shared" si="17"/>
        <v/>
      </c>
      <c r="M82" s="24">
        <f t="shared" si="18"/>
        <v>2302.4024246251633</v>
      </c>
      <c r="N82" s="24">
        <f>IF(M82&lt;=0,0,IF($E$2-A82&lt;12,(M82-E82)*Dashboard!$B$18,IF($Q$2+A82&gt;=$R$2,MAX(0,M82-E82*POWER(1+$C$2,$E$2-A82))*MAX(Dashboard!$C$18,Dashboard!$B$18),IF($S$2&lt;$R$2,(M82-E82)*0.5*Dashboard!$B$18,(E82*POWER(1+$A$2,$R$2-($Q$2+A82))-E82)*0.5*Dashboard!$B$18+MAX(0,M82-E82*POWER(1+$A$2,$R$2-($Q$2+A82))*POWER(1+$C$2,$S$2-$R$2))*MAX(Dashboard!$C$18,Dashboard!$B$18)))))</f>
        <v>566.59612293915075</v>
      </c>
    </row>
    <row r="83" spans="1:14" x14ac:dyDescent="0.2">
      <c r="A83" s="22">
        <f t="shared" si="19"/>
        <v>78</v>
      </c>
      <c r="B83" s="23">
        <f t="shared" si="20"/>
        <v>24.554794520547851</v>
      </c>
      <c r="C83" t="str">
        <f t="shared" si="11"/>
        <v>24 y 6.66 m</v>
      </c>
      <c r="D83" s="24">
        <f>IF(A83&gt;=$E$2,IF(A83&lt;$E$2+$H$2,$P$2,0),IF(B83&lt;Dashboard!$I$6,0,IF(A83&gt;=$F$2,Dashboard!$C$22*POWER(1+$C$2,A83-$F$2),Dashboard!$C$22)))</f>
        <v>0</v>
      </c>
      <c r="E83" s="24">
        <f>IF(A83&gt;=$F$2,0,IF(A83=0,Dashboard!$G$10,IF(B83&lt;Dashboard!$I$6,IF($J$2&lt;=Dashboard!$H$10,Dashboard!$H$10,MAX(Dashboard!$H$10,MIN($J$2,Dashboard!$H$10*POWER($J$2/Dashboard!$H$10,A83/$D$2)))),$I$2-D83-Dashboard!$I$10-Dashboard!$J$10-Dashboard!$F$10*$I$2)))</f>
        <v>852.17093094458164</v>
      </c>
      <c r="F83" s="24">
        <f t="shared" si="12"/>
        <v>0</v>
      </c>
      <c r="G83" s="24">
        <f t="shared" si="13"/>
        <v>0</v>
      </c>
      <c r="H83" s="24">
        <f t="shared" si="14"/>
        <v>0</v>
      </c>
      <c r="I83" s="24">
        <f t="shared" si="15"/>
        <v>852.17093094458164</v>
      </c>
      <c r="J83" s="25">
        <f t="shared" si="16"/>
        <v>7.9741404289037643E-3</v>
      </c>
      <c r="K83" s="24">
        <f t="shared" si="21"/>
        <v>257222.48250064786</v>
      </c>
      <c r="L83" s="24" t="str">
        <f t="shared" si="17"/>
        <v/>
      </c>
      <c r="M83" s="24">
        <f t="shared" si="18"/>
        <v>2299.8553366795554</v>
      </c>
      <c r="N83" s="24">
        <f>IF(M83&lt;=0,0,IF($E$2-A83&lt;12,(M83-E83)*Dashboard!$B$18,IF($Q$2+A83&gt;=$R$2,MAX(0,M83-E83*POWER(1+$C$2,$E$2-A83))*MAX(Dashboard!$C$18,Dashboard!$B$18),IF($S$2&lt;$R$2,(M83-E83)*0.5*Dashboard!$B$18,(E83*POWER(1+$A$2,$R$2-($Q$2+A83))-E83)*0.5*Dashboard!$B$18+MAX(0,M83-E83*POWER(1+$A$2,$R$2-($Q$2+A83))*POWER(1+$C$2,$S$2-$R$2))*MAX(Dashboard!$C$18,Dashboard!$B$18)))))</f>
        <v>562.92992700078503</v>
      </c>
    </row>
    <row r="84" spans="1:14" x14ac:dyDescent="0.2">
      <c r="A84" s="22">
        <f t="shared" si="19"/>
        <v>79</v>
      </c>
      <c r="B84" s="23">
        <f t="shared" si="20"/>
        <v>24.638127853881183</v>
      </c>
      <c r="C84" t="str">
        <f t="shared" si="11"/>
        <v>24 y 7.66 m</v>
      </c>
      <c r="D84" s="24">
        <f>IF(A84&gt;=$E$2,IF(A84&lt;$E$2+$H$2,$P$2,0),IF(B84&lt;Dashboard!$I$6,0,IF(A84&gt;=$F$2,Dashboard!$C$22*POWER(1+$C$2,A84-$F$2),Dashboard!$C$22)))</f>
        <v>0</v>
      </c>
      <c r="E84" s="24">
        <f>IF(A84&gt;=$F$2,0,IF(A84=0,Dashboard!$G$10,IF(B84&lt;Dashboard!$I$6,IF($J$2&lt;=Dashboard!$H$10,Dashboard!$H$10,MAX(Dashboard!$H$10,MIN($J$2,Dashboard!$H$10*POWER($J$2/Dashboard!$H$10,A84/$D$2)))),$I$2-D84-Dashboard!$I$10-Dashboard!$J$10-Dashboard!$F$10*$I$2)))</f>
        <v>858.01600957312883</v>
      </c>
      <c r="F84" s="24">
        <f t="shared" si="12"/>
        <v>0</v>
      </c>
      <c r="G84" s="24">
        <f t="shared" si="13"/>
        <v>0</v>
      </c>
      <c r="H84" s="24">
        <f t="shared" si="14"/>
        <v>0</v>
      </c>
      <c r="I84" s="24">
        <f t="shared" si="15"/>
        <v>858.01600957312883</v>
      </c>
      <c r="J84" s="25">
        <f t="shared" si="16"/>
        <v>7.9741404289037643E-3</v>
      </c>
      <c r="K84" s="24">
        <f t="shared" si="21"/>
        <v>260138.46864730297</v>
      </c>
      <c r="L84" s="24" t="str">
        <f t="shared" si="17"/>
        <v/>
      </c>
      <c r="M84" s="24">
        <f t="shared" si="18"/>
        <v>2297.3110665111221</v>
      </c>
      <c r="N84" s="24">
        <f>IF(M84&lt;=0,0,IF($E$2-A84&lt;12,(M84-E84)*Dashboard!$B$18,IF($Q$2+A84&gt;=$R$2,MAX(0,M84-E84*POWER(1+$C$2,$E$2-A84))*MAX(Dashboard!$C$18,Dashboard!$B$18),IF($S$2&lt;$R$2,(M84-E84)*0.5*Dashboard!$B$18,(E84*POWER(1+$A$2,$R$2-($Q$2+A84))-E84)*0.5*Dashboard!$B$18+MAX(0,M84-E84*POWER(1+$A$2,$R$2-($Q$2+A84))*POWER(1+$C$2,$S$2-$R$2))*MAX(Dashboard!$C$18,Dashboard!$B$18)))))</f>
        <v>559.25323021965028</v>
      </c>
    </row>
    <row r="85" spans="1:14" x14ac:dyDescent="0.2">
      <c r="A85" s="22">
        <f t="shared" si="19"/>
        <v>80</v>
      </c>
      <c r="B85" s="23">
        <f t="shared" si="20"/>
        <v>24.721461187214516</v>
      </c>
      <c r="C85" t="str">
        <f t="shared" si="11"/>
        <v>24 y 8.66 m</v>
      </c>
      <c r="D85" s="24">
        <f>IF(A85&gt;=$E$2,IF(A85&lt;$E$2+$H$2,$P$2,0),IF(B85&lt;Dashboard!$I$6,0,IF(A85&gt;=$F$2,Dashboard!$C$22*POWER(1+$C$2,A85-$F$2),Dashboard!$C$22)))</f>
        <v>0</v>
      </c>
      <c r="E85" s="24">
        <f>IF(A85&gt;=$F$2,0,IF(A85=0,Dashboard!$G$10,IF(B85&lt;Dashboard!$I$6,IF($J$2&lt;=Dashboard!$H$10,Dashboard!$H$10,MAX(Dashboard!$H$10,MIN($J$2,Dashboard!$H$10*POWER($J$2/Dashboard!$H$10,A85/$D$2)))),$I$2-D85-Dashboard!$I$10-Dashboard!$J$10-Dashboard!$F$10*$I$2)))</f>
        <v>863.9011798580957</v>
      </c>
      <c r="F85" s="24">
        <f t="shared" si="12"/>
        <v>0</v>
      </c>
      <c r="G85" s="24">
        <f t="shared" si="13"/>
        <v>0</v>
      </c>
      <c r="H85" s="24">
        <f t="shared" si="14"/>
        <v>0</v>
      </c>
      <c r="I85" s="24">
        <f t="shared" si="15"/>
        <v>863.9011798580957</v>
      </c>
      <c r="J85" s="25">
        <f t="shared" si="16"/>
        <v>7.9741404289037643E-3</v>
      </c>
      <c r="K85" s="24">
        <f t="shared" si="21"/>
        <v>263083.63937643956</v>
      </c>
      <c r="L85" s="24" t="str">
        <f t="shared" si="17"/>
        <v/>
      </c>
      <c r="M85" s="24">
        <f t="shared" si="18"/>
        <v>2294.7696110026327</v>
      </c>
      <c r="N85" s="24">
        <f>IF(M85&lt;=0,0,IF($E$2-A85&lt;12,(M85-E85)*Dashboard!$B$18,IF($Q$2+A85&gt;=$R$2,MAX(0,M85-E85*POWER(1+$C$2,$E$2-A85))*MAX(Dashboard!$C$18,Dashboard!$B$18),IF($S$2&lt;$R$2,(M85-E85)*0.5*Dashboard!$B$18,(E85*POWER(1+$A$2,$R$2-($Q$2+A85))-E85)*0.5*Dashboard!$B$18+MAX(0,M85-E85*POWER(1+$A$2,$R$2-($Q$2+A85))*POWER(1+$C$2,$S$2-$R$2))*MAX(Dashboard!$C$18,Dashboard!$B$18)))))</f>
        <v>555.56597449571507</v>
      </c>
    </row>
    <row r="86" spans="1:14" x14ac:dyDescent="0.2">
      <c r="A86" s="22">
        <f t="shared" si="19"/>
        <v>81</v>
      </c>
      <c r="B86" s="23">
        <f t="shared" si="20"/>
        <v>24.804794520547848</v>
      </c>
      <c r="C86" t="str">
        <f t="shared" si="11"/>
        <v>24 y 9.66 m</v>
      </c>
      <c r="D86" s="24">
        <f>IF(A86&gt;=$E$2,IF(A86&lt;$E$2+$H$2,$P$2,0),IF(B86&lt;Dashboard!$I$6,0,IF(A86&gt;=$F$2,Dashboard!$C$22*POWER(1+$C$2,A86-$F$2),Dashboard!$C$22)))</f>
        <v>0</v>
      </c>
      <c r="E86" s="24">
        <f>IF(A86&gt;=$F$2,0,IF(A86=0,Dashboard!$G$10,IF(B86&lt;Dashboard!$I$6,IF($J$2&lt;=Dashboard!$H$10,Dashboard!$H$10,MAX(Dashboard!$H$10,MIN($J$2,Dashboard!$H$10*POWER($J$2/Dashboard!$H$10,A86/$D$2)))),$I$2-D86-Dashboard!$I$10-Dashboard!$J$10-Dashboard!$F$10*$I$2)))</f>
        <v>869.82671678995075</v>
      </c>
      <c r="F86" s="24">
        <f t="shared" si="12"/>
        <v>0</v>
      </c>
      <c r="G86" s="24">
        <f t="shared" si="13"/>
        <v>0</v>
      </c>
      <c r="H86" s="24">
        <f t="shared" si="14"/>
        <v>0</v>
      </c>
      <c r="I86" s="24">
        <f t="shared" si="15"/>
        <v>869.82671678995075</v>
      </c>
      <c r="J86" s="25">
        <f t="shared" si="16"/>
        <v>7.9741404289037643E-3</v>
      </c>
      <c r="K86" s="24">
        <f t="shared" si="21"/>
        <v>266058.26809855283</v>
      </c>
      <c r="L86" s="24" t="str">
        <f t="shared" si="17"/>
        <v/>
      </c>
      <c r="M86" s="24">
        <f t="shared" si="18"/>
        <v>2292.2309670403006</v>
      </c>
      <c r="N86" s="24">
        <f>IF(M86&lt;=0,0,IF($E$2-A86&lt;12,(M86-E86)*Dashboard!$B$18,IF($Q$2+A86&gt;=$R$2,MAX(0,M86-E86*POWER(1+$C$2,$E$2-A86))*MAX(Dashboard!$C$18,Dashboard!$B$18),IF($S$2&lt;$R$2,(M86-E86)*0.5*Dashboard!$B$18,(E86*POWER(1+$A$2,$R$2-($Q$2+A86))-E86)*0.5*Dashboard!$B$18+MAX(0,M86-E86*POWER(1+$A$2,$R$2-($Q$2+A86))*POWER(1+$C$2,$S$2-$R$2))*MAX(Dashboard!$C$18,Dashboard!$B$18)))))</f>
        <v>551.86810145932259</v>
      </c>
    </row>
    <row r="87" spans="1:14" x14ac:dyDescent="0.2">
      <c r="A87" s="22">
        <f t="shared" si="19"/>
        <v>82</v>
      </c>
      <c r="B87" s="23">
        <f t="shared" si="20"/>
        <v>24.88812785388118</v>
      </c>
      <c r="C87" t="str">
        <f t="shared" si="11"/>
        <v>24 y 10.66 m</v>
      </c>
      <c r="D87" s="24">
        <f>IF(A87&gt;=$E$2,IF(A87&lt;$E$2+$H$2,$P$2,0),IF(B87&lt;Dashboard!$I$6,0,IF(A87&gt;=$F$2,Dashboard!$C$22*POWER(1+$C$2,A87-$F$2),Dashboard!$C$22)))</f>
        <v>0</v>
      </c>
      <c r="E87" s="24">
        <f>IF(A87&gt;=$F$2,0,IF(A87=0,Dashboard!$G$10,IF(B87&lt;Dashboard!$I$6,IF($J$2&lt;=Dashboard!$H$10,Dashboard!$H$10,MAX(Dashboard!$H$10,MIN($J$2,Dashboard!$H$10*POWER($J$2/Dashboard!$H$10,A87/$D$2)))),$I$2-D87-Dashboard!$I$10-Dashboard!$J$10-Dashboard!$F$10*$I$2)))</f>
        <v>875.79289724533533</v>
      </c>
      <c r="F87" s="24">
        <f t="shared" si="12"/>
        <v>0</v>
      </c>
      <c r="G87" s="24">
        <f t="shared" si="13"/>
        <v>0</v>
      </c>
      <c r="H87" s="24">
        <f t="shared" si="14"/>
        <v>0</v>
      </c>
      <c r="I87" s="24">
        <f t="shared" si="15"/>
        <v>875.79289724533533</v>
      </c>
      <c r="J87" s="25">
        <f t="shared" si="16"/>
        <v>7.9741404289037643E-3</v>
      </c>
      <c r="K87" s="24">
        <f t="shared" si="21"/>
        <v>269062.63068343623</v>
      </c>
      <c r="L87" s="24" t="str">
        <f t="shared" si="17"/>
        <v/>
      </c>
      <c r="M87" s="24">
        <f t="shared" si="18"/>
        <v>2289.6951315137849</v>
      </c>
      <c r="N87" s="24">
        <f>IF(M87&lt;=0,0,IF($E$2-A87&lt;12,(M87-E87)*Dashboard!$B$18,IF($Q$2+A87&gt;=$R$2,MAX(0,M87-E87*POWER(1+$C$2,$E$2-A87))*MAX(Dashboard!$C$18,Dashboard!$B$18),IF($S$2&lt;$R$2,(M87-E87)*0.5*Dashboard!$B$18,(E87*POWER(1+$A$2,$R$2-($Q$2+A87))-E87)*0.5*Dashboard!$B$18+MAX(0,M87-E87*POWER(1+$A$2,$R$2-($Q$2+A87))*POWER(1+$C$2,$S$2-$R$2))*MAX(Dashboard!$C$18,Dashboard!$B$18)))))</f>
        <v>548.15955246989176</v>
      </c>
    </row>
    <row r="88" spans="1:14" x14ac:dyDescent="0.2">
      <c r="A88" s="22">
        <f t="shared" si="19"/>
        <v>83</v>
      </c>
      <c r="B88" s="23">
        <f t="shared" si="20"/>
        <v>24.971461187214512</v>
      </c>
      <c r="C88" t="str">
        <f t="shared" si="11"/>
        <v>24 y 11.66 m</v>
      </c>
      <c r="D88" s="24">
        <f>IF(A88&gt;=$E$2,IF(A88&lt;$E$2+$H$2,$P$2,0),IF(B88&lt;Dashboard!$I$6,0,IF(A88&gt;=$F$2,Dashboard!$C$22*POWER(1+$C$2,A88-$F$2),Dashboard!$C$22)))</f>
        <v>0</v>
      </c>
      <c r="E88" s="24">
        <f>IF(A88&gt;=$F$2,0,IF(A88=0,Dashboard!$G$10,IF(B88&lt;Dashboard!$I$6,IF($J$2&lt;=Dashboard!$H$10,Dashboard!$H$10,MAX(Dashboard!$H$10,MIN($J$2,Dashboard!$H$10*POWER($J$2/Dashboard!$H$10,A88/$D$2)))),$I$2-D88-Dashboard!$I$10-Dashboard!$J$10-Dashboard!$F$10*$I$2)))</f>
        <v>881.8</v>
      </c>
      <c r="F88" s="24">
        <f t="shared" si="12"/>
        <v>0</v>
      </c>
      <c r="G88" s="24">
        <f t="shared" si="13"/>
        <v>0</v>
      </c>
      <c r="H88" s="24">
        <f t="shared" si="14"/>
        <v>0</v>
      </c>
      <c r="I88" s="24">
        <f t="shared" si="15"/>
        <v>881.8</v>
      </c>
      <c r="J88" s="25">
        <f t="shared" si="16"/>
        <v>7.9741404289037643E-3</v>
      </c>
      <c r="K88" s="24">
        <f t="shared" si="21"/>
        <v>272097.00548170641</v>
      </c>
      <c r="L88" s="24" t="str">
        <f t="shared" si="17"/>
        <v/>
      </c>
      <c r="M88" s="24">
        <f t="shared" si="18"/>
        <v>2287.162101316188</v>
      </c>
      <c r="N88" s="24">
        <f>IF(M88&lt;=0,0,IF($E$2-A88&lt;12,(M88-E88)*Dashboard!$B$18,IF($Q$2+A88&gt;=$R$2,MAX(0,M88-E88*POWER(1+$C$2,$E$2-A88))*MAX(Dashboard!$C$18,Dashboard!$B$18),IF($S$2&lt;$R$2,(M88-E88)*0.5*Dashboard!$B$18,(E88*POWER(1+$A$2,$R$2-($Q$2+A88))-E88)*0.5*Dashboard!$B$18+MAX(0,M88-E88*POWER(1+$A$2,$R$2-($Q$2+A88))*POWER(1+$C$2,$S$2-$R$2))*MAX(Dashboard!$C$18,Dashboard!$B$18)))))</f>
        <v>544.44026861461202</v>
      </c>
    </row>
    <row r="89" spans="1:14" x14ac:dyDescent="0.2">
      <c r="A89" s="22">
        <f t="shared" si="19"/>
        <v>84</v>
      </c>
      <c r="B89" s="23">
        <f t="shared" si="20"/>
        <v>25.054794520547844</v>
      </c>
      <c r="C89" t="str">
        <f t="shared" si="11"/>
        <v>25 y 0.66 m</v>
      </c>
      <c r="D89" s="24">
        <f>IF(A89&gt;=$E$2,IF(A89&lt;$E$2+$H$2,$P$2,0),IF(B89&lt;Dashboard!$I$6,0,IF(A89&gt;=$F$2,Dashboard!$C$22*POWER(1+$C$2,A89-$F$2),Dashboard!$C$22)))</f>
        <v>6000</v>
      </c>
      <c r="E89" s="24">
        <f>IF(A89&gt;=$F$2,0,IF(A89=0,Dashboard!$G$10,IF(B89&lt;Dashboard!$I$6,IF($J$2&lt;=Dashboard!$H$10,Dashboard!$H$10,MAX(Dashboard!$H$10,MIN($J$2,Dashboard!$H$10*POWER($J$2/Dashboard!$H$10,A89/$D$2)))),$I$2-D89-Dashboard!$I$10-Dashboard!$J$10-Dashboard!$F$10*$I$2)))</f>
        <v>881.8</v>
      </c>
      <c r="F89" s="24">
        <f t="shared" si="12"/>
        <v>0</v>
      </c>
      <c r="G89" s="24">
        <f t="shared" si="13"/>
        <v>0</v>
      </c>
      <c r="H89" s="24">
        <f t="shared" si="14"/>
        <v>0</v>
      </c>
      <c r="I89" s="24">
        <f t="shared" si="15"/>
        <v>881.8</v>
      </c>
      <c r="J89" s="25">
        <f t="shared" si="16"/>
        <v>7.9741404289037643E-3</v>
      </c>
      <c r="K89" s="24">
        <f t="shared" si="21"/>
        <v>275155.5768107319</v>
      </c>
      <c r="L89" s="24" t="str">
        <f t="shared" si="17"/>
        <v/>
      </c>
      <c r="M89" s="24">
        <f t="shared" si="18"/>
        <v>2269.0682325867756</v>
      </c>
      <c r="N89" s="24">
        <f>IF(M89&lt;=0,0,IF($E$2-A89&lt;12,(M89-E89)*Dashboard!$B$18,IF($Q$2+A89&gt;=$R$2,MAX(0,M89-E89*POWER(1+$C$2,$E$2-A89))*MAX(Dashboard!$C$18,Dashboard!$B$18),IF($S$2&lt;$R$2,(M89-E89)*0.5*Dashboard!$B$18,(E89*POWER(1+$A$2,$R$2-($Q$2+A89))-E89)*0.5*Dashboard!$B$18+MAX(0,M89-E89*POWER(1+$A$2,$R$2-($Q$2+A89))*POWER(1+$C$2,$S$2-$R$2))*MAX(Dashboard!$C$18,Dashboard!$B$18)))))</f>
        <v>537.02670048703931</v>
      </c>
    </row>
    <row r="90" spans="1:14" x14ac:dyDescent="0.2">
      <c r="A90" s="22">
        <f t="shared" si="19"/>
        <v>85</v>
      </c>
      <c r="B90" s="23">
        <f t="shared" si="20"/>
        <v>25.138127853881176</v>
      </c>
      <c r="C90" t="str">
        <f t="shared" si="11"/>
        <v>25 y 1.66 m</v>
      </c>
      <c r="D90" s="24">
        <f>IF(A90&gt;=$E$2,IF(A90&lt;$E$2+$H$2,$P$2,0),IF(B90&lt;Dashboard!$I$6,0,IF(A90&gt;=$F$2,Dashboard!$C$22*POWER(1+$C$2,A90-$F$2),Dashboard!$C$22)))</f>
        <v>6000</v>
      </c>
      <c r="E90" s="24">
        <f>IF(A90&gt;=$F$2,0,IF(A90=0,Dashboard!$G$10,IF(B90&lt;Dashboard!$I$6,IF($J$2&lt;=Dashboard!$H$10,Dashboard!$H$10,MAX(Dashboard!$H$10,MIN($J$2,Dashboard!$H$10*POWER($J$2/Dashboard!$H$10,A90/$D$2)))),$I$2-D90-Dashboard!$I$10-Dashboard!$J$10-Dashboard!$F$10*$I$2)))</f>
        <v>881.8</v>
      </c>
      <c r="F90" s="24">
        <f t="shared" si="12"/>
        <v>0</v>
      </c>
      <c r="G90" s="24">
        <f t="shared" si="13"/>
        <v>0</v>
      </c>
      <c r="H90" s="24">
        <f t="shared" si="14"/>
        <v>0</v>
      </c>
      <c r="I90" s="24">
        <f t="shared" si="15"/>
        <v>881.8</v>
      </c>
      <c r="J90" s="25">
        <f t="shared" si="16"/>
        <v>7.9741404289037643E-3</v>
      </c>
      <c r="K90" s="24">
        <f t="shared" si="21"/>
        <v>278238.53761704691</v>
      </c>
      <c r="L90" s="24" t="str">
        <f t="shared" si="17"/>
        <v/>
      </c>
      <c r="M90" s="24">
        <f t="shared" si="18"/>
        <v>2251.1175054761452</v>
      </c>
      <c r="N90" s="24">
        <f>IF(M90&lt;=0,0,IF($E$2-A90&lt;12,(M90-E90)*Dashboard!$B$18,IF($Q$2+A90&gt;=$R$2,MAX(0,M90-E90*POWER(1+$C$2,$E$2-A90))*MAX(Dashboard!$C$18,Dashboard!$B$18),IF($S$2&lt;$R$2,(M90-E90)*0.5*Dashboard!$B$18,(E90*POWER(1+$A$2,$R$2-($Q$2+A90))-E90)*0.5*Dashboard!$B$18+MAX(0,M90-E90*POWER(1+$A$2,$R$2-($Q$2+A90))*POWER(1+$C$2,$S$2-$R$2))*MAX(Dashboard!$C$18,Dashboard!$B$18)))))</f>
        <v>529.67816718310053</v>
      </c>
    </row>
    <row r="91" spans="1:14" x14ac:dyDescent="0.2">
      <c r="A91" s="22">
        <f t="shared" si="19"/>
        <v>86</v>
      </c>
      <c r="B91" s="23">
        <f t="shared" si="20"/>
        <v>25.221461187214508</v>
      </c>
      <c r="C91" t="str">
        <f t="shared" si="11"/>
        <v>25 y 2.66 m</v>
      </c>
      <c r="D91" s="24">
        <f>IF(A91&gt;=$E$2,IF(A91&lt;$E$2+$H$2,$P$2,0),IF(B91&lt;Dashboard!$I$6,0,IF(A91&gt;=$F$2,Dashboard!$C$22*POWER(1+$C$2,A91-$F$2),Dashboard!$C$22)))</f>
        <v>6000</v>
      </c>
      <c r="E91" s="24">
        <f>IF(A91&gt;=$F$2,0,IF(A91=0,Dashboard!$G$10,IF(B91&lt;Dashboard!$I$6,IF($J$2&lt;=Dashboard!$H$10,Dashboard!$H$10,MAX(Dashboard!$H$10,MIN($J$2,Dashboard!$H$10*POWER($J$2/Dashboard!$H$10,A91/$D$2)))),$I$2-D91-Dashboard!$I$10-Dashboard!$J$10-Dashboard!$F$10*$I$2)))</f>
        <v>881.8</v>
      </c>
      <c r="F91" s="24">
        <f t="shared" si="12"/>
        <v>0</v>
      </c>
      <c r="G91" s="24">
        <f t="shared" si="13"/>
        <v>0</v>
      </c>
      <c r="H91" s="24">
        <f t="shared" si="14"/>
        <v>0</v>
      </c>
      <c r="I91" s="24">
        <f t="shared" si="15"/>
        <v>881.8</v>
      </c>
      <c r="J91" s="25">
        <f t="shared" si="16"/>
        <v>7.9741404289037643E-3</v>
      </c>
      <c r="K91" s="24">
        <f t="shared" si="21"/>
        <v>281346.08238576824</v>
      </c>
      <c r="L91" s="24" t="str">
        <f t="shared" si="17"/>
        <v/>
      </c>
      <c r="M91" s="24">
        <f t="shared" si="18"/>
        <v>2233.3087875828555</v>
      </c>
      <c r="N91" s="24">
        <f>IF(M91&lt;=0,0,IF($E$2-A91&lt;12,(M91-E91)*Dashboard!$B$18,IF($Q$2+A91&gt;=$R$2,MAX(0,M91-E91*POWER(1+$C$2,$E$2-A91))*MAX(Dashboard!$C$18,Dashboard!$B$18),IF($S$2&lt;$R$2,(M91-E91)*0.5*Dashboard!$B$18,(E91*POWER(1+$A$2,$R$2-($Q$2+A91))-E91)*0.5*Dashboard!$B$18+MAX(0,M91-E91*POWER(1+$A$2,$R$2-($Q$2+A91))*POWER(1+$C$2,$S$2-$R$2))*MAX(Dashboard!$C$18,Dashboard!$B$18)))))</f>
        <v>522.39414108223809</v>
      </c>
    </row>
    <row r="92" spans="1:14" x14ac:dyDescent="0.2">
      <c r="A92" s="22">
        <f t="shared" si="19"/>
        <v>87</v>
      </c>
      <c r="B92" s="23">
        <f t="shared" si="20"/>
        <v>25.304794520547841</v>
      </c>
      <c r="C92" t="str">
        <f t="shared" si="11"/>
        <v>25 y 3.66 m</v>
      </c>
      <c r="D92" s="24">
        <f>IF(A92&gt;=$E$2,IF(A92&lt;$E$2+$H$2,$P$2,0),IF(B92&lt;Dashboard!$I$6,0,IF(A92&gt;=$F$2,Dashboard!$C$22*POWER(1+$C$2,A92-$F$2),Dashboard!$C$22)))</f>
        <v>6000</v>
      </c>
      <c r="E92" s="24">
        <f>IF(A92&gt;=$F$2,0,IF(A92=0,Dashboard!$G$10,IF(B92&lt;Dashboard!$I$6,IF($J$2&lt;=Dashboard!$H$10,Dashboard!$H$10,MAX(Dashboard!$H$10,MIN($J$2,Dashboard!$H$10*POWER($J$2/Dashboard!$H$10,A92/$D$2)))),$I$2-D92-Dashboard!$I$10-Dashboard!$J$10-Dashboard!$F$10*$I$2)))</f>
        <v>881.8</v>
      </c>
      <c r="F92" s="24">
        <f t="shared" si="12"/>
        <v>0</v>
      </c>
      <c r="G92" s="24">
        <f t="shared" si="13"/>
        <v>0</v>
      </c>
      <c r="H92" s="24">
        <f t="shared" si="14"/>
        <v>0</v>
      </c>
      <c r="I92" s="24">
        <f t="shared" si="15"/>
        <v>881.8</v>
      </c>
      <c r="J92" s="25">
        <f t="shared" si="16"/>
        <v>7.9741404289037643E-3</v>
      </c>
      <c r="K92" s="24">
        <f t="shared" si="21"/>
        <v>284478.4071528645</v>
      </c>
      <c r="L92" s="24" t="str">
        <f t="shared" si="17"/>
        <v/>
      </c>
      <c r="M92" s="24">
        <f t="shared" si="18"/>
        <v>2215.6409554639549</v>
      </c>
      <c r="N92" s="24">
        <f>IF(M92&lt;=0,0,IF($E$2-A92&lt;12,(M92-E92)*Dashboard!$B$18,IF($Q$2+A92&gt;=$R$2,MAX(0,M92-E92*POWER(1+$C$2,$E$2-A92))*MAX(Dashboard!$C$18,Dashboard!$B$18),IF($S$2&lt;$R$2,(M92-E92)*0.5*Dashboard!$B$18,(E92*POWER(1+$A$2,$R$2-($Q$2+A92))-E92)*0.5*Dashboard!$B$18+MAX(0,M92-E92*POWER(1+$A$2,$R$2-($Q$2+A92))*POWER(1+$C$2,$S$2-$R$2))*MAX(Dashboard!$C$18,Dashboard!$B$18)))))</f>
        <v>515.17409876491172</v>
      </c>
    </row>
    <row r="93" spans="1:14" x14ac:dyDescent="0.2">
      <c r="A93" s="22">
        <f t="shared" si="19"/>
        <v>88</v>
      </c>
      <c r="B93" s="23">
        <f t="shared" si="20"/>
        <v>25.388127853881173</v>
      </c>
      <c r="C93" t="str">
        <f t="shared" si="11"/>
        <v>25 y 4.66 m</v>
      </c>
      <c r="D93" s="24">
        <f>IF(A93&gt;=$E$2,IF(A93&lt;$E$2+$H$2,$P$2,0),IF(B93&lt;Dashboard!$I$6,0,IF(A93&gt;=$F$2,Dashboard!$C$22*POWER(1+$C$2,A93-$F$2),Dashboard!$C$22)))</f>
        <v>6000</v>
      </c>
      <c r="E93" s="24">
        <f>IF(A93&gt;=$F$2,0,IF(A93=0,Dashboard!$G$10,IF(B93&lt;Dashboard!$I$6,IF($J$2&lt;=Dashboard!$H$10,Dashboard!$H$10,MAX(Dashboard!$H$10,MIN($J$2,Dashboard!$H$10*POWER($J$2/Dashboard!$H$10,A93/$D$2)))),$I$2-D93-Dashboard!$I$10-Dashboard!$J$10-Dashboard!$F$10*$I$2)))</f>
        <v>881.8</v>
      </c>
      <c r="F93" s="24">
        <f t="shared" si="12"/>
        <v>0</v>
      </c>
      <c r="G93" s="24">
        <f t="shared" si="13"/>
        <v>0</v>
      </c>
      <c r="H93" s="24">
        <f t="shared" si="14"/>
        <v>0</v>
      </c>
      <c r="I93" s="24">
        <f t="shared" si="15"/>
        <v>881.8</v>
      </c>
      <c r="J93" s="25">
        <f t="shared" si="16"/>
        <v>7.9741404289037643E-3</v>
      </c>
      <c r="K93" s="24">
        <f t="shared" si="21"/>
        <v>287635.70951752248</v>
      </c>
      <c r="L93" s="24" t="str">
        <f t="shared" si="17"/>
        <v/>
      </c>
      <c r="M93" s="24">
        <f t="shared" si="18"/>
        <v>2198.1128945641167</v>
      </c>
      <c r="N93" s="24">
        <f>IF(M93&lt;=0,0,IF($E$2-A93&lt;12,(M93-E93)*Dashboard!$B$18,IF($Q$2+A93&gt;=$R$2,MAX(0,M93-E93*POWER(1+$C$2,$E$2-A93))*MAX(Dashboard!$C$18,Dashboard!$B$18),IF($S$2&lt;$R$2,(M93-E93)*0.5*Dashboard!$B$18,(E93*POWER(1+$A$2,$R$2-($Q$2+A93))-E93)*0.5*Dashboard!$B$18+MAX(0,M93-E93*POWER(1+$A$2,$R$2-($Q$2+A93))*POWER(1+$C$2,$S$2-$R$2))*MAX(Dashboard!$C$18,Dashboard!$B$18)))))</f>
        <v>508.01752097931217</v>
      </c>
    </row>
    <row r="94" spans="1:14" x14ac:dyDescent="0.2">
      <c r="A94" s="22">
        <f t="shared" si="19"/>
        <v>89</v>
      </c>
      <c r="B94" s="23">
        <f t="shared" si="20"/>
        <v>25.471461187214505</v>
      </c>
      <c r="C94" t="str">
        <f t="shared" si="11"/>
        <v>25 y 5.66 m</v>
      </c>
      <c r="D94" s="24">
        <f>IF(A94&gt;=$E$2,IF(A94&lt;$E$2+$H$2,$P$2,0),IF(B94&lt;Dashboard!$I$6,0,IF(A94&gt;=$F$2,Dashboard!$C$22*POWER(1+$C$2,A94-$F$2),Dashboard!$C$22)))</f>
        <v>6000</v>
      </c>
      <c r="E94" s="24">
        <f>IF(A94&gt;=$F$2,0,IF(A94=0,Dashboard!$G$10,IF(B94&lt;Dashboard!$I$6,IF($J$2&lt;=Dashboard!$H$10,Dashboard!$H$10,MAX(Dashboard!$H$10,MIN($J$2,Dashboard!$H$10*POWER($J$2/Dashboard!$H$10,A94/$D$2)))),$I$2-D94-Dashboard!$I$10-Dashboard!$J$10-Dashboard!$F$10*$I$2)))</f>
        <v>881.8</v>
      </c>
      <c r="F94" s="24">
        <f t="shared" si="12"/>
        <v>0</v>
      </c>
      <c r="G94" s="24">
        <f t="shared" si="13"/>
        <v>0</v>
      </c>
      <c r="H94" s="24">
        <f t="shared" si="14"/>
        <v>0</v>
      </c>
      <c r="I94" s="24">
        <f t="shared" si="15"/>
        <v>881.8</v>
      </c>
      <c r="J94" s="25">
        <f t="shared" si="16"/>
        <v>7.9741404289037643E-3</v>
      </c>
      <c r="K94" s="24">
        <f t="shared" si="21"/>
        <v>290818.18865461275</v>
      </c>
      <c r="L94" s="24" t="str">
        <f t="shared" si="17"/>
        <v/>
      </c>
      <c r="M94" s="24">
        <f t="shared" si="18"/>
        <v>2180.7234991453215</v>
      </c>
      <c r="N94" s="24">
        <f>IF(M94&lt;=0,0,IF($E$2-A94&lt;12,(M94-E94)*Dashboard!$B$18,IF($Q$2+A94&gt;=$R$2,MAX(0,M94-E94*POWER(1+$C$2,$E$2-A94))*MAX(Dashboard!$C$18,Dashboard!$B$18),IF($S$2&lt;$R$2,(M94-E94)*0.5*Dashboard!$B$18,(E94*POWER(1+$A$2,$R$2-($Q$2+A94))-E94)*0.5*Dashboard!$B$18+MAX(0,M94-E94*POWER(1+$A$2,$R$2-($Q$2+A94))*POWER(1+$C$2,$S$2-$R$2))*MAX(Dashboard!$C$18,Dashboard!$B$18)))))</f>
        <v>500.92389260833068</v>
      </c>
    </row>
    <row r="95" spans="1:14" x14ac:dyDescent="0.2">
      <c r="A95" s="22">
        <f t="shared" si="19"/>
        <v>90</v>
      </c>
      <c r="B95" s="23">
        <f t="shared" si="20"/>
        <v>25.554794520547837</v>
      </c>
      <c r="C95" t="str">
        <f t="shared" si="11"/>
        <v>25 y 6.66 m</v>
      </c>
      <c r="D95" s="24">
        <f>IF(A95&gt;=$E$2,IF(A95&lt;$E$2+$H$2,$P$2,0),IF(B95&lt;Dashboard!$I$6,0,IF(A95&gt;=$F$2,Dashboard!$C$22*POWER(1+$C$2,A95-$F$2),Dashboard!$C$22)))</f>
        <v>6000</v>
      </c>
      <c r="E95" s="24">
        <f>IF(A95&gt;=$F$2,0,IF(A95=0,Dashboard!$G$10,IF(B95&lt;Dashboard!$I$6,IF($J$2&lt;=Dashboard!$H$10,Dashboard!$H$10,MAX(Dashboard!$H$10,MIN($J$2,Dashboard!$H$10*POWER($J$2/Dashboard!$H$10,A95/$D$2)))),$I$2-D95-Dashboard!$I$10-Dashboard!$J$10-Dashboard!$F$10*$I$2)))</f>
        <v>881.8</v>
      </c>
      <c r="F95" s="24">
        <f t="shared" si="12"/>
        <v>0</v>
      </c>
      <c r="G95" s="24">
        <f t="shared" si="13"/>
        <v>0</v>
      </c>
      <c r="H95" s="24">
        <f t="shared" si="14"/>
        <v>0</v>
      </c>
      <c r="I95" s="24">
        <f t="shared" si="15"/>
        <v>881.8</v>
      </c>
      <c r="J95" s="25">
        <f t="shared" si="16"/>
        <v>7.9741404289037643E-3</v>
      </c>
      <c r="K95" s="24">
        <f t="shared" si="21"/>
        <v>294026.04532725428</v>
      </c>
      <c r="L95" s="24" t="str">
        <f t="shared" si="17"/>
        <v/>
      </c>
      <c r="M95" s="24">
        <f t="shared" si="18"/>
        <v>2163.471672217107</v>
      </c>
      <c r="N95" s="24">
        <f>IF(M95&lt;=0,0,IF($E$2-A95&lt;12,(M95-E95)*Dashboard!$B$18,IF($Q$2+A95&gt;=$R$2,MAX(0,M95-E95*POWER(1+$C$2,$E$2-A95))*MAX(Dashboard!$C$18,Dashboard!$B$18),IF($S$2&lt;$R$2,(M95-E95)*0.5*Dashboard!$B$18,(E95*POWER(1+$A$2,$R$2-($Q$2+A95))-E95)*0.5*Dashboard!$B$18+MAX(0,M95-E95*POWER(1+$A$2,$R$2-($Q$2+A95))*POWER(1+$C$2,$S$2-$R$2))*MAX(Dashboard!$C$18,Dashboard!$B$18)))))</f>
        <v>493.89270263679668</v>
      </c>
    </row>
    <row r="96" spans="1:14" x14ac:dyDescent="0.2">
      <c r="A96" s="22">
        <f t="shared" si="19"/>
        <v>91</v>
      </c>
      <c r="B96" s="23">
        <f t="shared" si="20"/>
        <v>25.638127853881169</v>
      </c>
      <c r="C96" t="str">
        <f t="shared" si="11"/>
        <v>25 y 7.66 m</v>
      </c>
      <c r="D96" s="24">
        <f>IF(A96&gt;=$E$2,IF(A96&lt;$E$2+$H$2,$P$2,0),IF(B96&lt;Dashboard!$I$6,0,IF(A96&gt;=$F$2,Dashboard!$C$22*POWER(1+$C$2,A96-$F$2),Dashboard!$C$22)))</f>
        <v>6000</v>
      </c>
      <c r="E96" s="24">
        <f>IF(A96&gt;=$F$2,0,IF(A96=0,Dashboard!$G$10,IF(B96&lt;Dashboard!$I$6,IF($J$2&lt;=Dashboard!$H$10,Dashboard!$H$10,MAX(Dashboard!$H$10,MIN($J$2,Dashboard!$H$10*POWER($J$2/Dashboard!$H$10,A96/$D$2)))),$I$2-D96-Dashboard!$I$10-Dashboard!$J$10-Dashboard!$F$10*$I$2)))</f>
        <v>881.8</v>
      </c>
      <c r="F96" s="24">
        <f t="shared" si="12"/>
        <v>0</v>
      </c>
      <c r="G96" s="24">
        <f t="shared" si="13"/>
        <v>0</v>
      </c>
      <c r="H96" s="24">
        <f t="shared" si="14"/>
        <v>0</v>
      </c>
      <c r="I96" s="24">
        <f t="shared" si="15"/>
        <v>881.8</v>
      </c>
      <c r="J96" s="25">
        <f t="shared" si="16"/>
        <v>7.9741404289037643E-3</v>
      </c>
      <c r="K96" s="24">
        <f t="shared" si="21"/>
        <v>297259.48189947923</v>
      </c>
      <c r="L96" s="24" t="str">
        <f t="shared" si="17"/>
        <v/>
      </c>
      <c r="M96" s="24">
        <f t="shared" si="18"/>
        <v>2146.3563254673645</v>
      </c>
      <c r="N96" s="24">
        <f>IF(M96&lt;=0,0,IF($E$2-A96&lt;12,(M96-E96)*Dashboard!$B$18,IF($Q$2+A96&gt;=$R$2,MAX(0,M96-E96*POWER(1+$C$2,$E$2-A96))*MAX(Dashboard!$C$18,Dashboard!$B$18),IF($S$2&lt;$R$2,(M96-E96)*0.5*Dashboard!$B$18,(E96*POWER(1+$A$2,$R$2-($Q$2+A96))-E96)*0.5*Dashboard!$B$18+MAX(0,M96-E96*POWER(1+$A$2,$R$2-($Q$2+A96))*POWER(1+$C$2,$S$2-$R$2))*MAX(Dashboard!$C$18,Dashboard!$B$18)))))</f>
        <v>486.92344411897068</v>
      </c>
    </row>
    <row r="97" spans="1:14" x14ac:dyDescent="0.2">
      <c r="A97" s="22">
        <f t="shared" si="19"/>
        <v>92</v>
      </c>
      <c r="B97" s="23">
        <f t="shared" si="20"/>
        <v>25.721461187214501</v>
      </c>
      <c r="C97" t="str">
        <f t="shared" si="11"/>
        <v>25 y 8.66 m</v>
      </c>
      <c r="D97" s="24">
        <f>IF(A97&gt;=$E$2,IF(A97&lt;$E$2+$H$2,$P$2,0),IF(B97&lt;Dashboard!$I$6,0,IF(A97&gt;=$F$2,Dashboard!$C$22*POWER(1+$C$2,A97-$F$2),Dashboard!$C$22)))</f>
        <v>6000</v>
      </c>
      <c r="E97" s="24">
        <f>IF(A97&gt;=$F$2,0,IF(A97=0,Dashboard!$G$10,IF(B97&lt;Dashboard!$I$6,IF($J$2&lt;=Dashboard!$H$10,Dashboard!$H$10,MAX(Dashboard!$H$10,MIN($J$2,Dashboard!$H$10*POWER($J$2/Dashboard!$H$10,A97/$D$2)))),$I$2-D97-Dashboard!$I$10-Dashboard!$J$10-Dashboard!$F$10*$I$2)))</f>
        <v>881.8</v>
      </c>
      <c r="F97" s="24">
        <f t="shared" si="12"/>
        <v>0</v>
      </c>
      <c r="G97" s="24">
        <f t="shared" si="13"/>
        <v>0</v>
      </c>
      <c r="H97" s="24">
        <f t="shared" si="14"/>
        <v>0</v>
      </c>
      <c r="I97" s="24">
        <f t="shared" si="15"/>
        <v>881.8</v>
      </c>
      <c r="J97" s="25">
        <f t="shared" si="16"/>
        <v>7.9741404289037643E-3</v>
      </c>
      <c r="K97" s="24">
        <f t="shared" si="21"/>
        <v>300518.70234899904</v>
      </c>
      <c r="L97" s="24" t="str">
        <f t="shared" si="17"/>
        <v/>
      </c>
      <c r="M97" s="24">
        <f t="shared" si="18"/>
        <v>2129.3763791936831</v>
      </c>
      <c r="N97" s="24">
        <f>IF(M97&lt;=0,0,IF($E$2-A97&lt;12,(M97-E97)*Dashboard!$B$18,IF($Q$2+A97&gt;=$R$2,MAX(0,M97-E97*POWER(1+$C$2,$E$2-A97))*MAX(Dashboard!$C$18,Dashboard!$B$18),IF($S$2&lt;$R$2,(M97-E97)*0.5*Dashboard!$B$18,(E97*POWER(1+$A$2,$R$2-($Q$2+A97))-E97)*0.5*Dashboard!$B$18+MAX(0,M97-E97*POWER(1+$A$2,$R$2-($Q$2+A97))*POWER(1+$C$2,$S$2-$R$2))*MAX(Dashboard!$C$18,Dashboard!$B$18)))))</f>
        <v>480.01561414629549</v>
      </c>
    </row>
    <row r="98" spans="1:14" x14ac:dyDescent="0.2">
      <c r="A98" s="22">
        <f t="shared" si="19"/>
        <v>93</v>
      </c>
      <c r="B98" s="23">
        <f t="shared" si="20"/>
        <v>25.804794520547834</v>
      </c>
      <c r="C98" t="str">
        <f t="shared" si="11"/>
        <v>25 y 9.66 m</v>
      </c>
      <c r="D98" s="24">
        <f>IF(A98&gt;=$E$2,IF(A98&lt;$E$2+$H$2,$P$2,0),IF(B98&lt;Dashboard!$I$6,0,IF(A98&gt;=$F$2,Dashboard!$C$22*POWER(1+$C$2,A98-$F$2),Dashboard!$C$22)))</f>
        <v>6000</v>
      </c>
      <c r="E98" s="24">
        <f>IF(A98&gt;=$F$2,0,IF(A98=0,Dashboard!$G$10,IF(B98&lt;Dashboard!$I$6,IF($J$2&lt;=Dashboard!$H$10,Dashboard!$H$10,MAX(Dashboard!$H$10,MIN($J$2,Dashboard!$H$10*POWER($J$2/Dashboard!$H$10,A98/$D$2)))),$I$2-D98-Dashboard!$I$10-Dashboard!$J$10-Dashboard!$F$10*$I$2)))</f>
        <v>881.8</v>
      </c>
      <c r="F98" s="24">
        <f t="shared" si="12"/>
        <v>0</v>
      </c>
      <c r="G98" s="24">
        <f t="shared" si="13"/>
        <v>0</v>
      </c>
      <c r="H98" s="24">
        <f t="shared" si="14"/>
        <v>0</v>
      </c>
      <c r="I98" s="24">
        <f t="shared" si="15"/>
        <v>881.8</v>
      </c>
      <c r="J98" s="25">
        <f t="shared" si="16"/>
        <v>7.9741404289037643E-3</v>
      </c>
      <c r="K98" s="24">
        <f t="shared" si="21"/>
        <v>303803.91228007211</v>
      </c>
      <c r="L98" s="24" t="str">
        <f t="shared" si="17"/>
        <v/>
      </c>
      <c r="M98" s="24">
        <f t="shared" si="18"/>
        <v>2112.5307622352398</v>
      </c>
      <c r="N98" s="24">
        <f>IF(M98&lt;=0,0,IF($E$2-A98&lt;12,(M98-E98)*Dashboard!$B$18,IF($Q$2+A98&gt;=$R$2,MAX(0,M98-E98*POWER(1+$C$2,$E$2-A98))*MAX(Dashboard!$C$18,Dashboard!$B$18),IF($S$2&lt;$R$2,(M98-E98)*0.5*Dashboard!$B$18,(E98*POWER(1+$A$2,$R$2-($Q$2+A98))-E98)*0.5*Dashboard!$B$18+MAX(0,M98-E98*POWER(1+$A$2,$R$2-($Q$2+A98))*POWER(1+$C$2,$S$2-$R$2))*MAX(Dashboard!$C$18,Dashboard!$B$18)))))</f>
        <v>473.1687138154042</v>
      </c>
    </row>
    <row r="99" spans="1:14" x14ac:dyDescent="0.2">
      <c r="A99" s="22">
        <f t="shared" si="19"/>
        <v>94</v>
      </c>
      <c r="B99" s="23">
        <f t="shared" si="20"/>
        <v>25.888127853881166</v>
      </c>
      <c r="C99" t="str">
        <f t="shared" si="11"/>
        <v>25 y 10.66 m</v>
      </c>
      <c r="D99" s="24">
        <f>IF(A99&gt;=$E$2,IF(A99&lt;$E$2+$H$2,$P$2,0),IF(B99&lt;Dashboard!$I$6,0,IF(A99&gt;=$F$2,Dashboard!$C$22*POWER(1+$C$2,A99-$F$2),Dashboard!$C$22)))</f>
        <v>6000</v>
      </c>
      <c r="E99" s="24">
        <f>IF(A99&gt;=$F$2,0,IF(A99=0,Dashboard!$G$10,IF(B99&lt;Dashboard!$I$6,IF($J$2&lt;=Dashboard!$H$10,Dashboard!$H$10,MAX(Dashboard!$H$10,MIN($J$2,Dashboard!$H$10*POWER($J$2/Dashboard!$H$10,A99/$D$2)))),$I$2-D99-Dashboard!$I$10-Dashboard!$J$10-Dashboard!$F$10*$I$2)))</f>
        <v>881.8</v>
      </c>
      <c r="F99" s="24">
        <f t="shared" si="12"/>
        <v>0</v>
      </c>
      <c r="G99" s="24">
        <f t="shared" si="13"/>
        <v>0</v>
      </c>
      <c r="H99" s="24">
        <f t="shared" si="14"/>
        <v>0</v>
      </c>
      <c r="I99" s="24">
        <f t="shared" si="15"/>
        <v>881.8</v>
      </c>
      <c r="J99" s="25">
        <f t="shared" si="16"/>
        <v>7.9741404289037643E-3</v>
      </c>
      <c r="K99" s="24">
        <f t="shared" si="21"/>
        <v>307115.31893647398</v>
      </c>
      <c r="L99" s="24" t="str">
        <f t="shared" si="17"/>
        <v/>
      </c>
      <c r="M99" s="24">
        <f t="shared" si="18"/>
        <v>2095.8184119052262</v>
      </c>
      <c r="N99" s="24">
        <f>IF(M99&lt;=0,0,IF($E$2-A99&lt;12,(M99-E99)*Dashboard!$B$18,IF($Q$2+A99&gt;=$R$2,MAX(0,M99-E99*POWER(1+$C$2,$E$2-A99))*MAX(Dashboard!$C$18,Dashboard!$B$18),IF($S$2&lt;$R$2,(M99-E99)*0.5*Dashboard!$B$18,(E99*POWER(1+$A$2,$R$2-($Q$2+A99))-E99)*0.5*Dashboard!$B$18+MAX(0,M99-E99*POWER(1+$A$2,$R$2-($Q$2+A99))*POWER(1+$C$2,$S$2-$R$2))*MAX(Dashboard!$C$18,Dashboard!$B$18)))))</f>
        <v>466.3822481963802</v>
      </c>
    </row>
    <row r="100" spans="1:14" x14ac:dyDescent="0.2">
      <c r="A100" s="22">
        <f t="shared" si="19"/>
        <v>95</v>
      </c>
      <c r="B100" s="23">
        <f t="shared" si="20"/>
        <v>25.971461187214498</v>
      </c>
      <c r="C100" t="str">
        <f t="shared" si="11"/>
        <v>25 y 11.66 m</v>
      </c>
      <c r="D100" s="24">
        <f>IF(A100&gt;=$E$2,IF(A100&lt;$E$2+$H$2,$P$2,0),IF(B100&lt;Dashboard!$I$6,0,IF(A100&gt;=$F$2,Dashboard!$C$22*POWER(1+$C$2,A100-$F$2),Dashboard!$C$22)))</f>
        <v>6000</v>
      </c>
      <c r="E100" s="24">
        <f>IF(A100&gt;=$F$2,0,IF(A100=0,Dashboard!$G$10,IF(B100&lt;Dashboard!$I$6,IF($J$2&lt;=Dashboard!$H$10,Dashboard!$H$10,MAX(Dashboard!$H$10,MIN($J$2,Dashboard!$H$10*POWER($J$2/Dashboard!$H$10,A100/$D$2)))),$I$2-D100-Dashboard!$I$10-Dashboard!$J$10-Dashboard!$F$10*$I$2)))</f>
        <v>881.8</v>
      </c>
      <c r="F100" s="24">
        <f t="shared" si="12"/>
        <v>0</v>
      </c>
      <c r="G100" s="24">
        <f t="shared" si="13"/>
        <v>0</v>
      </c>
      <c r="H100" s="24">
        <f t="shared" si="14"/>
        <v>0</v>
      </c>
      <c r="I100" s="24">
        <f t="shared" si="15"/>
        <v>881.8</v>
      </c>
      <c r="J100" s="25">
        <f t="shared" si="16"/>
        <v>7.9741404289037643E-3</v>
      </c>
      <c r="K100" s="24">
        <f t="shared" si="21"/>
        <v>310453.13121457119</v>
      </c>
      <c r="L100" s="24" t="str">
        <f t="shared" si="17"/>
        <v/>
      </c>
      <c r="M100" s="24">
        <f t="shared" si="18"/>
        <v>2079.2382739238064</v>
      </c>
      <c r="N100" s="24">
        <f>IF(M100&lt;=0,0,IF($E$2-A100&lt;12,(M100-E100)*Dashboard!$B$18,IF($Q$2+A100&gt;=$R$2,MAX(0,M100-E100*POWER(1+$C$2,$E$2-A100))*MAX(Dashboard!$C$18,Dashboard!$B$18),IF($S$2&lt;$R$2,(M100-E100)*0.5*Dashboard!$B$18,(E100*POWER(1+$A$2,$R$2-($Q$2+A100))-E100)*0.5*Dashboard!$B$18+MAX(0,M100-E100*POWER(1+$A$2,$R$2-($Q$2+A100))*POWER(1+$C$2,$S$2-$R$2))*MAX(Dashboard!$C$18,Dashboard!$B$18)))))</f>
        <v>459.65572630126513</v>
      </c>
    </row>
    <row r="101" spans="1:14" x14ac:dyDescent="0.2">
      <c r="A101" s="22">
        <f t="shared" si="19"/>
        <v>96</v>
      </c>
      <c r="B101" s="23">
        <f t="shared" si="20"/>
        <v>26.05479452054783</v>
      </c>
      <c r="C101" t="str">
        <f t="shared" si="11"/>
        <v>26 y 0.66 m</v>
      </c>
      <c r="D101" s="24">
        <f>IF(A101&gt;=$E$2,IF(A101&lt;$E$2+$H$2,$P$2,0),IF(B101&lt;Dashboard!$I$6,0,IF(A101&gt;=$F$2,Dashboard!$C$22*POWER(1+$C$2,A101-$F$2),Dashboard!$C$22)))</f>
        <v>6000</v>
      </c>
      <c r="E101" s="24">
        <f>IF(A101&gt;=$F$2,0,IF(A101=0,Dashboard!$G$10,IF(B101&lt;Dashboard!$I$6,IF($J$2&lt;=Dashboard!$H$10,Dashboard!$H$10,MAX(Dashboard!$H$10,MIN($J$2,Dashboard!$H$10*POWER($J$2/Dashboard!$H$10,A101/$D$2)))),$I$2-D101-Dashboard!$I$10-Dashboard!$J$10-Dashboard!$F$10*$I$2)))</f>
        <v>881.8</v>
      </c>
      <c r="F101" s="24">
        <f t="shared" si="12"/>
        <v>0</v>
      </c>
      <c r="G101" s="24">
        <f t="shared" si="13"/>
        <v>0</v>
      </c>
      <c r="H101" s="24">
        <f t="shared" si="14"/>
        <v>0</v>
      </c>
      <c r="I101" s="24">
        <f t="shared" si="15"/>
        <v>881.8</v>
      </c>
      <c r="J101" s="25">
        <f t="shared" si="16"/>
        <v>7.9741404289037643E-3</v>
      </c>
      <c r="K101" s="24">
        <f t="shared" si="21"/>
        <v>313817.55967649928</v>
      </c>
      <c r="L101" s="24" t="str">
        <f t="shared" si="17"/>
        <v/>
      </c>
      <c r="M101" s="24">
        <f t="shared" si="18"/>
        <v>2062.7893023516135</v>
      </c>
      <c r="N101" s="24">
        <f>IF(M101&lt;=0,0,IF($E$2-A101&lt;12,(M101-E101)*Dashboard!$B$18,IF($Q$2+A101&gt;=$R$2,MAX(0,M101-E101*POWER(1+$C$2,$E$2-A101))*MAX(Dashboard!$C$18,Dashboard!$B$18),IF($S$2&lt;$R$2,(M101-E101)*0.5*Dashboard!$B$18,(E101*POWER(1+$A$2,$R$2-($Q$2+A101))-E101)*0.5*Dashboard!$B$18+MAX(0,M101-E101*POWER(1+$A$2,$R$2-($Q$2+A101))*POWER(1+$C$2,$S$2-$R$2))*MAX(Dashboard!$C$18,Dashboard!$B$18)))))</f>
        <v>452.98866105282326</v>
      </c>
    </row>
    <row r="102" spans="1:14" x14ac:dyDescent="0.2">
      <c r="A102" s="22">
        <f t="shared" si="19"/>
        <v>97</v>
      </c>
      <c r="B102" s="23">
        <f t="shared" si="20"/>
        <v>26.138127853881162</v>
      </c>
      <c r="C102" t="str">
        <f t="shared" si="11"/>
        <v>26 y 1.66 m</v>
      </c>
      <c r="D102" s="24">
        <f>IF(A102&gt;=$E$2,IF(A102&lt;$E$2+$H$2,$P$2,0),IF(B102&lt;Dashboard!$I$6,0,IF(A102&gt;=$F$2,Dashboard!$C$22*POWER(1+$C$2,A102-$F$2),Dashboard!$C$22)))</f>
        <v>6000</v>
      </c>
      <c r="E102" s="24">
        <f>IF(A102&gt;=$F$2,0,IF(A102=0,Dashboard!$G$10,IF(B102&lt;Dashboard!$I$6,IF($J$2&lt;=Dashboard!$H$10,Dashboard!$H$10,MAX(Dashboard!$H$10,MIN($J$2,Dashboard!$H$10*POWER($J$2/Dashboard!$H$10,A102/$D$2)))),$I$2-D102-Dashboard!$I$10-Dashboard!$J$10-Dashboard!$F$10*$I$2)))</f>
        <v>881.8</v>
      </c>
      <c r="F102" s="24">
        <f t="shared" si="12"/>
        <v>0</v>
      </c>
      <c r="G102" s="24">
        <f t="shared" si="13"/>
        <v>0</v>
      </c>
      <c r="H102" s="24">
        <f t="shared" si="14"/>
        <v>0</v>
      </c>
      <c r="I102" s="24">
        <f t="shared" si="15"/>
        <v>881.8</v>
      </c>
      <c r="J102" s="25">
        <f t="shared" si="16"/>
        <v>7.9741404289037643E-3</v>
      </c>
      <c r="K102" s="24">
        <f t="shared" si="21"/>
        <v>317208.81656344578</v>
      </c>
      <c r="L102" s="24" t="str">
        <f t="shared" si="17"/>
        <v/>
      </c>
      <c r="M102" s="24">
        <f t="shared" si="18"/>
        <v>2046.4704595237681</v>
      </c>
      <c r="N102" s="24">
        <f>IF(M102&lt;=0,0,IF($E$2-A102&lt;12,(M102-E102)*Dashboard!$B$18,IF($Q$2+A102&gt;=$R$2,MAX(0,M102-E102*POWER(1+$C$2,$E$2-A102))*MAX(Dashboard!$C$18,Dashboard!$B$18),IF($S$2&lt;$R$2,(M102-E102)*0.5*Dashboard!$B$18,(E102*POWER(1+$A$2,$R$2-($Q$2+A102))-E102)*0.5*Dashboard!$B$18+MAX(0,M102-E102*POWER(1+$A$2,$R$2-($Q$2+A102))*POWER(1+$C$2,$S$2-$R$2))*MAX(Dashboard!$C$18,Dashboard!$B$18)))))</f>
        <v>446.38056925354812</v>
      </c>
    </row>
    <row r="103" spans="1:14" x14ac:dyDescent="0.2">
      <c r="A103" s="22">
        <f t="shared" si="19"/>
        <v>98</v>
      </c>
      <c r="B103" s="23">
        <f t="shared" si="20"/>
        <v>26.221461187214494</v>
      </c>
      <c r="C103" t="str">
        <f t="shared" si="11"/>
        <v>26 y 2.66 m</v>
      </c>
      <c r="D103" s="24">
        <f>IF(A103&gt;=$E$2,IF(A103&lt;$E$2+$H$2,$P$2,0),IF(B103&lt;Dashboard!$I$6,0,IF(A103&gt;=$F$2,Dashboard!$C$22*POWER(1+$C$2,A103-$F$2),Dashboard!$C$22)))</f>
        <v>6000</v>
      </c>
      <c r="E103" s="24">
        <f>IF(A103&gt;=$F$2,0,IF(A103=0,Dashboard!$G$10,IF(B103&lt;Dashboard!$I$6,IF($J$2&lt;=Dashboard!$H$10,Dashboard!$H$10,MAX(Dashboard!$H$10,MIN($J$2,Dashboard!$H$10*POWER($J$2/Dashboard!$H$10,A103/$D$2)))),$I$2-D103-Dashboard!$I$10-Dashboard!$J$10-Dashboard!$F$10*$I$2)))</f>
        <v>881.8</v>
      </c>
      <c r="F103" s="24">
        <f t="shared" si="12"/>
        <v>0</v>
      </c>
      <c r="G103" s="24">
        <f t="shared" si="13"/>
        <v>0</v>
      </c>
      <c r="H103" s="24">
        <f t="shared" si="14"/>
        <v>0</v>
      </c>
      <c r="I103" s="24">
        <f t="shared" si="15"/>
        <v>881.8</v>
      </c>
      <c r="J103" s="25">
        <f t="shared" si="16"/>
        <v>7.9741404289037643E-3</v>
      </c>
      <c r="K103" s="24">
        <f t="shared" si="21"/>
        <v>320627.11580903927</v>
      </c>
      <c r="L103" s="24" t="str">
        <f t="shared" si="17"/>
        <v/>
      </c>
      <c r="M103" s="24">
        <f t="shared" si="18"/>
        <v>2030.2807159844128</v>
      </c>
      <c r="N103" s="24">
        <f>IF(M103&lt;=0,0,IF($E$2-A103&lt;12,(M103-E103)*Dashboard!$B$18,IF($Q$2+A103&gt;=$R$2,MAX(0,M103-E103*POWER(1+$C$2,$E$2-A103))*MAX(Dashboard!$C$18,Dashboard!$B$18),IF($S$2&lt;$R$2,(M103-E103)*0.5*Dashboard!$B$18,(E103*POWER(1+$A$2,$R$2-($Q$2+A103))-E103)*0.5*Dashboard!$B$18+MAX(0,M103-E103*POWER(1+$A$2,$R$2-($Q$2+A103))*POWER(1+$C$2,$S$2-$R$2))*MAX(Dashboard!$C$18,Dashboard!$B$18)))))</f>
        <v>439.83097155491316</v>
      </c>
    </row>
    <row r="104" spans="1:14" x14ac:dyDescent="0.2">
      <c r="A104" s="22">
        <f t="shared" si="19"/>
        <v>99</v>
      </c>
      <c r="B104" s="23">
        <f t="shared" si="20"/>
        <v>26.304794520547826</v>
      </c>
      <c r="C104" t="str">
        <f t="shared" si="11"/>
        <v>26 y 3.66 m</v>
      </c>
      <c r="D104" s="24">
        <f>IF(A104&gt;=$E$2,IF(A104&lt;$E$2+$H$2,$P$2,0),IF(B104&lt;Dashboard!$I$6,0,IF(A104&gt;=$F$2,Dashboard!$C$22*POWER(1+$C$2,A104-$F$2),Dashboard!$C$22)))</f>
        <v>6000</v>
      </c>
      <c r="E104" s="24">
        <f>IF(A104&gt;=$F$2,0,IF(A104=0,Dashboard!$G$10,IF(B104&lt;Dashboard!$I$6,IF($J$2&lt;=Dashboard!$H$10,Dashboard!$H$10,MAX(Dashboard!$H$10,MIN($J$2,Dashboard!$H$10*POWER($J$2/Dashboard!$H$10,A104/$D$2)))),$I$2-D104-Dashboard!$I$10-Dashboard!$J$10-Dashboard!$F$10*$I$2)))</f>
        <v>881.8</v>
      </c>
      <c r="F104" s="24">
        <f t="shared" si="12"/>
        <v>0</v>
      </c>
      <c r="G104" s="24">
        <f t="shared" si="13"/>
        <v>0</v>
      </c>
      <c r="H104" s="24">
        <f t="shared" si="14"/>
        <v>0</v>
      </c>
      <c r="I104" s="24">
        <f t="shared" si="15"/>
        <v>881.8</v>
      </c>
      <c r="J104" s="25">
        <f t="shared" si="16"/>
        <v>7.9741404289037643E-3</v>
      </c>
      <c r="K104" s="24">
        <f t="shared" si="21"/>
        <v>324072.67305284512</v>
      </c>
      <c r="L104" s="24" t="str">
        <f t="shared" si="17"/>
        <v/>
      </c>
      <c r="M104" s="24">
        <f t="shared" si="18"/>
        <v>2014.2190504217765</v>
      </c>
      <c r="N104" s="24">
        <f>IF(M104&lt;=0,0,IF($E$2-A104&lt;12,(M104-E104)*Dashboard!$B$18,IF($Q$2+A104&gt;=$R$2,MAX(0,M104-E104*POWER(1+$C$2,$E$2-A104))*MAX(Dashboard!$C$18,Dashboard!$B$18),IF($S$2&lt;$R$2,(M104-E104)*0.5*Dashboard!$B$18,(E104*POWER(1+$A$2,$R$2-($Q$2+A104))-E104)*0.5*Dashboard!$B$18+MAX(0,M104-E104*POWER(1+$A$2,$R$2-($Q$2+A104))*POWER(1+$C$2,$S$2-$R$2))*MAX(Dashboard!$C$18,Dashboard!$B$18)))))</f>
        <v>433.3393924268712</v>
      </c>
    </row>
    <row r="105" spans="1:14" x14ac:dyDescent="0.2">
      <c r="A105" s="22">
        <f t="shared" si="19"/>
        <v>100</v>
      </c>
      <c r="B105" s="23">
        <f t="shared" si="20"/>
        <v>26.388127853881159</v>
      </c>
      <c r="C105" t="str">
        <f t="shared" si="11"/>
        <v>26 y 4.66 m</v>
      </c>
      <c r="D105" s="24">
        <f>IF(A105&gt;=$E$2,IF(A105&lt;$E$2+$H$2,$P$2,0),IF(B105&lt;Dashboard!$I$6,0,IF(A105&gt;=$F$2,Dashboard!$C$22*POWER(1+$C$2,A105-$F$2),Dashboard!$C$22)))</f>
        <v>6000</v>
      </c>
      <c r="E105" s="24">
        <f>IF(A105&gt;=$F$2,0,IF(A105=0,Dashboard!$G$10,IF(B105&lt;Dashboard!$I$6,IF($J$2&lt;=Dashboard!$H$10,Dashboard!$H$10,MAX(Dashboard!$H$10,MIN($J$2,Dashboard!$H$10*POWER($J$2/Dashboard!$H$10,A105/$D$2)))),$I$2-D105-Dashboard!$I$10-Dashboard!$J$10-Dashboard!$F$10*$I$2)))</f>
        <v>881.8</v>
      </c>
      <c r="F105" s="24">
        <f t="shared" si="12"/>
        <v>0</v>
      </c>
      <c r="G105" s="24">
        <f t="shared" si="13"/>
        <v>0</v>
      </c>
      <c r="H105" s="24">
        <f t="shared" si="14"/>
        <v>0</v>
      </c>
      <c r="I105" s="24">
        <f t="shared" si="15"/>
        <v>881.8</v>
      </c>
      <c r="J105" s="25">
        <f t="shared" si="16"/>
        <v>7.9741404289037643E-3</v>
      </c>
      <c r="K105" s="24">
        <f t="shared" si="21"/>
        <v>327545.70565396891</v>
      </c>
      <c r="L105" s="24" t="str">
        <f t="shared" si="17"/>
        <v/>
      </c>
      <c r="M105" s="24">
        <f t="shared" si="18"/>
        <v>1998.2844496037415</v>
      </c>
      <c r="N105" s="24">
        <f>IF(M105&lt;=0,0,IF($E$2-A105&lt;12,(M105-E105)*Dashboard!$B$18,IF($Q$2+A105&gt;=$R$2,MAX(0,M105-E105*POWER(1+$C$2,$E$2-A105))*MAX(Dashboard!$C$18,Dashboard!$B$18),IF($S$2&lt;$R$2,(M105-E105)*0.5*Dashboard!$B$18,(E105*POWER(1+$A$2,$R$2-($Q$2+A105))-E105)*0.5*Dashboard!$B$18+MAX(0,M105-E105*POWER(1+$A$2,$R$2-($Q$2+A105))*POWER(1+$C$2,$S$2-$R$2))*MAX(Dashboard!$C$18,Dashboard!$B$18)))))</f>
        <v>426.90536012758906</v>
      </c>
    </row>
    <row r="106" spans="1:14" x14ac:dyDescent="0.2">
      <c r="A106" s="22">
        <f t="shared" si="19"/>
        <v>101</v>
      </c>
      <c r="B106" s="23">
        <f t="shared" si="20"/>
        <v>26.471461187214491</v>
      </c>
      <c r="C106" t="str">
        <f t="shared" si="11"/>
        <v>26 y 5.66 m</v>
      </c>
      <c r="D106" s="24">
        <f>IF(A106&gt;=$E$2,IF(A106&lt;$E$2+$H$2,$P$2,0),IF(B106&lt;Dashboard!$I$6,0,IF(A106&gt;=$F$2,Dashboard!$C$22*POWER(1+$C$2,A106-$F$2),Dashboard!$C$22)))</f>
        <v>6000</v>
      </c>
      <c r="E106" s="24">
        <f>IF(A106&gt;=$F$2,0,IF(A106=0,Dashboard!$G$10,IF(B106&lt;Dashboard!$I$6,IF($J$2&lt;=Dashboard!$H$10,Dashboard!$H$10,MAX(Dashboard!$H$10,MIN($J$2,Dashboard!$H$10*POWER($J$2/Dashboard!$H$10,A106/$D$2)))),$I$2-D106-Dashboard!$I$10-Dashboard!$J$10-Dashboard!$F$10*$I$2)))</f>
        <v>881.8</v>
      </c>
      <c r="F106" s="24">
        <f t="shared" si="12"/>
        <v>0</v>
      </c>
      <c r="G106" s="24">
        <f t="shared" si="13"/>
        <v>0</v>
      </c>
      <c r="H106" s="24">
        <f t="shared" si="14"/>
        <v>0</v>
      </c>
      <c r="I106" s="24">
        <f t="shared" si="15"/>
        <v>881.8</v>
      </c>
      <c r="J106" s="25">
        <f t="shared" si="16"/>
        <v>7.9741404289037643E-3</v>
      </c>
      <c r="K106" s="24">
        <f t="shared" si="21"/>
        <v>331046.4327047682</v>
      </c>
      <c r="L106" s="24" t="str">
        <f t="shared" si="17"/>
        <v/>
      </c>
      <c r="M106" s="24">
        <f t="shared" si="18"/>
        <v>1982.4759083139277</v>
      </c>
      <c r="N106" s="24">
        <f>IF(M106&lt;=0,0,IF($E$2-A106&lt;12,(M106-E106)*Dashboard!$B$18,IF($Q$2+A106&gt;=$R$2,MAX(0,M106-E106*POWER(1+$C$2,$E$2-A106))*MAX(Dashboard!$C$18,Dashboard!$B$18),IF($S$2&lt;$R$2,(M106-E106)*0.5*Dashboard!$B$18,(E106*POWER(1+$A$2,$R$2-($Q$2+A106))-E106)*0.5*Dashboard!$B$18+MAX(0,M106-E106*POWER(1+$A$2,$R$2-($Q$2+A106))*POWER(1+$C$2,$S$2-$R$2))*MAX(Dashboard!$C$18,Dashboard!$B$18)))))</f>
        <v>420.52840667342787</v>
      </c>
    </row>
    <row r="107" spans="1:14" x14ac:dyDescent="0.2">
      <c r="A107" s="22">
        <f t="shared" si="19"/>
        <v>102</v>
      </c>
      <c r="B107" s="23">
        <f t="shared" si="20"/>
        <v>26.554794520547823</v>
      </c>
      <c r="C107" t="str">
        <f t="shared" si="11"/>
        <v>26 y 6.66 m</v>
      </c>
      <c r="D107" s="24">
        <f>IF(A107&gt;=$E$2,IF(A107&lt;$E$2+$H$2,$P$2,0),IF(B107&lt;Dashboard!$I$6,0,IF(A107&gt;=$F$2,Dashboard!$C$22*POWER(1+$C$2,A107-$F$2),Dashboard!$C$22)))</f>
        <v>6000</v>
      </c>
      <c r="E107" s="24">
        <f>IF(A107&gt;=$F$2,0,IF(A107=0,Dashboard!$G$10,IF(B107&lt;Dashboard!$I$6,IF($J$2&lt;=Dashboard!$H$10,Dashboard!$H$10,MAX(Dashboard!$H$10,MIN($J$2,Dashboard!$H$10*POWER($J$2/Dashboard!$H$10,A107/$D$2)))),$I$2-D107-Dashboard!$I$10-Dashboard!$J$10-Dashboard!$F$10*$I$2)))</f>
        <v>881.8</v>
      </c>
      <c r="F107" s="24">
        <f t="shared" si="12"/>
        <v>0</v>
      </c>
      <c r="G107" s="24">
        <f t="shared" si="13"/>
        <v>0</v>
      </c>
      <c r="H107" s="24">
        <f t="shared" si="14"/>
        <v>0</v>
      </c>
      <c r="I107" s="24">
        <f t="shared" si="15"/>
        <v>881.8</v>
      </c>
      <c r="J107" s="25">
        <f t="shared" si="16"/>
        <v>7.9741404289037643E-3</v>
      </c>
      <c r="K107" s="24">
        <f t="shared" si="21"/>
        <v>334575.07504467387</v>
      </c>
      <c r="L107" s="24" t="str">
        <f t="shared" si="17"/>
        <v/>
      </c>
      <c r="M107" s="24">
        <f t="shared" si="18"/>
        <v>1966.7924292882783</v>
      </c>
      <c r="N107" s="24">
        <f>IF(M107&lt;=0,0,IF($E$2-A107&lt;12,(M107-E107)*Dashboard!$B$18,IF($Q$2+A107&gt;=$R$2,MAX(0,M107-E107*POWER(1+$C$2,$E$2-A107))*MAX(Dashboard!$C$18,Dashboard!$B$18),IF($S$2&lt;$R$2,(M107-E107)*0.5*Dashboard!$B$18,(E107*POWER(1+$A$2,$R$2-($Q$2+A107))-E107)*0.5*Dashboard!$B$18+MAX(0,M107-E107*POWER(1+$A$2,$R$2-($Q$2+A107))*POWER(1+$C$2,$S$2-$R$2))*MAX(Dashboard!$C$18,Dashboard!$B$18)))))</f>
        <v>414.2080678091549</v>
      </c>
    </row>
    <row r="108" spans="1:14" x14ac:dyDescent="0.2">
      <c r="A108" s="22">
        <f t="shared" si="19"/>
        <v>103</v>
      </c>
      <c r="B108" s="23">
        <f t="shared" si="20"/>
        <v>26.638127853881155</v>
      </c>
      <c r="C108" t="str">
        <f t="shared" si="11"/>
        <v>26 y 7.66 m</v>
      </c>
      <c r="D108" s="24">
        <f>IF(A108&gt;=$E$2,IF(A108&lt;$E$2+$H$2,$P$2,0),IF(B108&lt;Dashboard!$I$6,0,IF(A108&gt;=$F$2,Dashboard!$C$22*POWER(1+$C$2,A108-$F$2),Dashboard!$C$22)))</f>
        <v>6000</v>
      </c>
      <c r="E108" s="24">
        <f>IF(A108&gt;=$F$2,0,IF(A108=0,Dashboard!$G$10,IF(B108&lt;Dashboard!$I$6,IF($J$2&lt;=Dashboard!$H$10,Dashboard!$H$10,MAX(Dashboard!$H$10,MIN($J$2,Dashboard!$H$10*POWER($J$2/Dashboard!$H$10,A108/$D$2)))),$I$2-D108-Dashboard!$I$10-Dashboard!$J$10-Dashboard!$F$10*$I$2)))</f>
        <v>881.8</v>
      </c>
      <c r="F108" s="24">
        <f t="shared" si="12"/>
        <v>0</v>
      </c>
      <c r="G108" s="24">
        <f t="shared" si="13"/>
        <v>0</v>
      </c>
      <c r="H108" s="24">
        <f t="shared" si="14"/>
        <v>0</v>
      </c>
      <c r="I108" s="24">
        <f t="shared" si="15"/>
        <v>881.8</v>
      </c>
      <c r="J108" s="25">
        <f t="shared" si="16"/>
        <v>7.9741404289037643E-3</v>
      </c>
      <c r="K108" s="24">
        <f t="shared" si="21"/>
        <v>338131.85527412134</v>
      </c>
      <c r="L108" s="24" t="str">
        <f t="shared" si="17"/>
        <v/>
      </c>
      <c r="M108" s="24">
        <f t="shared" si="18"/>
        <v>1951.2330231521489</v>
      </c>
      <c r="N108" s="24">
        <f>IF(M108&lt;=0,0,IF($E$2-A108&lt;12,(M108-E108)*Dashboard!$B$18,IF($Q$2+A108&gt;=$R$2,MAX(0,M108-E108*POWER(1+$C$2,$E$2-A108))*MAX(Dashboard!$C$18,Dashboard!$B$18),IF($S$2&lt;$R$2,(M108-E108)*0.5*Dashboard!$B$18,(E108*POWER(1+$A$2,$R$2-($Q$2+A108))-E108)*0.5*Dashboard!$B$18+MAX(0,M108-E108*POWER(1+$A$2,$R$2-($Q$2+A108))*POWER(1+$C$2,$S$2-$R$2))*MAX(Dashboard!$C$18,Dashboard!$B$18)))))</f>
        <v>407.94388297839635</v>
      </c>
    </row>
    <row r="109" spans="1:14" x14ac:dyDescent="0.2">
      <c r="A109" s="22">
        <f t="shared" si="19"/>
        <v>104</v>
      </c>
      <c r="B109" s="23">
        <f t="shared" si="20"/>
        <v>26.721461187214487</v>
      </c>
      <c r="C109" t="str">
        <f t="shared" si="11"/>
        <v>26 y 8.66 m</v>
      </c>
      <c r="D109" s="24">
        <f>IF(A109&gt;=$E$2,IF(A109&lt;$E$2+$H$2,$P$2,0),IF(B109&lt;Dashboard!$I$6,0,IF(A109&gt;=$F$2,Dashboard!$C$22*POWER(1+$C$2,A109-$F$2),Dashboard!$C$22)))</f>
        <v>6000</v>
      </c>
      <c r="E109" s="24">
        <f>IF(A109&gt;=$F$2,0,IF(A109=0,Dashboard!$G$10,IF(B109&lt;Dashboard!$I$6,IF($J$2&lt;=Dashboard!$H$10,Dashboard!$H$10,MAX(Dashboard!$H$10,MIN($J$2,Dashboard!$H$10*POWER($J$2/Dashboard!$H$10,A109/$D$2)))),$I$2-D109-Dashboard!$I$10-Dashboard!$J$10-Dashboard!$F$10*$I$2)))</f>
        <v>881.8</v>
      </c>
      <c r="F109" s="24">
        <f t="shared" si="12"/>
        <v>0</v>
      </c>
      <c r="G109" s="24">
        <f t="shared" si="13"/>
        <v>0</v>
      </c>
      <c r="H109" s="24">
        <f t="shared" si="14"/>
        <v>0</v>
      </c>
      <c r="I109" s="24">
        <f t="shared" si="15"/>
        <v>881.8</v>
      </c>
      <c r="J109" s="25">
        <f t="shared" si="16"/>
        <v>7.9741404289037643E-3</v>
      </c>
      <c r="K109" s="24">
        <f t="shared" si="21"/>
        <v>341716.99776859314</v>
      </c>
      <c r="L109" s="24" t="str">
        <f t="shared" si="17"/>
        <v/>
      </c>
      <c r="M109" s="24">
        <f t="shared" si="18"/>
        <v>1935.7967083578931</v>
      </c>
      <c r="N109" s="24">
        <f>IF(M109&lt;=0,0,IF($E$2-A109&lt;12,(M109-E109)*Dashboard!$B$18,IF($Q$2+A109&gt;=$R$2,MAX(0,M109-E109*POWER(1+$C$2,$E$2-A109))*MAX(Dashboard!$C$18,Dashboard!$B$18),IF($S$2&lt;$R$2,(M109-E109)*0.5*Dashboard!$B$18,(E109*POWER(1+$A$2,$R$2-($Q$2+A109))-E109)*0.5*Dashboard!$B$18+MAX(0,M109-E109*POWER(1+$A$2,$R$2-($Q$2+A109))*POWER(1+$C$2,$S$2-$R$2))*MAX(Dashboard!$C$18,Dashboard!$B$18)))))</f>
        <v>401.73539529432071</v>
      </c>
    </row>
    <row r="110" spans="1:14" x14ac:dyDescent="0.2">
      <c r="A110" s="22">
        <f t="shared" si="19"/>
        <v>105</v>
      </c>
      <c r="B110" s="23">
        <f t="shared" si="20"/>
        <v>26.804794520547819</v>
      </c>
      <c r="C110" t="str">
        <f t="shared" si="11"/>
        <v>26 y 9.66 m</v>
      </c>
      <c r="D110" s="24">
        <f>IF(A110&gt;=$E$2,IF(A110&lt;$E$2+$H$2,$P$2,0),IF(B110&lt;Dashboard!$I$6,0,IF(A110&gt;=$F$2,Dashboard!$C$22*POWER(1+$C$2,A110-$F$2),Dashboard!$C$22)))</f>
        <v>6000</v>
      </c>
      <c r="E110" s="24">
        <f>IF(A110&gt;=$F$2,0,IF(A110=0,Dashboard!$G$10,IF(B110&lt;Dashboard!$I$6,IF($J$2&lt;=Dashboard!$H$10,Dashboard!$H$10,MAX(Dashboard!$H$10,MIN($J$2,Dashboard!$H$10*POWER($J$2/Dashboard!$H$10,A110/$D$2)))),$I$2-D110-Dashboard!$I$10-Dashboard!$J$10-Dashboard!$F$10*$I$2)))</f>
        <v>881.8</v>
      </c>
      <c r="F110" s="24">
        <f t="shared" si="12"/>
        <v>0</v>
      </c>
      <c r="G110" s="24">
        <f t="shared" si="13"/>
        <v>0</v>
      </c>
      <c r="H110" s="24">
        <f t="shared" si="14"/>
        <v>0</v>
      </c>
      <c r="I110" s="24">
        <f t="shared" si="15"/>
        <v>881.8</v>
      </c>
      <c r="J110" s="25">
        <f t="shared" si="16"/>
        <v>7.9741404289037643E-3</v>
      </c>
      <c r="K110" s="24">
        <f t="shared" si="21"/>
        <v>345330.7286927735</v>
      </c>
      <c r="L110" s="24" t="str">
        <f t="shared" si="17"/>
        <v/>
      </c>
      <c r="M110" s="24">
        <f t="shared" si="18"/>
        <v>1920.4825111229454</v>
      </c>
      <c r="N110" s="24">
        <f>IF(M110&lt;=0,0,IF($E$2-A110&lt;12,(M110-E110)*Dashboard!$B$18,IF($Q$2+A110&gt;=$R$2,MAX(0,M110-E110*POWER(1+$C$2,$E$2-A110))*MAX(Dashboard!$C$18,Dashboard!$B$18),IF($S$2&lt;$R$2,(M110-E110)*0.5*Dashboard!$B$18,(E110*POWER(1+$A$2,$R$2-($Q$2+A110))-E110)*0.5*Dashboard!$B$18+MAX(0,M110-E110*POWER(1+$A$2,$R$2-($Q$2+A110))*POWER(1+$C$2,$S$2-$R$2))*MAX(Dashboard!$C$18,Dashboard!$B$18)))))</f>
        <v>395.582151510556</v>
      </c>
    </row>
    <row r="111" spans="1:14" x14ac:dyDescent="0.2">
      <c r="A111" s="22">
        <f t="shared" si="19"/>
        <v>106</v>
      </c>
      <c r="B111" s="23">
        <f t="shared" si="20"/>
        <v>26.888127853881151</v>
      </c>
      <c r="C111" t="str">
        <f t="shared" si="11"/>
        <v>26 y 10.66 m</v>
      </c>
      <c r="D111" s="24">
        <f>IF(A111&gt;=$E$2,IF(A111&lt;$E$2+$H$2,$P$2,0),IF(B111&lt;Dashboard!$I$6,0,IF(A111&gt;=$F$2,Dashboard!$C$22*POWER(1+$C$2,A111-$F$2),Dashboard!$C$22)))</f>
        <v>6000</v>
      </c>
      <c r="E111" s="24">
        <f>IF(A111&gt;=$F$2,0,IF(A111=0,Dashboard!$G$10,IF(B111&lt;Dashboard!$I$6,IF($J$2&lt;=Dashboard!$H$10,Dashboard!$H$10,MAX(Dashboard!$H$10,MIN($J$2,Dashboard!$H$10*POWER($J$2/Dashboard!$H$10,A111/$D$2)))),$I$2-D111-Dashboard!$I$10-Dashboard!$J$10-Dashboard!$F$10*$I$2)))</f>
        <v>881.8</v>
      </c>
      <c r="F111" s="24">
        <f t="shared" si="12"/>
        <v>0</v>
      </c>
      <c r="G111" s="24">
        <f t="shared" si="13"/>
        <v>0</v>
      </c>
      <c r="H111" s="24">
        <f t="shared" si="14"/>
        <v>0</v>
      </c>
      <c r="I111" s="24">
        <f t="shared" si="15"/>
        <v>881.8</v>
      </c>
      <c r="J111" s="25">
        <f t="shared" si="16"/>
        <v>7.9741404289037643E-3</v>
      </c>
      <c r="K111" s="24">
        <f t="shared" si="21"/>
        <v>348973.27601481555</v>
      </c>
      <c r="L111" s="24" t="str">
        <f t="shared" si="17"/>
        <v/>
      </c>
      <c r="M111" s="24">
        <f t="shared" si="18"/>
        <v>1905.2894653683868</v>
      </c>
      <c r="N111" s="24">
        <f>IF(M111&lt;=0,0,IF($E$2-A111&lt;12,(M111-E111)*Dashboard!$B$18,IF($Q$2+A111&gt;=$R$2,MAX(0,M111-E111*POWER(1+$C$2,$E$2-A111))*MAX(Dashboard!$C$18,Dashboard!$B$18),IF($S$2&lt;$R$2,(M111-E111)*0.5*Dashboard!$B$18,(E111*POWER(1+$A$2,$R$2-($Q$2+A111))-E111)*0.5*Dashboard!$B$18+MAX(0,M111-E111*POWER(1+$A$2,$R$2-($Q$2+A111))*POWER(1+$C$2,$S$2-$R$2))*MAX(Dashboard!$C$18,Dashboard!$B$18)))))</f>
        <v>389.48370199233511</v>
      </c>
    </row>
    <row r="112" spans="1:14" x14ac:dyDescent="0.2">
      <c r="A112" s="22">
        <f t="shared" si="19"/>
        <v>107</v>
      </c>
      <c r="B112" s="23">
        <f t="shared" si="20"/>
        <v>26.971461187214484</v>
      </c>
      <c r="C112" t="str">
        <f t="shared" si="11"/>
        <v>26 y 11.66 m</v>
      </c>
      <c r="D112" s="24">
        <f>IF(A112&gt;=$E$2,IF(A112&lt;$E$2+$H$2,$P$2,0),IF(B112&lt;Dashboard!$I$6,0,IF(A112&gt;=$F$2,Dashboard!$C$22*POWER(1+$C$2,A112-$F$2),Dashboard!$C$22)))</f>
        <v>6000</v>
      </c>
      <c r="E112" s="24">
        <f>IF(A112&gt;=$F$2,0,IF(A112=0,Dashboard!$G$10,IF(B112&lt;Dashboard!$I$6,IF($J$2&lt;=Dashboard!$H$10,Dashboard!$H$10,MAX(Dashboard!$H$10,MIN($J$2,Dashboard!$H$10*POWER($J$2/Dashboard!$H$10,A112/$D$2)))),$I$2-D112-Dashboard!$I$10-Dashboard!$J$10-Dashboard!$F$10*$I$2)))</f>
        <v>881.8</v>
      </c>
      <c r="F112" s="24">
        <f t="shared" si="12"/>
        <v>0</v>
      </c>
      <c r="G112" s="24">
        <f t="shared" si="13"/>
        <v>0</v>
      </c>
      <c r="H112" s="24">
        <f t="shared" si="14"/>
        <v>0</v>
      </c>
      <c r="I112" s="24">
        <f t="shared" si="15"/>
        <v>881.8</v>
      </c>
      <c r="J112" s="25">
        <f t="shared" si="16"/>
        <v>7.9741404289037643E-3</v>
      </c>
      <c r="K112" s="24">
        <f t="shared" si="21"/>
        <v>352644.86952072248</v>
      </c>
      <c r="L112" s="24" t="str">
        <f t="shared" si="17"/>
        <v/>
      </c>
      <c r="M112" s="24">
        <f t="shared" si="18"/>
        <v>1890.2166126580048</v>
      </c>
      <c r="N112" s="24">
        <f>IF(M112&lt;=0,0,IF($E$2-A112&lt;12,(M112-E112)*Dashboard!$B$18,IF($Q$2+A112&gt;=$R$2,MAX(0,M112-E112*POWER(1+$C$2,$E$2-A112))*MAX(Dashboard!$C$18,Dashboard!$B$18),IF($S$2&lt;$R$2,(M112-E112)*0.5*Dashboard!$B$18,(E112*POWER(1+$A$2,$R$2-($Q$2+A112))-E112)*0.5*Dashboard!$B$18+MAX(0,M112-E112*POWER(1+$A$2,$R$2-($Q$2+A112))*POWER(1+$C$2,$S$2-$R$2))*MAX(Dashboard!$C$18,Dashboard!$B$18)))))</f>
        <v>383.43960068787243</v>
      </c>
    </row>
    <row r="113" spans="1:14" x14ac:dyDescent="0.2">
      <c r="A113" s="22">
        <f t="shared" si="19"/>
        <v>108</v>
      </c>
      <c r="B113" s="23">
        <f t="shared" si="20"/>
        <v>27.054794520547816</v>
      </c>
      <c r="C113" t="str">
        <f t="shared" si="11"/>
        <v>27 y 0.66 m</v>
      </c>
      <c r="D113" s="24">
        <f>IF(A113&gt;=$E$2,IF(A113&lt;$E$2+$H$2,$P$2,0),IF(B113&lt;Dashboard!$I$6,0,IF(A113&gt;=$F$2,Dashboard!$C$22*POWER(1+$C$2,A113-$F$2),Dashboard!$C$22)))</f>
        <v>6000</v>
      </c>
      <c r="E113" s="24">
        <f>IF(A113&gt;=$F$2,0,IF(A113=0,Dashboard!$G$10,IF(B113&lt;Dashboard!$I$6,IF($J$2&lt;=Dashboard!$H$10,Dashboard!$H$10,MAX(Dashboard!$H$10,MIN($J$2,Dashboard!$H$10*POWER($J$2/Dashboard!$H$10,A113/$D$2)))),$I$2-D113-Dashboard!$I$10-Dashboard!$J$10-Dashboard!$F$10*$I$2)))</f>
        <v>881.8</v>
      </c>
      <c r="F113" s="24">
        <f t="shared" si="12"/>
        <v>0</v>
      </c>
      <c r="G113" s="24">
        <f t="shared" si="13"/>
        <v>0</v>
      </c>
      <c r="H113" s="24">
        <f t="shared" si="14"/>
        <v>0</v>
      </c>
      <c r="I113" s="24">
        <f t="shared" si="15"/>
        <v>881.8</v>
      </c>
      <c r="J113" s="25">
        <f t="shared" si="16"/>
        <v>7.9741404289037643E-3</v>
      </c>
      <c r="K113" s="24">
        <f t="shared" si="21"/>
        <v>356345.74082884338</v>
      </c>
      <c r="L113" s="24" t="str">
        <f t="shared" si="17"/>
        <v/>
      </c>
      <c r="M113" s="24">
        <f t="shared" si="18"/>
        <v>1875.2630021378295</v>
      </c>
      <c r="N113" s="24">
        <f>IF(M113&lt;=0,0,IF($E$2-A113&lt;12,(M113-E113)*Dashboard!$B$18,IF($Q$2+A113&gt;=$R$2,MAX(0,M113-E113*POWER(1+$C$2,$E$2-A113))*MAX(Dashboard!$C$18,Dashboard!$B$18),IF($S$2&lt;$R$2,(M113-E113)*0.5*Dashboard!$B$18,(E113*POWER(1+$A$2,$R$2-($Q$2+A113))-E113)*0.5*Dashboard!$B$18+MAX(0,M113-E113*POWER(1+$A$2,$R$2-($Q$2+A113))*POWER(1+$C$2,$S$2-$R$2))*MAX(Dashboard!$C$18,Dashboard!$B$18)))))</f>
        <v>377.44940509996445</v>
      </c>
    </row>
    <row r="114" spans="1:14" x14ac:dyDescent="0.2">
      <c r="A114" s="22">
        <f t="shared" si="19"/>
        <v>109</v>
      </c>
      <c r="B114" s="23">
        <f t="shared" si="20"/>
        <v>27.138127853881148</v>
      </c>
      <c r="C114" t="str">
        <f t="shared" si="11"/>
        <v>27 y 1.66 m</v>
      </c>
      <c r="D114" s="24">
        <f>IF(A114&gt;=$E$2,IF(A114&lt;$E$2+$H$2,$P$2,0),IF(B114&lt;Dashboard!$I$6,0,IF(A114&gt;=$F$2,Dashboard!$C$22*POWER(1+$C$2,A114-$F$2),Dashboard!$C$22)))</f>
        <v>6000</v>
      </c>
      <c r="E114" s="24">
        <f>IF(A114&gt;=$F$2,0,IF(A114=0,Dashboard!$G$10,IF(B114&lt;Dashboard!$I$6,IF($J$2&lt;=Dashboard!$H$10,Dashboard!$H$10,MAX(Dashboard!$H$10,MIN($J$2,Dashboard!$H$10*POWER($J$2/Dashboard!$H$10,A114/$D$2)))),$I$2-D114-Dashboard!$I$10-Dashboard!$J$10-Dashboard!$F$10*$I$2)))</f>
        <v>881.8</v>
      </c>
      <c r="F114" s="24">
        <f t="shared" si="12"/>
        <v>0</v>
      </c>
      <c r="G114" s="24">
        <f t="shared" si="13"/>
        <v>0</v>
      </c>
      <c r="H114" s="24">
        <f t="shared" si="14"/>
        <v>0</v>
      </c>
      <c r="I114" s="24">
        <f t="shared" si="15"/>
        <v>881.8</v>
      </c>
      <c r="J114" s="25">
        <f t="shared" si="16"/>
        <v>7.9741404289037643E-3</v>
      </c>
      <c r="K114" s="24">
        <f t="shared" si="21"/>
        <v>360076.12340448453</v>
      </c>
      <c r="L114" s="24" t="str">
        <f t="shared" si="17"/>
        <v/>
      </c>
      <c r="M114" s="24">
        <f t="shared" si="18"/>
        <v>1860.4276904761518</v>
      </c>
      <c r="N114" s="24">
        <f>IF(M114&lt;=0,0,IF($E$2-A114&lt;12,(M114-E114)*Dashboard!$B$18,IF($Q$2+A114&gt;=$R$2,MAX(0,M114-E114*POWER(1+$C$2,$E$2-A114))*MAX(Dashboard!$C$18,Dashboard!$B$18),IF($S$2&lt;$R$2,(M114-E114)*0.5*Dashboard!$B$18,(E114*POWER(1+$A$2,$R$2-($Q$2+A114))-E114)*0.5*Dashboard!$B$18+MAX(0,M114-E114*POWER(1+$A$2,$R$2-($Q$2+A114))*POWER(1+$C$2,$S$2-$R$2))*MAX(Dashboard!$C$18,Dashboard!$B$18)))))</f>
        <v>371.51267625781725</v>
      </c>
    </row>
    <row r="115" spans="1:14" x14ac:dyDescent="0.2">
      <c r="A115" s="22">
        <f t="shared" si="19"/>
        <v>110</v>
      </c>
      <c r="B115" s="23">
        <f t="shared" si="20"/>
        <v>27.22146118721448</v>
      </c>
      <c r="C115" t="str">
        <f t="shared" si="11"/>
        <v>27 y 2.66 m</v>
      </c>
      <c r="D115" s="24">
        <f>IF(A115&gt;=$E$2,IF(A115&lt;$E$2+$H$2,$P$2,0),IF(B115&lt;Dashboard!$I$6,0,IF(A115&gt;=$F$2,Dashboard!$C$22*POWER(1+$C$2,A115-$F$2),Dashboard!$C$22)))</f>
        <v>6000</v>
      </c>
      <c r="E115" s="24">
        <f>IF(A115&gt;=$F$2,0,IF(A115=0,Dashboard!$G$10,IF(B115&lt;Dashboard!$I$6,IF($J$2&lt;=Dashboard!$H$10,Dashboard!$H$10,MAX(Dashboard!$H$10,MIN($J$2,Dashboard!$H$10*POWER($J$2/Dashboard!$H$10,A115/$D$2)))),$I$2-D115-Dashboard!$I$10-Dashboard!$J$10-Dashboard!$F$10*$I$2)))</f>
        <v>881.8</v>
      </c>
      <c r="F115" s="24">
        <f t="shared" si="12"/>
        <v>0</v>
      </c>
      <c r="G115" s="24">
        <f t="shared" si="13"/>
        <v>0</v>
      </c>
      <c r="H115" s="24">
        <f t="shared" si="14"/>
        <v>0</v>
      </c>
      <c r="I115" s="24">
        <f t="shared" si="15"/>
        <v>881.8</v>
      </c>
      <c r="J115" s="25">
        <f t="shared" si="16"/>
        <v>7.9741404289037643E-3</v>
      </c>
      <c r="K115" s="24">
        <f t="shared" si="21"/>
        <v>363836.25257463736</v>
      </c>
      <c r="L115" s="24" t="str">
        <f t="shared" si="17"/>
        <v/>
      </c>
      <c r="M115" s="24">
        <f t="shared" si="18"/>
        <v>1845.7097418040114</v>
      </c>
      <c r="N115" s="24">
        <f>IF(M115&lt;=0,0,IF($E$2-A115&lt;12,(M115-E115)*Dashboard!$B$18,IF($Q$2+A115&gt;=$R$2,MAX(0,M115-E115*POWER(1+$C$2,$E$2-A115))*MAX(Dashboard!$C$18,Dashboard!$B$18),IF($S$2&lt;$R$2,(M115-E115)*0.5*Dashboard!$B$18,(E115*POWER(1+$A$2,$R$2-($Q$2+A115))-E115)*0.5*Dashboard!$B$18+MAX(0,M115-E115*POWER(1+$A$2,$R$2-($Q$2+A115))*POWER(1+$C$2,$S$2-$R$2))*MAX(Dashboard!$C$18,Dashboard!$B$18)))))</f>
        <v>365.62897868909374</v>
      </c>
    </row>
    <row r="116" spans="1:14" x14ac:dyDescent="0.2">
      <c r="A116" s="22">
        <f t="shared" si="19"/>
        <v>111</v>
      </c>
      <c r="B116" s="23">
        <f t="shared" si="20"/>
        <v>27.304794520547812</v>
      </c>
      <c r="C116" t="str">
        <f t="shared" si="11"/>
        <v>27 y 3.66 m</v>
      </c>
      <c r="D116" s="24">
        <f>IF(A116&gt;=$E$2,IF(A116&lt;$E$2+$H$2,$P$2,0),IF(B116&lt;Dashboard!$I$6,0,IF(A116&gt;=$F$2,Dashboard!$C$22*POWER(1+$C$2,A116-$F$2),Dashboard!$C$22)))</f>
        <v>6000</v>
      </c>
      <c r="E116" s="24">
        <f>IF(A116&gt;=$F$2,0,IF(A116=0,Dashboard!$G$10,IF(B116&lt;Dashboard!$I$6,IF($J$2&lt;=Dashboard!$H$10,Dashboard!$H$10,MAX(Dashboard!$H$10,MIN($J$2,Dashboard!$H$10*POWER($J$2/Dashboard!$H$10,A116/$D$2)))),$I$2-D116-Dashboard!$I$10-Dashboard!$J$10-Dashboard!$F$10*$I$2)))</f>
        <v>881.8</v>
      </c>
      <c r="F116" s="24">
        <f t="shared" si="12"/>
        <v>0</v>
      </c>
      <c r="G116" s="24">
        <f t="shared" si="13"/>
        <v>0</v>
      </c>
      <c r="H116" s="24">
        <f t="shared" si="14"/>
        <v>0</v>
      </c>
      <c r="I116" s="24">
        <f t="shared" si="15"/>
        <v>881.8</v>
      </c>
      <c r="J116" s="25">
        <f t="shared" si="16"/>
        <v>7.9741404289037643E-3</v>
      </c>
      <c r="K116" s="24">
        <f t="shared" si="21"/>
        <v>367626.3655428238</v>
      </c>
      <c r="L116" s="24" t="str">
        <f t="shared" si="17"/>
        <v/>
      </c>
      <c r="M116" s="24">
        <f t="shared" si="18"/>
        <v>1831.1082276561601</v>
      </c>
      <c r="N116" s="24">
        <f>IF(M116&lt;=0,0,IF($E$2-A116&lt;12,(M116-E116)*Dashboard!$B$18,IF($Q$2+A116&gt;=$R$2,MAX(0,M116-E116*POWER(1+$C$2,$E$2-A116))*MAX(Dashboard!$C$18,Dashboard!$B$18),IF($S$2&lt;$R$2,(M116-E116)*0.5*Dashboard!$B$18,(E116*POWER(1+$A$2,$R$2-($Q$2+A116))-E116)*0.5*Dashboard!$B$18+MAX(0,M116-E116*POWER(1+$A$2,$R$2-($Q$2+A116))*POWER(1+$C$2,$S$2-$R$2))*MAX(Dashboard!$C$18,Dashboard!$B$18)))))</f>
        <v>359.79788039218596</v>
      </c>
    </row>
    <row r="117" spans="1:14" x14ac:dyDescent="0.2">
      <c r="A117" s="22">
        <f t="shared" si="19"/>
        <v>112</v>
      </c>
      <c r="B117" s="23">
        <f t="shared" si="20"/>
        <v>27.388127853881144</v>
      </c>
      <c r="C117" t="str">
        <f t="shared" si="11"/>
        <v>27 y 4.66 m</v>
      </c>
      <c r="D117" s="24">
        <f>IF(A117&gt;=$E$2,IF(A117&lt;$E$2+$H$2,$P$2,0),IF(B117&lt;Dashboard!$I$6,0,IF(A117&gt;=$F$2,Dashboard!$C$22*POWER(1+$C$2,A117-$F$2),Dashboard!$C$22)))</f>
        <v>6000</v>
      </c>
      <c r="E117" s="24">
        <f>IF(A117&gt;=$F$2,0,IF(A117=0,Dashboard!$G$10,IF(B117&lt;Dashboard!$I$6,IF($J$2&lt;=Dashboard!$H$10,Dashboard!$H$10,MAX(Dashboard!$H$10,MIN($J$2,Dashboard!$H$10*POWER($J$2/Dashboard!$H$10,A117/$D$2)))),$I$2-D117-Dashboard!$I$10-Dashboard!$J$10-Dashboard!$F$10*$I$2)))</f>
        <v>881.8</v>
      </c>
      <c r="F117" s="24">
        <f t="shared" si="12"/>
        <v>0</v>
      </c>
      <c r="G117" s="24">
        <f t="shared" si="13"/>
        <v>0</v>
      </c>
      <c r="H117" s="24">
        <f t="shared" si="14"/>
        <v>0</v>
      </c>
      <c r="I117" s="24">
        <f t="shared" si="15"/>
        <v>881.8</v>
      </c>
      <c r="J117" s="25">
        <f t="shared" si="16"/>
        <v>7.9741404289037643E-3</v>
      </c>
      <c r="K117" s="24">
        <f t="shared" si="21"/>
        <v>371446.70140406</v>
      </c>
      <c r="L117" s="24" t="str">
        <f t="shared" si="17"/>
        <v/>
      </c>
      <c r="M117" s="24">
        <f t="shared" si="18"/>
        <v>1816.6222269124917</v>
      </c>
      <c r="N117" s="24">
        <f>IF(M117&lt;=0,0,IF($E$2-A117&lt;12,(M117-E117)*Dashboard!$B$18,IF($Q$2+A117&gt;=$R$2,MAX(0,M117-E117*POWER(1+$C$2,$E$2-A117))*MAX(Dashboard!$C$18,Dashboard!$B$18),IF($S$2&lt;$R$2,(M117-E117)*0.5*Dashboard!$B$18,(E117*POWER(1+$A$2,$R$2-($Q$2+A117))-E117)*0.5*Dashboard!$B$18+MAX(0,M117-E117*POWER(1+$A$2,$R$2-($Q$2+A117))*POWER(1+$C$2,$S$2-$R$2))*MAX(Dashboard!$C$18,Dashboard!$B$18)))))</f>
        <v>354.01895280870514</v>
      </c>
    </row>
    <row r="118" spans="1:14" x14ac:dyDescent="0.2">
      <c r="A118" s="22">
        <f t="shared" si="19"/>
        <v>113</v>
      </c>
      <c r="B118" s="23">
        <f t="shared" si="20"/>
        <v>27.471461187214476</v>
      </c>
      <c r="C118" t="str">
        <f t="shared" si="11"/>
        <v>27 y 5.66 m</v>
      </c>
      <c r="D118" s="24">
        <f>IF(A118&gt;=$E$2,IF(A118&lt;$E$2+$H$2,$P$2,0),IF(B118&lt;Dashboard!$I$6,0,IF(A118&gt;=$F$2,Dashboard!$C$22*POWER(1+$C$2,A118-$F$2),Dashboard!$C$22)))</f>
        <v>6000</v>
      </c>
      <c r="E118" s="24">
        <f>IF(A118&gt;=$F$2,0,IF(A118=0,Dashboard!$G$10,IF(B118&lt;Dashboard!$I$6,IF($J$2&lt;=Dashboard!$H$10,Dashboard!$H$10,MAX(Dashboard!$H$10,MIN($J$2,Dashboard!$H$10*POWER($J$2/Dashboard!$H$10,A118/$D$2)))),$I$2-D118-Dashboard!$I$10-Dashboard!$J$10-Dashboard!$F$10*$I$2)))</f>
        <v>881.8</v>
      </c>
      <c r="F118" s="24">
        <f t="shared" si="12"/>
        <v>0</v>
      </c>
      <c r="G118" s="24">
        <f t="shared" si="13"/>
        <v>0</v>
      </c>
      <c r="H118" s="24">
        <f t="shared" si="14"/>
        <v>0</v>
      </c>
      <c r="I118" s="24">
        <f t="shared" si="15"/>
        <v>881.8</v>
      </c>
      <c r="J118" s="25">
        <f t="shared" si="16"/>
        <v>7.9741404289037643E-3</v>
      </c>
      <c r="K118" s="24">
        <f t="shared" si="21"/>
        <v>375297.50115993927</v>
      </c>
      <c r="L118" s="24" t="str">
        <f t="shared" si="17"/>
        <v/>
      </c>
      <c r="M118" s="24">
        <f t="shared" si="18"/>
        <v>1802.250825739934</v>
      </c>
      <c r="N118" s="24">
        <f>IF(M118&lt;=0,0,IF($E$2-A118&lt;12,(M118-E118)*Dashboard!$B$18,IF($Q$2+A118&gt;=$R$2,MAX(0,M118-E118*POWER(1+$C$2,$E$2-A118))*MAX(Dashboard!$C$18,Dashboard!$B$18),IF($S$2&lt;$R$2,(M118-E118)*0.5*Dashboard!$B$18,(E118*POWER(1+$A$2,$R$2-($Q$2+A118))-E118)*0.5*Dashboard!$B$18+MAX(0,M118-E118*POWER(1+$A$2,$R$2-($Q$2+A118))*POWER(1+$C$2,$S$2-$R$2))*MAX(Dashboard!$C$18,Dashboard!$B$18)))))</f>
        <v>348.2917707961895</v>
      </c>
    </row>
    <row r="119" spans="1:14" x14ac:dyDescent="0.2">
      <c r="A119" s="22">
        <f t="shared" si="19"/>
        <v>114</v>
      </c>
      <c r="B119" s="23">
        <f t="shared" si="20"/>
        <v>27.554794520547809</v>
      </c>
      <c r="C119" t="str">
        <f t="shared" si="11"/>
        <v>27 y 6.66 m</v>
      </c>
      <c r="D119" s="24">
        <f>IF(A119&gt;=$E$2,IF(A119&lt;$E$2+$H$2,$P$2,0),IF(B119&lt;Dashboard!$I$6,0,IF(A119&gt;=$F$2,Dashboard!$C$22*POWER(1+$C$2,A119-$F$2),Dashboard!$C$22)))</f>
        <v>6000</v>
      </c>
      <c r="E119" s="24">
        <f>IF(A119&gt;=$F$2,0,IF(A119=0,Dashboard!$G$10,IF(B119&lt;Dashboard!$I$6,IF($J$2&lt;=Dashboard!$H$10,Dashboard!$H$10,MAX(Dashboard!$H$10,MIN($J$2,Dashboard!$H$10*POWER($J$2/Dashboard!$H$10,A119/$D$2)))),$I$2-D119-Dashboard!$I$10-Dashboard!$J$10-Dashboard!$F$10*$I$2)))</f>
        <v>881.8</v>
      </c>
      <c r="F119" s="24">
        <f t="shared" si="12"/>
        <v>0</v>
      </c>
      <c r="G119" s="24">
        <f t="shared" si="13"/>
        <v>0</v>
      </c>
      <c r="H119" s="24">
        <f t="shared" si="14"/>
        <v>0</v>
      </c>
      <c r="I119" s="24">
        <f t="shared" si="15"/>
        <v>881.8</v>
      </c>
      <c r="J119" s="25">
        <f t="shared" si="16"/>
        <v>7.9741404289037643E-3</v>
      </c>
      <c r="K119" s="24">
        <f t="shared" si="21"/>
        <v>379179.00773383549</v>
      </c>
      <c r="L119" s="24" t="str">
        <f t="shared" si="17"/>
        <v/>
      </c>
      <c r="M119" s="24">
        <f t="shared" si="18"/>
        <v>1787.9931175347981</v>
      </c>
      <c r="N119" s="24">
        <f>IF(M119&lt;=0,0,IF($E$2-A119&lt;12,(M119-E119)*Dashboard!$B$18,IF($Q$2+A119&gt;=$R$2,MAX(0,M119-E119*POWER(1+$C$2,$E$2-A119))*MAX(Dashboard!$C$18,Dashboard!$B$18),IF($S$2&lt;$R$2,(M119-E119)*0.5*Dashboard!$B$18,(E119*POWER(1+$A$2,$R$2-($Q$2+A119))-E119)*0.5*Dashboard!$B$18+MAX(0,M119-E119*POWER(1+$A$2,$R$2-($Q$2+A119))*POWER(1+$C$2,$S$2-$R$2))*MAX(Dashboard!$C$18,Dashboard!$B$18)))))</f>
        <v>342.61591260102659</v>
      </c>
    </row>
    <row r="120" spans="1:14" x14ac:dyDescent="0.2">
      <c r="A120" s="22">
        <f t="shared" si="19"/>
        <v>115</v>
      </c>
      <c r="B120" s="23">
        <f t="shared" si="20"/>
        <v>27.638127853881141</v>
      </c>
      <c r="C120" t="str">
        <f t="shared" si="11"/>
        <v>27 y 7.66 m</v>
      </c>
      <c r="D120" s="24">
        <f>IF(A120&gt;=$E$2,IF(A120&lt;$E$2+$H$2,$P$2,0),IF(B120&lt;Dashboard!$I$6,0,IF(A120&gt;=$F$2,Dashboard!$C$22*POWER(1+$C$2,A120-$F$2),Dashboard!$C$22)))</f>
        <v>6000</v>
      </c>
      <c r="E120" s="24">
        <f>IF(A120&gt;=$F$2,0,IF(A120=0,Dashboard!$G$10,IF(B120&lt;Dashboard!$I$6,IF($J$2&lt;=Dashboard!$H$10,Dashboard!$H$10,MAX(Dashboard!$H$10,MIN($J$2,Dashboard!$H$10*POWER($J$2/Dashboard!$H$10,A120/$D$2)))),$I$2-D120-Dashboard!$I$10-Dashboard!$J$10-Dashboard!$F$10*$I$2)))</f>
        <v>881.8</v>
      </c>
      <c r="F120" s="24">
        <f t="shared" si="12"/>
        <v>0</v>
      </c>
      <c r="G120" s="24">
        <f t="shared" si="13"/>
        <v>0</v>
      </c>
      <c r="H120" s="24">
        <f t="shared" si="14"/>
        <v>0</v>
      </c>
      <c r="I120" s="24">
        <f t="shared" si="15"/>
        <v>881.8</v>
      </c>
      <c r="J120" s="25">
        <f t="shared" si="16"/>
        <v>7.9741404289037643E-3</v>
      </c>
      <c r="K120" s="24">
        <f t="shared" si="21"/>
        <v>383091.46598622767</v>
      </c>
      <c r="L120" s="24" t="str">
        <f t="shared" si="17"/>
        <v/>
      </c>
      <c r="M120" s="24">
        <f t="shared" si="18"/>
        <v>1773.8482028655892</v>
      </c>
      <c r="N120" s="24">
        <f>IF(M120&lt;=0,0,IF($E$2-A120&lt;12,(M120-E120)*Dashboard!$B$18,IF($Q$2+A120&gt;=$R$2,MAX(0,M120-E120*POWER(1+$C$2,$E$2-A120))*MAX(Dashboard!$C$18,Dashboard!$B$18),IF($S$2&lt;$R$2,(M120-E120)*0.5*Dashboard!$B$18,(E120*POWER(1+$A$2,$R$2-($Q$2+A120))-E120)*0.5*Dashboard!$B$18+MAX(0,M120-E120*POWER(1+$A$2,$R$2-($Q$2+A120))*POWER(1+$C$2,$S$2-$R$2))*MAX(Dashboard!$C$18,Dashboard!$B$18)))))</f>
        <v>336.9909598315935</v>
      </c>
    </row>
    <row r="121" spans="1:14" x14ac:dyDescent="0.2">
      <c r="A121" s="22">
        <f t="shared" si="19"/>
        <v>116</v>
      </c>
      <c r="B121" s="23">
        <f t="shared" si="20"/>
        <v>27.721461187214473</v>
      </c>
      <c r="C121" t="str">
        <f t="shared" si="11"/>
        <v>27 y 8.66 m</v>
      </c>
      <c r="D121" s="24">
        <f>IF(A121&gt;=$E$2,IF(A121&lt;$E$2+$H$2,$P$2,0),IF(B121&lt;Dashboard!$I$6,0,IF(A121&gt;=$F$2,Dashboard!$C$22*POWER(1+$C$2,A121-$F$2),Dashboard!$C$22)))</f>
        <v>6000</v>
      </c>
      <c r="E121" s="24">
        <f>IF(A121&gt;=$F$2,0,IF(A121=0,Dashboard!$G$10,IF(B121&lt;Dashboard!$I$6,IF($J$2&lt;=Dashboard!$H$10,Dashboard!$H$10,MAX(Dashboard!$H$10,MIN($J$2,Dashboard!$H$10*POWER($J$2/Dashboard!$H$10,A121/$D$2)))),$I$2-D121-Dashboard!$I$10-Dashboard!$J$10-Dashboard!$F$10*$I$2)))</f>
        <v>881.8</v>
      </c>
      <c r="F121" s="24">
        <f t="shared" si="12"/>
        <v>0</v>
      </c>
      <c r="G121" s="24">
        <f t="shared" si="13"/>
        <v>0</v>
      </c>
      <c r="H121" s="24">
        <f t="shared" si="14"/>
        <v>0</v>
      </c>
      <c r="I121" s="24">
        <f t="shared" si="15"/>
        <v>881.8</v>
      </c>
      <c r="J121" s="25">
        <f t="shared" si="16"/>
        <v>7.9741404289037643E-3</v>
      </c>
      <c r="K121" s="24">
        <f t="shared" si="21"/>
        <v>387035.12273014669</v>
      </c>
      <c r="L121" s="24" t="str">
        <f t="shared" si="17"/>
        <v/>
      </c>
      <c r="M121" s="24">
        <f t="shared" si="18"/>
        <v>1759.8151894162656</v>
      </c>
      <c r="N121" s="24">
        <f>IF(M121&lt;=0,0,IF($E$2-A121&lt;12,(M121-E121)*Dashboard!$B$18,IF($Q$2+A121&gt;=$R$2,MAX(0,M121-E121*POWER(1+$C$2,$E$2-A121))*MAX(Dashboard!$C$18,Dashboard!$B$18),IF($S$2&lt;$R$2,(M121-E121)*0.5*Dashboard!$B$18,(E121*POWER(1+$A$2,$R$2-($Q$2+A121))-E121)*0.5*Dashboard!$B$18+MAX(0,M121-E121*POWER(1+$A$2,$R$2-($Q$2+A121))*POWER(1+$C$2,$S$2-$R$2))*MAX(Dashboard!$C$18,Dashboard!$B$18)))))</f>
        <v>331.4164974316061</v>
      </c>
    </row>
    <row r="122" spans="1:14" x14ac:dyDescent="0.2">
      <c r="A122" s="22">
        <f t="shared" si="19"/>
        <v>117</v>
      </c>
      <c r="B122" s="23">
        <f t="shared" si="20"/>
        <v>27.804794520547805</v>
      </c>
      <c r="C122" t="str">
        <f t="shared" si="11"/>
        <v>27 y 9.66 m</v>
      </c>
      <c r="D122" s="24">
        <f>IF(A122&gt;=$E$2,IF(A122&lt;$E$2+$H$2,$P$2,0),IF(B122&lt;Dashboard!$I$6,0,IF(A122&gt;=$F$2,Dashboard!$C$22*POWER(1+$C$2,A122-$F$2),Dashboard!$C$22)))</f>
        <v>6000</v>
      </c>
      <c r="E122" s="24">
        <f>IF(A122&gt;=$F$2,0,IF(A122=0,Dashboard!$G$10,IF(B122&lt;Dashboard!$I$6,IF($J$2&lt;=Dashboard!$H$10,Dashboard!$H$10,MAX(Dashboard!$H$10,MIN($J$2,Dashboard!$H$10*POWER($J$2/Dashboard!$H$10,A122/$D$2)))),$I$2-D122-Dashboard!$I$10-Dashboard!$J$10-Dashboard!$F$10*$I$2)))</f>
        <v>881.8</v>
      </c>
      <c r="F122" s="24">
        <f t="shared" si="12"/>
        <v>0</v>
      </c>
      <c r="G122" s="24">
        <f t="shared" si="13"/>
        <v>0</v>
      </c>
      <c r="H122" s="24">
        <f t="shared" si="14"/>
        <v>0</v>
      </c>
      <c r="I122" s="24">
        <f t="shared" si="15"/>
        <v>881.8</v>
      </c>
      <c r="J122" s="25">
        <f t="shared" si="16"/>
        <v>7.9741404289037643E-3</v>
      </c>
      <c r="K122" s="24">
        <f t="shared" si="21"/>
        <v>391010.22674674506</v>
      </c>
      <c r="L122" s="24" t="str">
        <f t="shared" si="17"/>
        <v/>
      </c>
      <c r="M122" s="24">
        <f t="shared" si="18"/>
        <v>1745.8931919299494</v>
      </c>
      <c r="N122" s="24">
        <f>IF(M122&lt;=0,0,IF($E$2-A122&lt;12,(M122-E122)*Dashboard!$B$18,IF($Q$2+A122&gt;=$R$2,MAX(0,M122-E122*POWER(1+$C$2,$E$2-A122))*MAX(Dashboard!$C$18,Dashboard!$B$18),IF($S$2&lt;$R$2,(M122-E122)*0.5*Dashboard!$B$18,(E122*POWER(1+$A$2,$R$2-($Q$2+A122))-E122)*0.5*Dashboard!$B$18+MAX(0,M122-E122*POWER(1+$A$2,$R$2-($Q$2+A122))*POWER(1+$C$2,$S$2-$R$2))*MAX(Dashboard!$C$18,Dashboard!$B$18)))))</f>
        <v>325.89211365368197</v>
      </c>
    </row>
    <row r="123" spans="1:14" x14ac:dyDescent="0.2">
      <c r="A123" s="22">
        <f t="shared" si="19"/>
        <v>118</v>
      </c>
      <c r="B123" s="23">
        <f t="shared" si="20"/>
        <v>27.888127853881137</v>
      </c>
      <c r="C123" t="str">
        <f t="shared" si="11"/>
        <v>27 y 10.66 m</v>
      </c>
      <c r="D123" s="24">
        <f>IF(A123&gt;=$E$2,IF(A123&lt;$E$2+$H$2,$P$2,0),IF(B123&lt;Dashboard!$I$6,0,IF(A123&gt;=$F$2,Dashboard!$C$22*POWER(1+$C$2,A123-$F$2),Dashboard!$C$22)))</f>
        <v>6000</v>
      </c>
      <c r="E123" s="24">
        <f>IF(A123&gt;=$F$2,0,IF(A123=0,Dashboard!$G$10,IF(B123&lt;Dashboard!$I$6,IF($J$2&lt;=Dashboard!$H$10,Dashboard!$H$10,MAX(Dashboard!$H$10,MIN($J$2,Dashboard!$H$10*POWER($J$2/Dashboard!$H$10,A123/$D$2)))),$I$2-D123-Dashboard!$I$10-Dashboard!$J$10-Dashboard!$F$10*$I$2)))</f>
        <v>881.8</v>
      </c>
      <c r="F123" s="24">
        <f t="shared" si="12"/>
        <v>0</v>
      </c>
      <c r="G123" s="24">
        <f t="shared" si="13"/>
        <v>0</v>
      </c>
      <c r="H123" s="24">
        <f t="shared" si="14"/>
        <v>0</v>
      </c>
      <c r="I123" s="24">
        <f t="shared" si="15"/>
        <v>881.8</v>
      </c>
      <c r="J123" s="25">
        <f t="shared" si="16"/>
        <v>7.9741404289037643E-3</v>
      </c>
      <c r="K123" s="24">
        <f t="shared" si="21"/>
        <v>395017.02880099131</v>
      </c>
      <c r="L123" s="24" t="str">
        <f t="shared" si="17"/>
        <v/>
      </c>
      <c r="M123" s="24">
        <f t="shared" si="18"/>
        <v>1732.0813321530786</v>
      </c>
      <c r="N123" s="24">
        <f>IF(M123&lt;=0,0,IF($E$2-A123&lt;12,(M123-E123)*Dashboard!$B$18,IF($Q$2+A123&gt;=$R$2,MAX(0,M123-E123*POWER(1+$C$2,$E$2-A123))*MAX(Dashboard!$C$18,Dashboard!$B$18),IF($S$2&lt;$R$2,(M123-E123)*0.5*Dashboard!$B$18,(E123*POWER(1+$A$2,$R$2-($Q$2+A123))-E123)*0.5*Dashboard!$B$18+MAX(0,M123-E123*POWER(1+$A$2,$R$2-($Q$2+A123))*POWER(1+$C$2,$S$2-$R$2))*MAX(Dashboard!$C$18,Dashboard!$B$18)))))</f>
        <v>320.41740003311043</v>
      </c>
    </row>
    <row r="124" spans="1:14" x14ac:dyDescent="0.2">
      <c r="A124" s="22">
        <f t="shared" si="19"/>
        <v>119</v>
      </c>
      <c r="B124" s="23">
        <f t="shared" si="20"/>
        <v>27.971461187214469</v>
      </c>
      <c r="C124" t="str">
        <f t="shared" si="11"/>
        <v>27 y 11.66 m</v>
      </c>
      <c r="D124" s="24">
        <f>IF(A124&gt;=$E$2,IF(A124&lt;$E$2+$H$2,$P$2,0),IF(B124&lt;Dashboard!$I$6,0,IF(A124&gt;=$F$2,Dashboard!$C$22*POWER(1+$C$2,A124-$F$2),Dashboard!$C$22)))</f>
        <v>6000</v>
      </c>
      <c r="E124" s="24">
        <f>IF(A124&gt;=$F$2,0,IF(A124=0,Dashboard!$G$10,IF(B124&lt;Dashboard!$I$6,IF($J$2&lt;=Dashboard!$H$10,Dashboard!$H$10,MAX(Dashboard!$H$10,MIN($J$2,Dashboard!$H$10*POWER($J$2/Dashboard!$H$10,A124/$D$2)))),$I$2-D124-Dashboard!$I$10-Dashboard!$J$10-Dashboard!$F$10*$I$2)))</f>
        <v>881.8</v>
      </c>
      <c r="F124" s="24">
        <f t="shared" si="12"/>
        <v>0</v>
      </c>
      <c r="G124" s="24">
        <f t="shared" si="13"/>
        <v>0</v>
      </c>
      <c r="H124" s="24">
        <f t="shared" si="14"/>
        <v>0</v>
      </c>
      <c r="I124" s="24">
        <f t="shared" si="15"/>
        <v>881.8</v>
      </c>
      <c r="J124" s="25">
        <f t="shared" si="16"/>
        <v>7.9741404289037643E-3</v>
      </c>
      <c r="K124" s="24">
        <f t="shared" si="21"/>
        <v>399055.7816574889</v>
      </c>
      <c r="L124" s="24" t="str">
        <f t="shared" si="17"/>
        <v/>
      </c>
      <c r="M124" s="24">
        <f t="shared" si="18"/>
        <v>1718.3787387800037</v>
      </c>
      <c r="N124" s="24">
        <f>IF(M124&lt;=0,0,IF($E$2-A124&lt;12,(M124-E124)*Dashboard!$B$18,IF($Q$2+A124&gt;=$R$2,MAX(0,M124-E124*POWER(1+$C$2,$E$2-A124))*MAX(Dashboard!$C$18,Dashboard!$B$18),IF($S$2&lt;$R$2,(M124-E124)*0.5*Dashboard!$B$18,(E124*POWER(1+$A$2,$R$2-($Q$2+A124))-E124)*0.5*Dashboard!$B$18+MAX(0,M124-E124*POWER(1+$A$2,$R$2-($Q$2+A124))*POWER(1+$C$2,$S$2-$R$2))*MAX(Dashboard!$C$18,Dashboard!$B$18)))))</f>
        <v>314.99195136183039</v>
      </c>
    </row>
    <row r="125" spans="1:14" x14ac:dyDescent="0.2">
      <c r="A125" s="22">
        <f t="shared" si="19"/>
        <v>120</v>
      </c>
      <c r="B125" s="23">
        <f t="shared" si="20"/>
        <v>28.054794520547802</v>
      </c>
      <c r="C125" t="str">
        <f t="shared" si="11"/>
        <v>28 y 0.66 m</v>
      </c>
      <c r="D125" s="24">
        <f>IF(A125&gt;=$E$2,IF(A125&lt;$E$2+$H$2,$P$2,0),IF(B125&lt;Dashboard!$I$6,0,IF(A125&gt;=$F$2,Dashboard!$C$22*POWER(1+$C$2,A125-$F$2),Dashboard!$C$22)))</f>
        <v>6000</v>
      </c>
      <c r="E125" s="24">
        <f>IF(A125&gt;=$F$2,0,IF(A125=0,Dashboard!$G$10,IF(B125&lt;Dashboard!$I$6,IF($J$2&lt;=Dashboard!$H$10,Dashboard!$H$10,MAX(Dashboard!$H$10,MIN($J$2,Dashboard!$H$10*POWER($J$2/Dashboard!$H$10,A125/$D$2)))),$I$2-D125-Dashboard!$I$10-Dashboard!$J$10-Dashboard!$F$10*$I$2)))</f>
        <v>881.8</v>
      </c>
      <c r="F125" s="24">
        <f t="shared" si="12"/>
        <v>0</v>
      </c>
      <c r="G125" s="24">
        <f t="shared" si="13"/>
        <v>0</v>
      </c>
      <c r="H125" s="24">
        <f t="shared" si="14"/>
        <v>0</v>
      </c>
      <c r="I125" s="24">
        <f t="shared" si="15"/>
        <v>881.8</v>
      </c>
      <c r="J125" s="25">
        <f t="shared" si="16"/>
        <v>7.9741404289037643E-3</v>
      </c>
      <c r="K125" s="24">
        <f t="shared" si="21"/>
        <v>403126.74009642185</v>
      </c>
      <c r="L125" s="24" t="str">
        <f t="shared" si="17"/>
        <v/>
      </c>
      <c r="M125" s="24">
        <f t="shared" si="18"/>
        <v>1704.7845473980267</v>
      </c>
      <c r="N125" s="24">
        <f>IF(M125&lt;=0,0,IF($E$2-A125&lt;12,(M125-E125)*Dashboard!$B$18,IF($Q$2+A125&gt;=$R$2,MAX(0,M125-E125*POWER(1+$C$2,$E$2-A125))*MAX(Dashboard!$C$18,Dashboard!$B$18),IF($S$2&lt;$R$2,(M125-E125)*0.5*Dashboard!$B$18,(E125*POWER(1+$A$2,$R$2-($Q$2+A125))-E125)*0.5*Dashboard!$B$18+MAX(0,M125-E125*POWER(1+$A$2,$R$2-($Q$2+A125))*POWER(1+$C$2,$S$2-$R$2))*MAX(Dashboard!$C$18,Dashboard!$B$18)))))</f>
        <v>309.61536566261782</v>
      </c>
    </row>
    <row r="126" spans="1:14" x14ac:dyDescent="0.2">
      <c r="A126" s="22">
        <f t="shared" si="19"/>
        <v>121</v>
      </c>
      <c r="B126" s="23">
        <f t="shared" si="20"/>
        <v>28.138127853881134</v>
      </c>
      <c r="C126" t="str">
        <f t="shared" si="11"/>
        <v>28 y 1.66 m</v>
      </c>
      <c r="D126" s="24">
        <f>IF(A126&gt;=$E$2,IF(A126&lt;$E$2+$H$2,$P$2,0),IF(B126&lt;Dashboard!$I$6,0,IF(A126&gt;=$F$2,Dashboard!$C$22*POWER(1+$C$2,A126-$F$2),Dashboard!$C$22)))</f>
        <v>6000</v>
      </c>
      <c r="E126" s="24">
        <f>IF(A126&gt;=$F$2,0,IF(A126=0,Dashboard!$G$10,IF(B126&lt;Dashboard!$I$6,IF($J$2&lt;=Dashboard!$H$10,Dashboard!$H$10,MAX(Dashboard!$H$10,MIN($J$2,Dashboard!$H$10*POWER($J$2/Dashboard!$H$10,A126/$D$2)))),$I$2-D126-Dashboard!$I$10-Dashboard!$J$10-Dashboard!$F$10*$I$2)))</f>
        <v>881.8</v>
      </c>
      <c r="F126" s="24">
        <f t="shared" si="12"/>
        <v>0</v>
      </c>
      <c r="G126" s="24">
        <f t="shared" si="13"/>
        <v>0</v>
      </c>
      <c r="H126" s="24">
        <f t="shared" si="14"/>
        <v>0</v>
      </c>
      <c r="I126" s="24">
        <f t="shared" si="15"/>
        <v>881.8</v>
      </c>
      <c r="J126" s="25">
        <f t="shared" si="16"/>
        <v>7.9741404289037643E-3</v>
      </c>
      <c r="K126" s="24">
        <f t="shared" si="21"/>
        <v>407230.16092962713</v>
      </c>
      <c r="L126" s="24" t="str">
        <f t="shared" si="17"/>
        <v/>
      </c>
      <c r="M126" s="24">
        <f t="shared" si="18"/>
        <v>1691.2979004328652</v>
      </c>
      <c r="N126" s="24">
        <f>IF(M126&lt;=0,0,IF($E$2-A126&lt;12,(M126-E126)*Dashboard!$B$18,IF($Q$2+A126&gt;=$R$2,MAX(0,M126-E126*POWER(1+$C$2,$E$2-A126))*MAX(Dashboard!$C$18,Dashboard!$B$18),IF($S$2&lt;$R$2,(M126-E126)*0.5*Dashboard!$B$18,(E126*POWER(1+$A$2,$R$2-($Q$2+A126))-E126)*0.5*Dashboard!$B$18+MAX(0,M126-E126*POWER(1+$A$2,$R$2-($Q$2+A126))*POWER(1+$C$2,$S$2-$R$2))*MAX(Dashboard!$C$18,Dashboard!$B$18)))))</f>
        <v>304.28724416347109</v>
      </c>
    </row>
    <row r="127" spans="1:14" x14ac:dyDescent="0.2">
      <c r="A127" s="22">
        <f t="shared" si="19"/>
        <v>122</v>
      </c>
      <c r="B127" s="23">
        <f t="shared" si="20"/>
        <v>28.221461187214466</v>
      </c>
      <c r="C127" t="str">
        <f t="shared" si="11"/>
        <v>28 y 2.66 m</v>
      </c>
      <c r="D127" s="24">
        <f>IF(A127&gt;=$E$2,IF(A127&lt;$E$2+$H$2,$P$2,0),IF(B127&lt;Dashboard!$I$6,0,IF(A127&gt;=$F$2,Dashboard!$C$22*POWER(1+$C$2,A127-$F$2),Dashboard!$C$22)))</f>
        <v>6000</v>
      </c>
      <c r="E127" s="24">
        <f>IF(A127&gt;=$F$2,0,IF(A127=0,Dashboard!$G$10,IF(B127&lt;Dashboard!$I$6,IF($J$2&lt;=Dashboard!$H$10,Dashboard!$H$10,MAX(Dashboard!$H$10,MIN($J$2,Dashboard!$H$10*POWER($J$2/Dashboard!$H$10,A127/$D$2)))),$I$2-D127-Dashboard!$I$10-Dashboard!$J$10-Dashboard!$F$10*$I$2)))</f>
        <v>881.8</v>
      </c>
      <c r="F127" s="24">
        <f t="shared" si="12"/>
        <v>0</v>
      </c>
      <c r="G127" s="24">
        <f t="shared" si="13"/>
        <v>0</v>
      </c>
      <c r="H127" s="24">
        <f t="shared" si="14"/>
        <v>0</v>
      </c>
      <c r="I127" s="24">
        <f t="shared" si="15"/>
        <v>881.8</v>
      </c>
      <c r="J127" s="25">
        <f t="shared" si="16"/>
        <v>7.9741404289037643E-3</v>
      </c>
      <c r="K127" s="24">
        <f t="shared" si="21"/>
        <v>411366.30301679525</v>
      </c>
      <c r="L127" s="24" t="str">
        <f t="shared" si="17"/>
        <v/>
      </c>
      <c r="M127" s="24">
        <f t="shared" si="18"/>
        <v>1677.9179470945553</v>
      </c>
      <c r="N127" s="24">
        <f>IF(M127&lt;=0,0,IF($E$2-A127&lt;12,(M127-E127)*Dashboard!$B$18,IF($Q$2+A127&gt;=$R$2,MAX(0,M127-E127*POWER(1+$C$2,$E$2-A127))*MAX(Dashboard!$C$18,Dashboard!$B$18),IF($S$2&lt;$R$2,(M127-E127)*0.5*Dashboard!$B$18,(E127*POWER(1+$A$2,$R$2-($Q$2+A127))-E127)*0.5*Dashboard!$B$18+MAX(0,M127-E127*POWER(1+$A$2,$R$2-($Q$2+A127))*POWER(1+$C$2,$S$2-$R$2))*MAX(Dashboard!$C$18,Dashboard!$B$18)))))</f>
        <v>299.00719127220452</v>
      </c>
    </row>
    <row r="128" spans="1:14" x14ac:dyDescent="0.2">
      <c r="A128" s="22">
        <f t="shared" si="19"/>
        <v>123</v>
      </c>
      <c r="B128" s="23">
        <f t="shared" si="20"/>
        <v>28.304794520547798</v>
      </c>
      <c r="C128" t="str">
        <f t="shared" si="11"/>
        <v>28 y 3.66 m</v>
      </c>
      <c r="D128" s="24">
        <f>IF(A128&gt;=$E$2,IF(A128&lt;$E$2+$H$2,$P$2,0),IF(B128&lt;Dashboard!$I$6,0,IF(A128&gt;=$F$2,Dashboard!$C$22*POWER(1+$C$2,A128-$F$2),Dashboard!$C$22)))</f>
        <v>6000</v>
      </c>
      <c r="E128" s="24">
        <f>IF(A128&gt;=$F$2,0,IF(A128=0,Dashboard!$G$10,IF(B128&lt;Dashboard!$I$6,IF($J$2&lt;=Dashboard!$H$10,Dashboard!$H$10,MAX(Dashboard!$H$10,MIN($J$2,Dashboard!$H$10*POWER($J$2/Dashboard!$H$10,A128/$D$2)))),$I$2-D128-Dashboard!$I$10-Dashboard!$J$10-Dashboard!$F$10*$I$2)))</f>
        <v>881.8</v>
      </c>
      <c r="F128" s="24">
        <f t="shared" si="12"/>
        <v>0</v>
      </c>
      <c r="G128" s="24">
        <f t="shared" si="13"/>
        <v>0</v>
      </c>
      <c r="H128" s="24">
        <f t="shared" si="14"/>
        <v>0</v>
      </c>
      <c r="I128" s="24">
        <f t="shared" si="15"/>
        <v>881.8</v>
      </c>
      <c r="J128" s="25">
        <f t="shared" si="16"/>
        <v>7.9741404289037643E-3</v>
      </c>
      <c r="K128" s="24">
        <f t="shared" si="21"/>
        <v>415535.42728180037</v>
      </c>
      <c r="L128" s="24" t="str">
        <f t="shared" si="17"/>
        <v/>
      </c>
      <c r="M128" s="24">
        <f t="shared" si="18"/>
        <v>1664.6438433237813</v>
      </c>
      <c r="N128" s="24">
        <f>IF(M128&lt;=0,0,IF($E$2-A128&lt;12,(M128-E128)*Dashboard!$B$18,IF($Q$2+A128&gt;=$R$2,MAX(0,M128-E128*POWER(1+$C$2,$E$2-A128))*MAX(Dashboard!$C$18,Dashboard!$B$18),IF($S$2&lt;$R$2,(M128-E128)*0.5*Dashboard!$B$18,(E128*POWER(1+$A$2,$R$2-($Q$2+A128))-E128)*0.5*Dashboard!$B$18+MAX(0,M128-E128*POWER(1+$A$2,$R$2-($Q$2+A128))*POWER(1+$C$2,$S$2-$R$2))*MAX(Dashboard!$C$18,Dashboard!$B$18)))))</f>
        <v>293.77481455124069</v>
      </c>
    </row>
    <row r="129" spans="1:14" x14ac:dyDescent="0.2">
      <c r="A129" s="22">
        <f t="shared" si="19"/>
        <v>124</v>
      </c>
      <c r="B129" s="23">
        <f t="shared" si="20"/>
        <v>28.38812785388113</v>
      </c>
      <c r="C129" t="str">
        <f t="shared" si="11"/>
        <v>28 y 4.66 m</v>
      </c>
      <c r="D129" s="24">
        <f>IF(A129&gt;=$E$2,IF(A129&lt;$E$2+$H$2,$P$2,0),IF(B129&lt;Dashboard!$I$6,0,IF(A129&gt;=$F$2,Dashboard!$C$22*POWER(1+$C$2,A129-$F$2),Dashboard!$C$22)))</f>
        <v>6000</v>
      </c>
      <c r="E129" s="24">
        <f>IF(A129&gt;=$F$2,0,IF(A129=0,Dashboard!$G$10,IF(B129&lt;Dashboard!$I$6,IF($J$2&lt;=Dashboard!$H$10,Dashboard!$H$10,MAX(Dashboard!$H$10,MIN($J$2,Dashboard!$H$10*POWER($J$2/Dashboard!$H$10,A129/$D$2)))),$I$2-D129-Dashboard!$I$10-Dashboard!$J$10-Dashboard!$F$10*$I$2)))</f>
        <v>881.8</v>
      </c>
      <c r="F129" s="24">
        <f t="shared" si="12"/>
        <v>0</v>
      </c>
      <c r="G129" s="24">
        <f t="shared" si="13"/>
        <v>0</v>
      </c>
      <c r="H129" s="24">
        <f t="shared" si="14"/>
        <v>0</v>
      </c>
      <c r="I129" s="24">
        <f t="shared" si="15"/>
        <v>881.8</v>
      </c>
      <c r="J129" s="25">
        <f t="shared" si="16"/>
        <v>7.9741404289037643E-3</v>
      </c>
      <c r="K129" s="24">
        <f t="shared" si="21"/>
        <v>419737.79672916018</v>
      </c>
      <c r="L129" s="24" t="str">
        <f t="shared" si="17"/>
        <v/>
      </c>
      <c r="M129" s="24">
        <f t="shared" si="18"/>
        <v>1651.4747517386281</v>
      </c>
      <c r="N129" s="24">
        <f>IF(M129&lt;=0,0,IF($E$2-A129&lt;12,(M129-E129)*Dashboard!$B$18,IF($Q$2+A129&gt;=$R$2,MAX(0,M129-E129*POWER(1+$C$2,$E$2-A129))*MAX(Dashboard!$C$18,Dashboard!$B$18),IF($S$2&lt;$R$2,(M129-E129)*0.5*Dashboard!$B$18,(E129*POWER(1+$A$2,$R$2-($Q$2+A129))-E129)*0.5*Dashboard!$B$18+MAX(0,M129-E129*POWER(1+$A$2,$R$2-($Q$2+A129))*POWER(1+$C$2,$S$2-$R$2))*MAX(Dashboard!$C$18,Dashboard!$B$18)))))</f>
        <v>288.58972469260243</v>
      </c>
    </row>
    <row r="130" spans="1:14" x14ac:dyDescent="0.2">
      <c r="A130" s="22">
        <f t="shared" si="19"/>
        <v>125</v>
      </c>
      <c r="B130" s="23">
        <f t="shared" si="20"/>
        <v>28.471461187214462</v>
      </c>
      <c r="C130" t="str">
        <f t="shared" si="11"/>
        <v>28 y 5.66 m</v>
      </c>
      <c r="D130" s="24">
        <f>IF(A130&gt;=$E$2,IF(A130&lt;$E$2+$H$2,$P$2,0),IF(B130&lt;Dashboard!$I$6,0,IF(A130&gt;=$F$2,Dashboard!$C$22*POWER(1+$C$2,A130-$F$2),Dashboard!$C$22)))</f>
        <v>6000</v>
      </c>
      <c r="E130" s="24">
        <f>IF(A130&gt;=$F$2,0,IF(A130=0,Dashboard!$G$10,IF(B130&lt;Dashboard!$I$6,IF($J$2&lt;=Dashboard!$H$10,Dashboard!$H$10,MAX(Dashboard!$H$10,MIN($J$2,Dashboard!$H$10*POWER($J$2/Dashboard!$H$10,A130/$D$2)))),$I$2-D130-Dashboard!$I$10-Dashboard!$J$10-Dashboard!$F$10*$I$2)))</f>
        <v>881.8</v>
      </c>
      <c r="F130" s="24">
        <f t="shared" si="12"/>
        <v>0</v>
      </c>
      <c r="G130" s="24">
        <f t="shared" si="13"/>
        <v>0</v>
      </c>
      <c r="H130" s="24">
        <f t="shared" si="14"/>
        <v>0</v>
      </c>
      <c r="I130" s="24">
        <f t="shared" si="15"/>
        <v>881.8</v>
      </c>
      <c r="J130" s="25">
        <f t="shared" si="16"/>
        <v>7.9741404289037643E-3</v>
      </c>
      <c r="K130" s="24">
        <f t="shared" si="21"/>
        <v>423973.67646062735</v>
      </c>
      <c r="L130" s="24" t="str">
        <f t="shared" si="17"/>
        <v/>
      </c>
      <c r="M130" s="24">
        <f t="shared" si="18"/>
        <v>1638.4098415817573</v>
      </c>
      <c r="N130" s="24">
        <f>IF(M130&lt;=0,0,IF($E$2-A130&lt;12,(M130-E130)*Dashboard!$B$18,IF($Q$2+A130&gt;=$R$2,MAX(0,M130-E130*POWER(1+$C$2,$E$2-A130))*MAX(Dashboard!$C$18,Dashboard!$B$18),IF($S$2&lt;$R$2,(M130-E130)*0.5*Dashboard!$B$18,(E130*POWER(1+$A$2,$R$2-($Q$2+A130))-E130)*0.5*Dashboard!$B$18+MAX(0,M130-E130*POWER(1+$A$2,$R$2-($Q$2+A130))*POWER(1+$C$2,$S$2-$R$2))*MAX(Dashboard!$C$18,Dashboard!$B$18)))))</f>
        <v>283.4515354931039</v>
      </c>
    </row>
    <row r="131" spans="1:14" x14ac:dyDescent="0.2">
      <c r="A131" s="22">
        <f t="shared" si="19"/>
        <v>126</v>
      </c>
      <c r="B131" s="23">
        <f t="shared" si="20"/>
        <v>28.554794520547794</v>
      </c>
      <c r="C131" t="str">
        <f t="shared" si="11"/>
        <v>28 y 6.66 m</v>
      </c>
      <c r="D131" s="24">
        <f>IF(A131&gt;=$E$2,IF(A131&lt;$E$2+$H$2,$P$2,0),IF(B131&lt;Dashboard!$I$6,0,IF(A131&gt;=$F$2,Dashboard!$C$22*POWER(1+$C$2,A131-$F$2),Dashboard!$C$22)))</f>
        <v>6000</v>
      </c>
      <c r="E131" s="24">
        <f>IF(A131&gt;=$F$2,0,IF(A131=0,Dashboard!$G$10,IF(B131&lt;Dashboard!$I$6,IF($J$2&lt;=Dashboard!$H$10,Dashboard!$H$10,MAX(Dashboard!$H$10,MIN($J$2,Dashboard!$H$10*POWER($J$2/Dashboard!$H$10,A131/$D$2)))),$I$2-D131-Dashboard!$I$10-Dashboard!$J$10-Dashboard!$F$10*$I$2)))</f>
        <v>881.8</v>
      </c>
      <c r="F131" s="24">
        <f t="shared" si="12"/>
        <v>0</v>
      </c>
      <c r="G131" s="24">
        <f t="shared" si="13"/>
        <v>0</v>
      </c>
      <c r="H131" s="24">
        <f t="shared" si="14"/>
        <v>0</v>
      </c>
      <c r="I131" s="24">
        <f t="shared" si="15"/>
        <v>881.8</v>
      </c>
      <c r="J131" s="25">
        <f t="shared" si="16"/>
        <v>7.9741404289037643E-3</v>
      </c>
      <c r="K131" s="24">
        <f t="shared" si="21"/>
        <v>428243.33369191323</v>
      </c>
      <c r="L131" s="24" t="str">
        <f t="shared" si="17"/>
        <v/>
      </c>
      <c r="M131" s="24">
        <f t="shared" si="18"/>
        <v>1625.4482886679975</v>
      </c>
      <c r="N131" s="24">
        <f>IF(M131&lt;=0,0,IF($E$2-A131&lt;12,(M131-E131)*Dashboard!$B$18,IF($Q$2+A131&gt;=$R$2,MAX(0,M131-E131*POWER(1+$C$2,$E$2-A131))*MAX(Dashboard!$C$18,Dashboard!$B$18),IF($S$2&lt;$R$2,(M131-E131)*0.5*Dashboard!$B$18,(E131*POWER(1+$A$2,$R$2-($Q$2+A131))-E131)*0.5*Dashboard!$B$18+MAX(0,M131-E131*POWER(1+$A$2,$R$2-($Q$2+A131))*POWER(1+$C$2,$S$2-$R$2))*MAX(Dashboard!$C$18,Dashboard!$B$18)))))</f>
        <v>278.35986382973533</v>
      </c>
    </row>
    <row r="132" spans="1:14" x14ac:dyDescent="0.2">
      <c r="A132" s="22">
        <f t="shared" si="19"/>
        <v>127</v>
      </c>
      <c r="B132" s="23">
        <f t="shared" si="20"/>
        <v>28.638127853881127</v>
      </c>
      <c r="C132" t="str">
        <f t="shared" si="11"/>
        <v>28 y 7.66 m</v>
      </c>
      <c r="D132" s="24">
        <f>IF(A132&gt;=$E$2,IF(A132&lt;$E$2+$H$2,$P$2,0),IF(B132&lt;Dashboard!$I$6,0,IF(A132&gt;=$F$2,Dashboard!$C$22*POWER(1+$C$2,A132-$F$2),Dashboard!$C$22)))</f>
        <v>6000</v>
      </c>
      <c r="E132" s="24">
        <f>IF(A132&gt;=$F$2,0,IF(A132=0,Dashboard!$G$10,IF(B132&lt;Dashboard!$I$6,IF($J$2&lt;=Dashboard!$H$10,Dashboard!$H$10,MAX(Dashboard!$H$10,MIN($J$2,Dashboard!$H$10*POWER($J$2/Dashboard!$H$10,A132/$D$2)))),$I$2-D132-Dashboard!$I$10-Dashboard!$J$10-Dashboard!$F$10*$I$2)))</f>
        <v>881.8</v>
      </c>
      <c r="F132" s="24">
        <f t="shared" si="12"/>
        <v>0</v>
      </c>
      <c r="G132" s="24">
        <f t="shared" si="13"/>
        <v>0</v>
      </c>
      <c r="H132" s="24">
        <f t="shared" si="14"/>
        <v>0</v>
      </c>
      <c r="I132" s="24">
        <f t="shared" si="15"/>
        <v>881.8</v>
      </c>
      <c r="J132" s="25">
        <f t="shared" si="16"/>
        <v>7.9741404289037643E-3</v>
      </c>
      <c r="K132" s="24">
        <f t="shared" si="21"/>
        <v>432547.03776954464</v>
      </c>
      <c r="L132" s="24" t="str">
        <f t="shared" si="17"/>
        <v/>
      </c>
      <c r="M132" s="24">
        <f t="shared" si="18"/>
        <v>1612.5892753323533</v>
      </c>
      <c r="N132" s="24">
        <f>IF(M132&lt;=0,0,IF($E$2-A132&lt;12,(M132-E132)*Dashboard!$B$18,IF($Q$2+A132&gt;=$R$2,MAX(0,M132-E132*POWER(1+$C$2,$E$2-A132))*MAX(Dashboard!$C$18,Dashboard!$B$18),IF($S$2&lt;$R$2,(M132-E132)*0.5*Dashboard!$B$18,(E132*POWER(1+$A$2,$R$2-($Q$2+A132))-E132)*0.5*Dashboard!$B$18+MAX(0,M132-E132*POWER(1+$A$2,$R$2-($Q$2+A132))*POWER(1+$C$2,$S$2-$R$2))*MAX(Dashboard!$C$18,Dashboard!$B$18)))))</f>
        <v>273.31432963524588</v>
      </c>
    </row>
    <row r="133" spans="1:14" x14ac:dyDescent="0.2">
      <c r="A133" s="22">
        <f t="shared" si="19"/>
        <v>128</v>
      </c>
      <c r="B133" s="23">
        <f t="shared" si="20"/>
        <v>28.721461187214459</v>
      </c>
      <c r="C133" t="str">
        <f t="shared" ref="C133:C196" si="22">INT(B133)&amp;" y "&amp;ROUND((B133-INT(B133))*12,2)&amp;" m"</f>
        <v>28 y 8.66 m</v>
      </c>
      <c r="D133" s="24">
        <f>IF(A133&gt;=$E$2,IF(A133&lt;$E$2+$H$2,$P$2,0),IF(B133&lt;Dashboard!$I$6,0,IF(A133&gt;=$F$2,Dashboard!$C$22*POWER(1+$C$2,A133-$F$2),Dashboard!$C$22)))</f>
        <v>6000</v>
      </c>
      <c r="E133" s="24">
        <f>IF(A133&gt;=$F$2,0,IF(A133=0,Dashboard!$G$10,IF(B133&lt;Dashboard!$I$6,IF($J$2&lt;=Dashboard!$H$10,Dashboard!$H$10,MAX(Dashboard!$H$10,MIN($J$2,Dashboard!$H$10*POWER($J$2/Dashboard!$H$10,A133/$D$2)))),$I$2-D133-Dashboard!$I$10-Dashboard!$J$10-Dashboard!$F$10*$I$2)))</f>
        <v>881.8</v>
      </c>
      <c r="F133" s="24">
        <f t="shared" ref="F133:F196" si="23">IF(A133&gt;=$F$2,$X$2*POWER(1+$C$2,A133-$F$2)+D133,0)</f>
        <v>0</v>
      </c>
      <c r="G133" s="24">
        <f t="shared" ref="G133:G196" si="24">IF(F133&lt;=0,0,IF(F133*12&lt;=18200,F133,IF(F133*12&lt;=40712,(18200+(F133*12-18200)/0.84)/12,IF(F133*12&lt;=103712,(45000+(F133*12-40712)/0.7)/12,IF(F133*12&lt;=138362,(135000+(F133*12-103712)/0.63)/12,(190000+(F133*12-138362)/0.55)/12)))))</f>
        <v>0</v>
      </c>
      <c r="H133" s="24">
        <f t="shared" ref="H133:H196" si="25">IF(A133=$E$2,$W$2,0)</f>
        <v>0</v>
      </c>
      <c r="I133" s="24">
        <f t="shared" ref="I133:I196" si="26">E133-G133-H133</f>
        <v>881.8</v>
      </c>
      <c r="J133" s="25">
        <f t="shared" ref="J133:J196" si="27">IF(A133&gt;=$F$2,$B$2,$A$2)</f>
        <v>7.9741404289037643E-3</v>
      </c>
      <c r="K133" s="24">
        <f t="shared" si="21"/>
        <v>436885.0601878555</v>
      </c>
      <c r="L133" s="24" t="str">
        <f t="shared" ref="L133:L196" si="28">IF(A133&gt;=$F$2,K133,"")</f>
        <v/>
      </c>
      <c r="M133" s="24">
        <f t="shared" ref="M133:M196" si="29">IF(AND(A133&lt;$E$2,E133&gt;0),E133*POWER(1+$A$2,$E$2-A133),0)</f>
        <v>1599.8319903784229</v>
      </c>
      <c r="N133" s="24">
        <f>IF(M133&lt;=0,0,IF($E$2-A133&lt;12,(M133-E133)*Dashboard!$B$18,IF($Q$2+A133&gt;=$R$2,MAX(0,M133-E133*POWER(1+$C$2,$E$2-A133))*MAX(Dashboard!$C$18,Dashboard!$B$18),IF($S$2&lt;$R$2,(M133-E133)*0.5*Dashboard!$B$18,(E133*POWER(1+$A$2,$R$2-($Q$2+A133))-E133)*0.5*Dashboard!$B$18+MAX(0,M133-E133*POWER(1+$A$2,$R$2-($Q$2+A133))*POWER(1+$C$2,$S$2-$R$2))*MAX(Dashboard!$C$18,Dashboard!$B$18)))))</f>
        <v>268.31455587391775</v>
      </c>
    </row>
    <row r="134" spans="1:14" x14ac:dyDescent="0.2">
      <c r="A134" s="22">
        <f t="shared" ref="A134:A197" si="30">A133+1</f>
        <v>129</v>
      </c>
      <c r="B134" s="23">
        <f t="shared" ref="B134:B197" si="31">B133+1/12</f>
        <v>28.804794520547791</v>
      </c>
      <c r="C134" t="str">
        <f t="shared" si="22"/>
        <v>28 y 9.66 m</v>
      </c>
      <c r="D134" s="24">
        <f>IF(A134&gt;=$E$2,IF(A134&lt;$E$2+$H$2,$P$2,0),IF(B134&lt;Dashboard!$I$6,0,IF(A134&gt;=$F$2,Dashboard!$C$22*POWER(1+$C$2,A134-$F$2),Dashboard!$C$22)))</f>
        <v>6000</v>
      </c>
      <c r="E134" s="24">
        <f>IF(A134&gt;=$F$2,0,IF(A134=0,Dashboard!$G$10,IF(B134&lt;Dashboard!$I$6,IF($J$2&lt;=Dashboard!$H$10,Dashboard!$H$10,MAX(Dashboard!$H$10,MIN($J$2,Dashboard!$H$10*POWER($J$2/Dashboard!$H$10,A134/$D$2)))),$I$2-D134-Dashboard!$I$10-Dashboard!$J$10-Dashboard!$F$10*$I$2)))</f>
        <v>881.8</v>
      </c>
      <c r="F134" s="24">
        <f t="shared" si="23"/>
        <v>0</v>
      </c>
      <c r="G134" s="24">
        <f t="shared" si="24"/>
        <v>0</v>
      </c>
      <c r="H134" s="24">
        <f t="shared" si="25"/>
        <v>0</v>
      </c>
      <c r="I134" s="24">
        <f t="shared" si="26"/>
        <v>881.8</v>
      </c>
      <c r="J134" s="25">
        <f t="shared" si="27"/>
        <v>7.9741404289037643E-3</v>
      </c>
      <c r="K134" s="24">
        <f t="shared" ref="K134:K197" si="32">(K133+I134)*(1+J134)</f>
        <v>441257.67460611375</v>
      </c>
      <c r="L134" s="24" t="str">
        <f t="shared" si="28"/>
        <v/>
      </c>
      <c r="M134" s="24">
        <f t="shared" si="29"/>
        <v>1587.1756290272265</v>
      </c>
      <c r="N134" s="24">
        <f>IF(M134&lt;=0,0,IF($E$2-A134&lt;12,(M134-E134)*Dashboard!$B$18,IF($Q$2+A134&gt;=$R$2,MAX(0,M134-E134*POWER(1+$C$2,$E$2-A134))*MAX(Dashboard!$C$18,Dashboard!$B$18),IF($S$2&lt;$R$2,(M134-E134)*0.5*Dashboard!$B$18,(E134*POWER(1+$A$2,$R$2-($Q$2+A134))-E134)*0.5*Dashboard!$B$18+MAX(0,M134-E134*POWER(1+$A$2,$R$2-($Q$2+A134))*POWER(1+$C$2,$S$2-$R$2))*MAX(Dashboard!$C$18,Dashboard!$B$18)))))</f>
        <v>263.36016851753311</v>
      </c>
    </row>
    <row r="135" spans="1:14" x14ac:dyDescent="0.2">
      <c r="A135" s="22">
        <f t="shared" si="30"/>
        <v>130</v>
      </c>
      <c r="B135" s="23">
        <f t="shared" si="31"/>
        <v>28.888127853881123</v>
      </c>
      <c r="C135" t="str">
        <f t="shared" si="22"/>
        <v>28 y 10.66 m</v>
      </c>
      <c r="D135" s="24">
        <f>IF(A135&gt;=$E$2,IF(A135&lt;$E$2+$H$2,$P$2,0),IF(B135&lt;Dashboard!$I$6,0,IF(A135&gt;=$F$2,Dashboard!$C$22*POWER(1+$C$2,A135-$F$2),Dashboard!$C$22)))</f>
        <v>6000</v>
      </c>
      <c r="E135" s="24">
        <f>IF(A135&gt;=$F$2,0,IF(A135=0,Dashboard!$G$10,IF(B135&lt;Dashboard!$I$6,IF($J$2&lt;=Dashboard!$H$10,Dashboard!$H$10,MAX(Dashboard!$H$10,MIN($J$2,Dashboard!$H$10*POWER($J$2/Dashboard!$H$10,A135/$D$2)))),$I$2-D135-Dashboard!$I$10-Dashboard!$J$10-Dashboard!$F$10*$I$2)))</f>
        <v>881.8</v>
      </c>
      <c r="F135" s="24">
        <f t="shared" si="23"/>
        <v>0</v>
      </c>
      <c r="G135" s="24">
        <f t="shared" si="24"/>
        <v>0</v>
      </c>
      <c r="H135" s="24">
        <f t="shared" si="25"/>
        <v>0</v>
      </c>
      <c r="I135" s="24">
        <f t="shared" si="26"/>
        <v>881.8</v>
      </c>
      <c r="J135" s="25">
        <f t="shared" si="27"/>
        <v>7.9741404289037643E-3</v>
      </c>
      <c r="K135" s="24">
        <f t="shared" si="32"/>
        <v>445665.15686578461</v>
      </c>
      <c r="L135" s="24" t="str">
        <f t="shared" si="28"/>
        <v/>
      </c>
      <c r="M135" s="24">
        <f t="shared" si="29"/>
        <v>1574.6193928664343</v>
      </c>
      <c r="N135" s="24">
        <f>IF(M135&lt;=0,0,IF($E$2-A135&lt;12,(M135-E135)*Dashboard!$B$18,IF($Q$2+A135&gt;=$R$2,MAX(0,M135-E135*POWER(1+$C$2,$E$2-A135))*MAX(Dashboard!$C$18,Dashboard!$B$18),IF($S$2&lt;$R$2,(M135-E135)*0.5*Dashboard!$B$18,(E135*POWER(1+$A$2,$R$2-($Q$2+A135))-E135)*0.5*Dashboard!$B$18+MAX(0,M135-E135*POWER(1+$A$2,$R$2-($Q$2+A135))*POWER(1+$C$2,$S$2-$R$2))*MAX(Dashboard!$C$18,Dashboard!$B$18)))))</f>
        <v>258.45079652152924</v>
      </c>
    </row>
    <row r="136" spans="1:14" x14ac:dyDescent="0.2">
      <c r="A136" s="22">
        <f t="shared" si="30"/>
        <v>131</v>
      </c>
      <c r="B136" s="23">
        <f t="shared" si="31"/>
        <v>28.971461187214455</v>
      </c>
      <c r="C136" t="str">
        <f t="shared" si="22"/>
        <v>28 y 11.66 m</v>
      </c>
      <c r="D136" s="24">
        <f>IF(A136&gt;=$E$2,IF(A136&lt;$E$2+$H$2,$P$2,0),IF(B136&lt;Dashboard!$I$6,0,IF(A136&gt;=$F$2,Dashboard!$C$22*POWER(1+$C$2,A136-$F$2),Dashboard!$C$22)))</f>
        <v>6000</v>
      </c>
      <c r="E136" s="24">
        <f>IF(A136&gt;=$F$2,0,IF(A136=0,Dashboard!$G$10,IF(B136&lt;Dashboard!$I$6,IF($J$2&lt;=Dashboard!$H$10,Dashboard!$H$10,MAX(Dashboard!$H$10,MIN($J$2,Dashboard!$H$10*POWER($J$2/Dashboard!$H$10,A136/$D$2)))),$I$2-D136-Dashboard!$I$10-Dashboard!$J$10-Dashboard!$F$10*$I$2)))</f>
        <v>881.8</v>
      </c>
      <c r="F136" s="24">
        <f t="shared" si="23"/>
        <v>0</v>
      </c>
      <c r="G136" s="24">
        <f t="shared" si="24"/>
        <v>0</v>
      </c>
      <c r="H136" s="24">
        <f t="shared" si="25"/>
        <v>0</v>
      </c>
      <c r="I136" s="24">
        <f t="shared" si="26"/>
        <v>881.8</v>
      </c>
      <c r="J136" s="25">
        <f t="shared" si="27"/>
        <v>7.9741404289037643E-3</v>
      </c>
      <c r="K136" s="24">
        <f t="shared" si="32"/>
        <v>450107.78500793199</v>
      </c>
      <c r="L136" s="24" t="str">
        <f t="shared" si="28"/>
        <v/>
      </c>
      <c r="M136" s="24">
        <f t="shared" si="29"/>
        <v>1562.162489800003</v>
      </c>
      <c r="N136" s="24">
        <f>IF(M136&lt;=0,0,IF($E$2-A136&lt;12,(M136-E136)*Dashboard!$B$18,IF($Q$2+A136&gt;=$R$2,MAX(0,M136-E136*POWER(1+$C$2,$E$2-A136))*MAX(Dashboard!$C$18,Dashboard!$B$18),IF($S$2&lt;$R$2,(M136-E136)*0.5*Dashboard!$B$18,(E136*POWER(1+$A$2,$R$2-($Q$2+A136))-E136)*0.5*Dashboard!$B$18+MAX(0,M136-E136*POWER(1+$A$2,$R$2-($Q$2+A136))*POWER(1+$C$2,$S$2-$R$2))*MAX(Dashboard!$C$18,Dashboard!$B$18)))))</f>
        <v>253.58607180134578</v>
      </c>
    </row>
    <row r="137" spans="1:14" x14ac:dyDescent="0.2">
      <c r="A137" s="22">
        <f t="shared" si="30"/>
        <v>132</v>
      </c>
      <c r="B137" s="23">
        <f t="shared" si="31"/>
        <v>29.054794520547787</v>
      </c>
      <c r="C137" t="str">
        <f t="shared" si="22"/>
        <v>29 y 0.66 m</v>
      </c>
      <c r="D137" s="24">
        <f>IF(A137&gt;=$E$2,IF(A137&lt;$E$2+$H$2,$P$2,0),IF(B137&lt;Dashboard!$I$6,0,IF(A137&gt;=$F$2,Dashboard!$C$22*POWER(1+$C$2,A137-$F$2),Dashboard!$C$22)))</f>
        <v>6000</v>
      </c>
      <c r="E137" s="24">
        <f>IF(A137&gt;=$F$2,0,IF(A137=0,Dashboard!$G$10,IF(B137&lt;Dashboard!$I$6,IF($J$2&lt;=Dashboard!$H$10,Dashboard!$H$10,MAX(Dashboard!$H$10,MIN($J$2,Dashboard!$H$10*POWER($J$2/Dashboard!$H$10,A137/$D$2)))),$I$2-D137-Dashboard!$I$10-Dashboard!$J$10-Dashboard!$F$10*$I$2)))</f>
        <v>881.8</v>
      </c>
      <c r="F137" s="24">
        <f t="shared" si="23"/>
        <v>0</v>
      </c>
      <c r="G137" s="24">
        <f t="shared" si="24"/>
        <v>0</v>
      </c>
      <c r="H137" s="24">
        <f t="shared" si="25"/>
        <v>0</v>
      </c>
      <c r="I137" s="24">
        <f t="shared" si="26"/>
        <v>881.8</v>
      </c>
      <c r="J137" s="25">
        <f t="shared" si="27"/>
        <v>7.9741404289037643E-3</v>
      </c>
      <c r="K137" s="24">
        <f t="shared" si="32"/>
        <v>454585.83929075825</v>
      </c>
      <c r="L137" s="24" t="str">
        <f t="shared" si="28"/>
        <v/>
      </c>
      <c r="M137" s="24">
        <f t="shared" si="29"/>
        <v>1549.8041339982053</v>
      </c>
      <c r="N137" s="24">
        <f>IF(M137&lt;=0,0,IF($E$2-A137&lt;12,(M137-E137)*Dashboard!$B$18,IF($Q$2+A137&gt;=$R$2,MAX(0,M137-E137*POWER(1+$C$2,$E$2-A137))*MAX(Dashboard!$C$18,Dashboard!$B$18),IF($S$2&lt;$R$2,(M137-E137)*0.5*Dashboard!$B$18,(E137*POWER(1+$A$2,$R$2-($Q$2+A137))-E137)*0.5*Dashboard!$B$18+MAX(0,M137-E137*POWER(1+$A$2,$R$2-($Q$2+A137))*POWER(1+$C$2,$S$2-$R$2))*MAX(Dashboard!$C$18,Dashboard!$B$18)))))</f>
        <v>248.76562920895606</v>
      </c>
    </row>
    <row r="138" spans="1:14" x14ac:dyDescent="0.2">
      <c r="A138" s="22">
        <f t="shared" si="30"/>
        <v>133</v>
      </c>
      <c r="B138" s="23">
        <f t="shared" si="31"/>
        <v>29.138127853881119</v>
      </c>
      <c r="C138" t="str">
        <f t="shared" si="22"/>
        <v>29 y 1.66 m</v>
      </c>
      <c r="D138" s="24">
        <f>IF(A138&gt;=$E$2,IF(A138&lt;$E$2+$H$2,$P$2,0),IF(B138&lt;Dashboard!$I$6,0,IF(A138&gt;=$F$2,Dashboard!$C$22*POWER(1+$C$2,A138-$F$2),Dashboard!$C$22)))</f>
        <v>6000</v>
      </c>
      <c r="E138" s="24">
        <f>IF(A138&gt;=$F$2,0,IF(A138=0,Dashboard!$G$10,IF(B138&lt;Dashboard!$I$6,IF($J$2&lt;=Dashboard!$H$10,Dashboard!$H$10,MAX(Dashboard!$H$10,MIN($J$2,Dashboard!$H$10*POWER($J$2/Dashboard!$H$10,A138/$D$2)))),$I$2-D138-Dashboard!$I$10-Dashboard!$J$10-Dashboard!$F$10*$I$2)))</f>
        <v>881.8</v>
      </c>
      <c r="F138" s="24">
        <f t="shared" si="23"/>
        <v>0</v>
      </c>
      <c r="G138" s="24">
        <f t="shared" si="24"/>
        <v>0</v>
      </c>
      <c r="H138" s="24">
        <f t="shared" si="25"/>
        <v>0</v>
      </c>
      <c r="I138" s="24">
        <f t="shared" si="26"/>
        <v>881.8</v>
      </c>
      <c r="J138" s="25">
        <f t="shared" si="27"/>
        <v>7.9741404289037643E-3</v>
      </c>
      <c r="K138" s="24">
        <f t="shared" si="32"/>
        <v>459099.60220728401</v>
      </c>
      <c r="L138" s="24" t="str">
        <f t="shared" si="28"/>
        <v/>
      </c>
      <c r="M138" s="24">
        <f t="shared" si="29"/>
        <v>1537.5435458480586</v>
      </c>
      <c r="N138" s="24">
        <f>IF(M138&lt;=0,0,IF($E$2-A138&lt;12,(M138-E138)*Dashboard!$B$18,IF($Q$2+A138&gt;=$R$2,MAX(0,M138-E138*POWER(1+$C$2,$E$2-A138))*MAX(Dashboard!$C$18,Dashboard!$B$18),IF($S$2&lt;$R$2,(M138-E138)*0.5*Dashboard!$B$18,(E138*POWER(1+$A$2,$R$2-($Q$2+A138))-E138)*0.5*Dashboard!$B$18+MAX(0,M138-E138*POWER(1+$A$2,$R$2-($Q$2+A138))*POWER(1+$C$2,$S$2-$R$2))*MAX(Dashboard!$C$18,Dashboard!$B$18)))))</f>
        <v>243.98910650958638</v>
      </c>
    </row>
    <row r="139" spans="1:14" x14ac:dyDescent="0.2">
      <c r="A139" s="22">
        <f t="shared" si="30"/>
        <v>134</v>
      </c>
      <c r="B139" s="23">
        <f t="shared" si="31"/>
        <v>29.221461187214452</v>
      </c>
      <c r="C139" t="str">
        <f t="shared" si="22"/>
        <v>29 y 2.66 m</v>
      </c>
      <c r="D139" s="24">
        <f>IF(A139&gt;=$E$2,IF(A139&lt;$E$2+$H$2,$P$2,0),IF(B139&lt;Dashboard!$I$6,0,IF(A139&gt;=$F$2,Dashboard!$C$22*POWER(1+$C$2,A139-$F$2),Dashboard!$C$22)))</f>
        <v>6000</v>
      </c>
      <c r="E139" s="24">
        <f>IF(A139&gt;=$F$2,0,IF(A139=0,Dashboard!$G$10,IF(B139&lt;Dashboard!$I$6,IF($J$2&lt;=Dashboard!$H$10,Dashboard!$H$10,MAX(Dashboard!$H$10,MIN($J$2,Dashboard!$H$10*POWER($J$2/Dashboard!$H$10,A139/$D$2)))),$I$2-D139-Dashboard!$I$10-Dashboard!$J$10-Dashboard!$F$10*$I$2)))</f>
        <v>881.8</v>
      </c>
      <c r="F139" s="24">
        <f t="shared" si="23"/>
        <v>0</v>
      </c>
      <c r="G139" s="24">
        <f t="shared" si="24"/>
        <v>0</v>
      </c>
      <c r="H139" s="24">
        <f t="shared" si="25"/>
        <v>0</v>
      </c>
      <c r="I139" s="24">
        <f t="shared" si="26"/>
        <v>881.8</v>
      </c>
      <c r="J139" s="25">
        <f t="shared" si="27"/>
        <v>7.9741404289037643E-3</v>
      </c>
      <c r="K139" s="24">
        <f t="shared" si="32"/>
        <v>463649.35850316897</v>
      </c>
      <c r="L139" s="24" t="str">
        <f t="shared" si="28"/>
        <v/>
      </c>
      <c r="M139" s="24">
        <f t="shared" si="29"/>
        <v>1525.3799519041406</v>
      </c>
      <c r="N139" s="24">
        <f>IF(M139&lt;=0,0,IF($E$2-A139&lt;12,(M139-E139)*Dashboard!$B$18,IF($Q$2+A139&gt;=$R$2,MAX(0,M139-E139*POWER(1+$C$2,$E$2-A139))*MAX(Dashboard!$C$18,Dashboard!$B$18),IF($S$2&lt;$R$2,(M139-E139)*0.5*Dashboard!$B$18,(E139*POWER(1+$A$2,$R$2-($Q$2+A139))-E139)*0.5*Dashboard!$B$18+MAX(0,M139-E139*POWER(1+$A$2,$R$2-($Q$2+A139))*POWER(1+$C$2,$S$2-$R$2))*MAX(Dashboard!$C$18,Dashboard!$B$18)))))</f>
        <v>239.25614435861718</v>
      </c>
    </row>
    <row r="140" spans="1:14" x14ac:dyDescent="0.2">
      <c r="A140" s="22">
        <f t="shared" si="30"/>
        <v>135</v>
      </c>
      <c r="B140" s="23">
        <f t="shared" si="31"/>
        <v>29.304794520547784</v>
      </c>
      <c r="C140" t="str">
        <f t="shared" si="22"/>
        <v>29 y 3.66 m</v>
      </c>
      <c r="D140" s="24">
        <f>IF(A140&gt;=$E$2,IF(A140&lt;$E$2+$H$2,$P$2,0),IF(B140&lt;Dashboard!$I$6,0,IF(A140&gt;=$F$2,Dashboard!$C$22*POWER(1+$C$2,A140-$F$2),Dashboard!$C$22)))</f>
        <v>6000</v>
      </c>
      <c r="E140" s="24">
        <f>IF(A140&gt;=$F$2,0,IF(A140=0,Dashboard!$G$10,IF(B140&lt;Dashboard!$I$6,IF($J$2&lt;=Dashboard!$H$10,Dashboard!$H$10,MAX(Dashboard!$H$10,MIN($J$2,Dashboard!$H$10*POWER($J$2/Dashboard!$H$10,A140/$D$2)))),$I$2-D140-Dashboard!$I$10-Dashboard!$J$10-Dashboard!$F$10*$I$2)))</f>
        <v>881.8</v>
      </c>
      <c r="F140" s="24">
        <f t="shared" si="23"/>
        <v>0</v>
      </c>
      <c r="G140" s="24">
        <f t="shared" si="24"/>
        <v>0</v>
      </c>
      <c r="H140" s="24">
        <f t="shared" si="25"/>
        <v>0</v>
      </c>
      <c r="I140" s="24">
        <f t="shared" si="26"/>
        <v>881.8</v>
      </c>
      <c r="J140" s="25">
        <f t="shared" si="27"/>
        <v>7.9741404289037643E-3</v>
      </c>
      <c r="K140" s="24">
        <f t="shared" si="32"/>
        <v>468235.39519467461</v>
      </c>
      <c r="L140" s="24" t="str">
        <f t="shared" si="28"/>
        <v/>
      </c>
      <c r="M140" s="24">
        <f t="shared" si="29"/>
        <v>1513.3125848398006</v>
      </c>
      <c r="N140" s="24">
        <f>IF(M140&lt;=0,0,IF($E$2-A140&lt;12,(M140-E140)*Dashboard!$B$18,IF($Q$2+A140&gt;=$R$2,MAX(0,M140-E140*POWER(1+$C$2,$E$2-A140))*MAX(Dashboard!$C$18,Dashboard!$B$18),IF($S$2&lt;$R$2,(M140-E140)*0.5*Dashboard!$B$18,(E140*POWER(1+$A$2,$R$2-($Q$2+A140))-E140)*0.5*Dashboard!$B$18+MAX(0,M140-E140*POWER(1+$A$2,$R$2-($Q$2+A140))*POWER(1+$C$2,$S$2-$R$2))*MAX(Dashboard!$C$18,Dashboard!$B$18)))))</f>
        <v>234.56638627866994</v>
      </c>
    </row>
    <row r="141" spans="1:14" x14ac:dyDescent="0.2">
      <c r="A141" s="22">
        <f t="shared" si="30"/>
        <v>136</v>
      </c>
      <c r="B141" s="23">
        <f t="shared" si="31"/>
        <v>29.388127853881116</v>
      </c>
      <c r="C141" t="str">
        <f t="shared" si="22"/>
        <v>29 y 4.66 m</v>
      </c>
      <c r="D141" s="24">
        <f>IF(A141&gt;=$E$2,IF(A141&lt;$E$2+$H$2,$P$2,0),IF(B141&lt;Dashboard!$I$6,0,IF(A141&gt;=$F$2,Dashboard!$C$22*POWER(1+$C$2,A141-$F$2),Dashboard!$C$22)))</f>
        <v>6000</v>
      </c>
      <c r="E141" s="24">
        <f>IF(A141&gt;=$F$2,0,IF(A141=0,Dashboard!$G$10,IF(B141&lt;Dashboard!$I$6,IF($J$2&lt;=Dashboard!$H$10,Dashboard!$H$10,MAX(Dashboard!$H$10,MIN($J$2,Dashboard!$H$10*POWER($J$2/Dashboard!$H$10,A141/$D$2)))),$I$2-D141-Dashboard!$I$10-Dashboard!$J$10-Dashboard!$F$10*$I$2)))</f>
        <v>881.8</v>
      </c>
      <c r="F141" s="24">
        <f t="shared" si="23"/>
        <v>0</v>
      </c>
      <c r="G141" s="24">
        <f t="shared" si="24"/>
        <v>0</v>
      </c>
      <c r="H141" s="24">
        <f t="shared" si="25"/>
        <v>0</v>
      </c>
      <c r="I141" s="24">
        <f t="shared" si="26"/>
        <v>881.8</v>
      </c>
      <c r="J141" s="25">
        <f t="shared" si="27"/>
        <v>7.9741404289037643E-3</v>
      </c>
      <c r="K141" s="24">
        <f t="shared" si="32"/>
        <v>472858.00158677041</v>
      </c>
      <c r="L141" s="24" t="str">
        <f t="shared" si="28"/>
        <v/>
      </c>
      <c r="M141" s="24">
        <f t="shared" si="29"/>
        <v>1501.3406833987524</v>
      </c>
      <c r="N141" s="24">
        <f>IF(M141&lt;=0,0,IF($E$2-A141&lt;12,(M141-E141)*Dashboard!$B$18,IF($Q$2+A141&gt;=$R$2,MAX(0,M141-E141*POWER(1+$C$2,$E$2-A141))*MAX(Dashboard!$C$18,Dashboard!$B$18),IF($S$2&lt;$R$2,(M141-E141)*0.5*Dashboard!$B$18,(E141*POWER(1+$A$2,$R$2-($Q$2+A141))-E141)*0.5*Dashboard!$B$18+MAX(0,M141-E141*POWER(1+$A$2,$R$2-($Q$2+A141))*POWER(1+$C$2,$S$2-$R$2))*MAX(Dashboard!$C$18,Dashboard!$B$18)))))</f>
        <v>229.91947863687366</v>
      </c>
    </row>
    <row r="142" spans="1:14" x14ac:dyDescent="0.2">
      <c r="A142" s="22">
        <f t="shared" si="30"/>
        <v>137</v>
      </c>
      <c r="B142" s="23">
        <f t="shared" si="31"/>
        <v>29.471461187214448</v>
      </c>
      <c r="C142" t="str">
        <f t="shared" si="22"/>
        <v>29 y 5.66 m</v>
      </c>
      <c r="D142" s="24">
        <f>IF(A142&gt;=$E$2,IF(A142&lt;$E$2+$H$2,$P$2,0),IF(B142&lt;Dashboard!$I$6,0,IF(A142&gt;=$F$2,Dashboard!$C$22*POWER(1+$C$2,A142-$F$2),Dashboard!$C$22)))</f>
        <v>6000</v>
      </c>
      <c r="E142" s="24">
        <f>IF(A142&gt;=$F$2,0,IF(A142=0,Dashboard!$G$10,IF(B142&lt;Dashboard!$I$6,IF($J$2&lt;=Dashboard!$H$10,Dashboard!$H$10,MAX(Dashboard!$H$10,MIN($J$2,Dashboard!$H$10*POWER($J$2/Dashboard!$H$10,A142/$D$2)))),$I$2-D142-Dashboard!$I$10-Dashboard!$J$10-Dashboard!$F$10*$I$2)))</f>
        <v>881.8</v>
      </c>
      <c r="F142" s="24">
        <f t="shared" si="23"/>
        <v>0</v>
      </c>
      <c r="G142" s="24">
        <f t="shared" si="24"/>
        <v>0</v>
      </c>
      <c r="H142" s="24">
        <f t="shared" si="25"/>
        <v>0</v>
      </c>
      <c r="I142" s="24">
        <f t="shared" si="26"/>
        <v>881.8</v>
      </c>
      <c r="J142" s="25">
        <f t="shared" si="27"/>
        <v>7.9741404289037643E-3</v>
      </c>
      <c r="K142" s="24">
        <f t="shared" si="32"/>
        <v>477517.46929138433</v>
      </c>
      <c r="L142" s="24" t="str">
        <f t="shared" si="28"/>
        <v/>
      </c>
      <c r="M142" s="24">
        <f t="shared" si="29"/>
        <v>1489.4634923470517</v>
      </c>
      <c r="N142" s="24">
        <f>IF(M142&lt;=0,0,IF($E$2-A142&lt;12,(M142-E142)*Dashboard!$B$18,IF($Q$2+A142&gt;=$R$2,MAX(0,M142-E142*POWER(1+$C$2,$E$2-A142))*MAX(Dashboard!$C$18,Dashboard!$B$18),IF($S$2&lt;$R$2,(M142-E142)*0.5*Dashboard!$B$18,(E142*POWER(1+$A$2,$R$2-($Q$2+A142))-E142)*0.5*Dashboard!$B$18+MAX(0,M142-E142*POWER(1+$A$2,$R$2-($Q$2+A142))*POWER(1+$C$2,$S$2-$R$2))*MAX(Dashboard!$C$18,Dashboard!$B$18)))))</f>
        <v>225.31507062231157</v>
      </c>
    </row>
    <row r="143" spans="1:14" x14ac:dyDescent="0.2">
      <c r="A143" s="22">
        <f t="shared" si="30"/>
        <v>138</v>
      </c>
      <c r="B143" s="23">
        <f t="shared" si="31"/>
        <v>29.55479452054778</v>
      </c>
      <c r="C143" t="str">
        <f t="shared" si="22"/>
        <v>29 y 6.66 m</v>
      </c>
      <c r="D143" s="24">
        <f>IF(A143&gt;=$E$2,IF(A143&lt;$E$2+$H$2,$P$2,0),IF(B143&lt;Dashboard!$I$6,0,IF(A143&gt;=$F$2,Dashboard!$C$22*POWER(1+$C$2,A143-$F$2),Dashboard!$C$22)))</f>
        <v>6000</v>
      </c>
      <c r="E143" s="24">
        <f>IF(A143&gt;=$F$2,0,IF(A143=0,Dashboard!$G$10,IF(B143&lt;Dashboard!$I$6,IF($J$2&lt;=Dashboard!$H$10,Dashboard!$H$10,MAX(Dashboard!$H$10,MIN($J$2,Dashboard!$H$10*POWER($J$2/Dashboard!$H$10,A143/$D$2)))),$I$2-D143-Dashboard!$I$10-Dashboard!$J$10-Dashboard!$F$10*$I$2)))</f>
        <v>881.8</v>
      </c>
      <c r="F143" s="24">
        <f t="shared" si="23"/>
        <v>0</v>
      </c>
      <c r="G143" s="24">
        <f t="shared" si="24"/>
        <v>0</v>
      </c>
      <c r="H143" s="24">
        <f t="shared" si="25"/>
        <v>0</v>
      </c>
      <c r="I143" s="24">
        <f t="shared" si="26"/>
        <v>881.8</v>
      </c>
      <c r="J143" s="25">
        <f t="shared" si="27"/>
        <v>7.9741404289037643E-3</v>
      </c>
      <c r="K143" s="24">
        <f t="shared" si="32"/>
        <v>482214.09224579879</v>
      </c>
      <c r="L143" s="24" t="str">
        <f t="shared" si="28"/>
        <v/>
      </c>
      <c r="M143" s="24">
        <f t="shared" si="29"/>
        <v>1477.6802624254519</v>
      </c>
      <c r="N143" s="24">
        <f>IF(M143&lt;=0,0,IF($E$2-A143&lt;12,(M143-E143)*Dashboard!$B$18,IF($Q$2+A143&gt;=$R$2,MAX(0,M143-E143*POWER(1+$C$2,$E$2-A143))*MAX(Dashboard!$C$18,Dashboard!$B$18),IF($S$2&lt;$R$2,(M143-E143)*0.5*Dashboard!$B$18,(E143*POWER(1+$A$2,$R$2-($Q$2+A143))-E143)*0.5*Dashboard!$B$18+MAX(0,M143-E143*POWER(1+$A$2,$R$2-($Q$2+A143))*POWER(1+$C$2,$S$2-$R$2))*MAX(Dashboard!$C$18,Dashboard!$B$18)))))</f>
        <v>220.75281422364606</v>
      </c>
    </row>
    <row r="144" spans="1:14" x14ac:dyDescent="0.2">
      <c r="A144" s="22">
        <f t="shared" si="30"/>
        <v>139</v>
      </c>
      <c r="B144" s="23">
        <f t="shared" si="31"/>
        <v>29.638127853881112</v>
      </c>
      <c r="C144" t="str">
        <f t="shared" si="22"/>
        <v>29 y 7.66 m</v>
      </c>
      <c r="D144" s="24">
        <f>IF(A144&gt;=$E$2,IF(A144&lt;$E$2+$H$2,$P$2,0),IF(B144&lt;Dashboard!$I$6,0,IF(A144&gt;=$F$2,Dashboard!$C$22*POWER(1+$C$2,A144-$F$2),Dashboard!$C$22)))</f>
        <v>6000</v>
      </c>
      <c r="E144" s="24">
        <f>IF(A144&gt;=$F$2,0,IF(A144=0,Dashboard!$G$10,IF(B144&lt;Dashboard!$I$6,IF($J$2&lt;=Dashboard!$H$10,Dashboard!$H$10,MAX(Dashboard!$H$10,MIN($J$2,Dashboard!$H$10*POWER($J$2/Dashboard!$H$10,A144/$D$2)))),$I$2-D144-Dashboard!$I$10-Dashboard!$J$10-Dashboard!$F$10*$I$2)))</f>
        <v>881.8</v>
      </c>
      <c r="F144" s="24">
        <f t="shared" si="23"/>
        <v>0</v>
      </c>
      <c r="G144" s="24">
        <f t="shared" si="24"/>
        <v>0</v>
      </c>
      <c r="H144" s="24">
        <f t="shared" si="25"/>
        <v>0</v>
      </c>
      <c r="I144" s="24">
        <f t="shared" si="26"/>
        <v>881.8</v>
      </c>
      <c r="J144" s="25">
        <f t="shared" si="27"/>
        <v>7.9741404289037643E-3</v>
      </c>
      <c r="K144" s="24">
        <f t="shared" si="32"/>
        <v>486948.16673119331</v>
      </c>
      <c r="L144" s="24" t="str">
        <f t="shared" si="28"/>
        <v/>
      </c>
      <c r="M144" s="24">
        <f t="shared" si="29"/>
        <v>1465.990250302139</v>
      </c>
      <c r="N144" s="24">
        <f>IF(M144&lt;=0,0,IF($E$2-A144&lt;12,(M144-E144)*Dashboard!$B$18,IF($Q$2+A144&gt;=$R$2,MAX(0,M144-E144*POWER(1+$C$2,$E$2-A144))*MAX(Dashboard!$C$18,Dashboard!$B$18),IF($S$2&lt;$R$2,(M144-E144)*0.5*Dashboard!$B$18,(E144*POWER(1+$A$2,$R$2-($Q$2+A144))-E144)*0.5*Dashboard!$B$18+MAX(0,M144-E144*POWER(1+$A$2,$R$2-($Q$2+A144))*POWER(1+$C$2,$S$2-$R$2))*MAX(Dashboard!$C$18,Dashboard!$B$18)))))</f>
        <v>216.23236420692155</v>
      </c>
    </row>
    <row r="145" spans="1:14" x14ac:dyDescent="0.2">
      <c r="A145" s="22">
        <f t="shared" si="30"/>
        <v>140</v>
      </c>
      <c r="B145" s="23">
        <f t="shared" si="31"/>
        <v>29.721461187214445</v>
      </c>
      <c r="C145" t="str">
        <f t="shared" si="22"/>
        <v>29 y 8.66 m</v>
      </c>
      <c r="D145" s="24">
        <f>IF(A145&gt;=$E$2,IF(A145&lt;$E$2+$H$2,$P$2,0),IF(B145&lt;Dashboard!$I$6,0,IF(A145&gt;=$F$2,Dashboard!$C$22*POWER(1+$C$2,A145-$F$2),Dashboard!$C$22)))</f>
        <v>6000</v>
      </c>
      <c r="E145" s="24">
        <f>IF(A145&gt;=$F$2,0,IF(A145=0,Dashboard!$G$10,IF(B145&lt;Dashboard!$I$6,IF($J$2&lt;=Dashboard!$H$10,Dashboard!$H$10,MAX(Dashboard!$H$10,MIN($J$2,Dashboard!$H$10*POWER($J$2/Dashboard!$H$10,A145/$D$2)))),$I$2-D145-Dashboard!$I$10-Dashboard!$J$10-Dashboard!$F$10*$I$2)))</f>
        <v>881.8</v>
      </c>
      <c r="F145" s="24">
        <f t="shared" si="23"/>
        <v>0</v>
      </c>
      <c r="G145" s="24">
        <f t="shared" si="24"/>
        <v>0</v>
      </c>
      <c r="H145" s="24">
        <f t="shared" si="25"/>
        <v>0</v>
      </c>
      <c r="I145" s="24">
        <f t="shared" si="26"/>
        <v>881.8</v>
      </c>
      <c r="J145" s="25">
        <f t="shared" si="27"/>
        <v>7.9741404289037643E-3</v>
      </c>
      <c r="K145" s="24">
        <f t="shared" si="32"/>
        <v>491719.99139133526</v>
      </c>
      <c r="L145" s="24" t="str">
        <f t="shared" si="28"/>
        <v/>
      </c>
      <c r="M145" s="24">
        <f t="shared" si="29"/>
        <v>1454.3927185258383</v>
      </c>
      <c r="N145" s="24">
        <f>IF(M145&lt;=0,0,IF($E$2-A145&lt;12,(M145-E145)*Dashboard!$B$18,IF($Q$2+A145&gt;=$R$2,MAX(0,M145-E145*POWER(1+$C$2,$E$2-A145))*MAX(Dashboard!$C$18,Dashboard!$B$18),IF($S$2&lt;$R$2,(M145-E145)*0.5*Dashboard!$B$18,(E145*POWER(1+$A$2,$R$2-($Q$2+A145))-E145)*0.5*Dashboard!$B$18+MAX(0,M145-E145*POWER(1+$A$2,$R$2-($Q$2+A145))*POWER(1+$C$2,$S$2-$R$2))*MAX(Dashboard!$C$18,Dashboard!$B$18)))))</f>
        <v>211.75337809354232</v>
      </c>
    </row>
    <row r="146" spans="1:14" x14ac:dyDescent="0.2">
      <c r="A146" s="22">
        <f t="shared" si="30"/>
        <v>141</v>
      </c>
      <c r="B146" s="23">
        <f t="shared" si="31"/>
        <v>29.804794520547777</v>
      </c>
      <c r="C146" t="str">
        <f t="shared" si="22"/>
        <v>29 y 9.66 m</v>
      </c>
      <c r="D146" s="24">
        <f>IF(A146&gt;=$E$2,IF(A146&lt;$E$2+$H$2,$P$2,0),IF(B146&lt;Dashboard!$I$6,0,IF(A146&gt;=$F$2,Dashboard!$C$22*POWER(1+$C$2,A146-$F$2),Dashboard!$C$22)))</f>
        <v>6000</v>
      </c>
      <c r="E146" s="24">
        <f>IF(A146&gt;=$F$2,0,IF(A146=0,Dashboard!$G$10,IF(B146&lt;Dashboard!$I$6,IF($J$2&lt;=Dashboard!$H$10,Dashboard!$H$10,MAX(Dashboard!$H$10,MIN($J$2,Dashboard!$H$10*POWER($J$2/Dashboard!$H$10,A146/$D$2)))),$I$2-D146-Dashboard!$I$10-Dashboard!$J$10-Dashboard!$F$10*$I$2)))</f>
        <v>881.8</v>
      </c>
      <c r="F146" s="24">
        <f t="shared" si="23"/>
        <v>0</v>
      </c>
      <c r="G146" s="24">
        <f t="shared" si="24"/>
        <v>0</v>
      </c>
      <c r="H146" s="24">
        <f t="shared" si="25"/>
        <v>0</v>
      </c>
      <c r="I146" s="24">
        <f t="shared" si="26"/>
        <v>881.8</v>
      </c>
      <c r="J146" s="25">
        <f t="shared" si="27"/>
        <v>7.9741404289037643E-3</v>
      </c>
      <c r="K146" s="24">
        <f t="shared" si="32"/>
        <v>496529.86725141935</v>
      </c>
      <c r="L146" s="24" t="str">
        <f t="shared" si="28"/>
        <v/>
      </c>
      <c r="M146" s="24">
        <f t="shared" si="29"/>
        <v>1442.886935479296</v>
      </c>
      <c r="N146" s="24">
        <f>IF(M146&lt;=0,0,IF($E$2-A146&lt;12,(M146-E146)*Dashboard!$B$18,IF($Q$2+A146&gt;=$R$2,MAX(0,M146-E146*POWER(1+$C$2,$E$2-A146))*MAX(Dashboard!$C$18,Dashboard!$B$18),IF($S$2&lt;$R$2,(M146-E146)*0.5*Dashboard!$B$18,(E146*POWER(1+$A$2,$R$2-($Q$2+A146))-E146)*0.5*Dashboard!$B$18+MAX(0,M146-E146*POWER(1+$A$2,$R$2-($Q$2+A146))*POWER(1+$C$2,$S$2-$R$2))*MAX(Dashboard!$C$18,Dashboard!$B$18)))))</f>
        <v>207.31551613842618</v>
      </c>
    </row>
    <row r="147" spans="1:14" x14ac:dyDescent="0.2">
      <c r="A147" s="22">
        <f t="shared" si="30"/>
        <v>142</v>
      </c>
      <c r="B147" s="23">
        <f t="shared" si="31"/>
        <v>29.888127853881109</v>
      </c>
      <c r="C147" t="str">
        <f t="shared" si="22"/>
        <v>29 y 10.66 m</v>
      </c>
      <c r="D147" s="24">
        <f>IF(A147&gt;=$E$2,IF(A147&lt;$E$2+$H$2,$P$2,0),IF(B147&lt;Dashboard!$I$6,0,IF(A147&gt;=$F$2,Dashboard!$C$22*POWER(1+$C$2,A147-$F$2),Dashboard!$C$22)))</f>
        <v>6000</v>
      </c>
      <c r="E147" s="24">
        <f>IF(A147&gt;=$F$2,0,IF(A147=0,Dashboard!$G$10,IF(B147&lt;Dashboard!$I$6,IF($J$2&lt;=Dashboard!$H$10,Dashboard!$H$10,MAX(Dashboard!$H$10,MIN($J$2,Dashboard!$H$10*POWER($J$2/Dashboard!$H$10,A147/$D$2)))),$I$2-D147-Dashboard!$I$10-Dashboard!$J$10-Dashboard!$F$10*$I$2)))</f>
        <v>881.8</v>
      </c>
      <c r="F147" s="24">
        <f t="shared" si="23"/>
        <v>0</v>
      </c>
      <c r="G147" s="24">
        <f t="shared" si="24"/>
        <v>0</v>
      </c>
      <c r="H147" s="24">
        <f t="shared" si="25"/>
        <v>0</v>
      </c>
      <c r="I147" s="24">
        <f t="shared" si="26"/>
        <v>881.8</v>
      </c>
      <c r="J147" s="25">
        <f t="shared" si="27"/>
        <v>7.9741404289037643E-3</v>
      </c>
      <c r="K147" s="24">
        <f t="shared" si="32"/>
        <v>501378.09773705731</v>
      </c>
      <c r="L147" s="24" t="str">
        <f t="shared" si="28"/>
        <v/>
      </c>
      <c r="M147" s="24">
        <f t="shared" si="29"/>
        <v>1431.4721753331214</v>
      </c>
      <c r="N147" s="24">
        <f>IF(M147&lt;=0,0,IF($E$2-A147&lt;12,(M147-E147)*Dashboard!$B$18,IF($Q$2+A147&gt;=$R$2,MAX(0,M147-E147*POWER(1+$C$2,$E$2-A147))*MAX(Dashboard!$C$18,Dashboard!$B$18),IF($S$2&lt;$R$2,(M147-E147)*0.5*Dashboard!$B$18,(E147*POWER(1+$A$2,$R$2-($Q$2+A147))-E147)*0.5*Dashboard!$B$18+MAX(0,M147-E147*POWER(1+$A$2,$R$2-($Q$2+A147))*POWER(1+$C$2,$S$2-$R$2))*MAX(Dashboard!$C$18,Dashboard!$B$18)))))</f>
        <v>202.91844130832757</v>
      </c>
    </row>
    <row r="148" spans="1:14" x14ac:dyDescent="0.2">
      <c r="A148" s="22">
        <f t="shared" si="30"/>
        <v>143</v>
      </c>
      <c r="B148" s="23">
        <f t="shared" si="31"/>
        <v>29.971461187214441</v>
      </c>
      <c r="C148" t="str">
        <f t="shared" si="22"/>
        <v>29 y 11.66 m</v>
      </c>
      <c r="D148" s="24">
        <f>IF(A148&gt;=$E$2,IF(A148&lt;$E$2+$H$2,$P$2,0),IF(B148&lt;Dashboard!$I$6,0,IF(A148&gt;=$F$2,Dashboard!$C$22*POWER(1+$C$2,A148-$F$2),Dashboard!$C$22)))</f>
        <v>6000</v>
      </c>
      <c r="E148" s="24">
        <f>IF(A148&gt;=$F$2,0,IF(A148=0,Dashboard!$G$10,IF(B148&lt;Dashboard!$I$6,IF($J$2&lt;=Dashboard!$H$10,Dashboard!$H$10,MAX(Dashboard!$H$10,MIN($J$2,Dashboard!$H$10*POWER($J$2/Dashboard!$H$10,A148/$D$2)))),$I$2-D148-Dashboard!$I$10-Dashboard!$J$10-Dashboard!$F$10*$I$2)))</f>
        <v>881.8</v>
      </c>
      <c r="F148" s="24">
        <f t="shared" si="23"/>
        <v>0</v>
      </c>
      <c r="G148" s="24">
        <f t="shared" si="24"/>
        <v>0</v>
      </c>
      <c r="H148" s="24">
        <f t="shared" si="25"/>
        <v>0</v>
      </c>
      <c r="I148" s="24">
        <f t="shared" si="26"/>
        <v>881.8</v>
      </c>
      <c r="J148" s="25">
        <f t="shared" si="27"/>
        <v>7.9741404289037643E-3</v>
      </c>
      <c r="K148" s="24">
        <f t="shared" si="32"/>
        <v>506264.98869341944</v>
      </c>
      <c r="L148" s="24" t="str">
        <f t="shared" si="28"/>
        <v/>
      </c>
      <c r="M148" s="24">
        <f t="shared" si="29"/>
        <v>1420.1477180000022</v>
      </c>
      <c r="N148" s="24">
        <f>IF(M148&lt;=0,0,IF($E$2-A148&lt;12,(M148-E148)*Dashboard!$B$18,IF($Q$2+A148&gt;=$R$2,MAX(0,M148-E148*POWER(1+$C$2,$E$2-A148))*MAX(Dashboard!$C$18,Dashboard!$B$18),IF($S$2&lt;$R$2,(M148-E148)*0.5*Dashboard!$B$18,(E148*POWER(1+$A$2,$R$2-($Q$2+A148))-E148)*0.5*Dashboard!$B$18+MAX(0,M148-E148*POWER(1+$A$2,$R$2-($Q$2+A148))*POWER(1+$C$2,$S$2-$R$2))*MAX(Dashboard!$C$18,Dashboard!$B$18)))))</f>
        <v>198.56181926033636</v>
      </c>
    </row>
    <row r="149" spans="1:14" x14ac:dyDescent="0.2">
      <c r="A149" s="22">
        <f t="shared" si="30"/>
        <v>144</v>
      </c>
      <c r="B149" s="23">
        <f t="shared" si="31"/>
        <v>30.054794520547773</v>
      </c>
      <c r="C149" t="str">
        <f t="shared" si="22"/>
        <v>30 y 0.66 m</v>
      </c>
      <c r="D149" s="24">
        <f>IF(A149&gt;=$E$2,IF(A149&lt;$E$2+$H$2,$P$2,0),IF(B149&lt;Dashboard!$I$6,0,IF(A149&gt;=$F$2,Dashboard!$C$22*POWER(1+$C$2,A149-$F$2),Dashboard!$C$22)))</f>
        <v>6000</v>
      </c>
      <c r="E149" s="24">
        <f>IF(A149&gt;=$F$2,0,IF(A149=0,Dashboard!$G$10,IF(B149&lt;Dashboard!$I$6,IF($J$2&lt;=Dashboard!$H$10,Dashboard!$H$10,MAX(Dashboard!$H$10,MIN($J$2,Dashboard!$H$10*POWER($J$2/Dashboard!$H$10,A149/$D$2)))),$I$2-D149-Dashboard!$I$10-Dashboard!$J$10-Dashboard!$F$10*$I$2)))</f>
        <v>881.8</v>
      </c>
      <c r="F149" s="24">
        <f t="shared" si="23"/>
        <v>0</v>
      </c>
      <c r="G149" s="24">
        <f t="shared" si="24"/>
        <v>0</v>
      </c>
      <c r="H149" s="24">
        <f t="shared" si="25"/>
        <v>0</v>
      </c>
      <c r="I149" s="24">
        <f t="shared" si="26"/>
        <v>881.8</v>
      </c>
      <c r="J149" s="25">
        <f t="shared" si="27"/>
        <v>7.9741404289037643E-3</v>
      </c>
      <c r="K149" s="24">
        <f t="shared" si="32"/>
        <v>511190.84840452834</v>
      </c>
      <c r="L149" s="24" t="str">
        <f t="shared" si="28"/>
        <v/>
      </c>
      <c r="M149" s="24">
        <f t="shared" si="29"/>
        <v>1408.9128490892774</v>
      </c>
      <c r="N149" s="24">
        <f>IF(M149&lt;=0,0,IF($E$2-A149&lt;12,(M149-E149)*Dashboard!$B$18,IF($Q$2+A149&gt;=$R$2,MAX(0,M149-E149*POWER(1+$C$2,$E$2-A149))*MAX(Dashboard!$C$18,Dashboard!$B$18),IF($S$2&lt;$R$2,(M149-E149)*0.5*Dashboard!$B$18,(E149*POWER(1+$A$2,$R$2-($Q$2+A149))-E149)*0.5*Dashboard!$B$18+MAX(0,M149-E149*POWER(1+$A$2,$R$2-($Q$2+A149))*POWER(1+$C$2,$S$2-$R$2))*MAX(Dashboard!$C$18,Dashboard!$B$18)))))</f>
        <v>194.24531832054464</v>
      </c>
    </row>
    <row r="150" spans="1:14" x14ac:dyDescent="0.2">
      <c r="A150" s="22">
        <f t="shared" si="30"/>
        <v>145</v>
      </c>
      <c r="B150" s="23">
        <f t="shared" si="31"/>
        <v>30.138127853881105</v>
      </c>
      <c r="C150" t="str">
        <f t="shared" si="22"/>
        <v>30 y 1.66 m</v>
      </c>
      <c r="D150" s="24">
        <f>IF(A150&gt;=$E$2,IF(A150&lt;$E$2+$H$2,$P$2,0),IF(B150&lt;Dashboard!$I$6,0,IF(A150&gt;=$F$2,Dashboard!$C$22*POWER(1+$C$2,A150-$F$2),Dashboard!$C$22)))</f>
        <v>6000</v>
      </c>
      <c r="E150" s="24">
        <f>IF(A150&gt;=$F$2,0,IF(A150=0,Dashboard!$G$10,IF(B150&lt;Dashboard!$I$6,IF($J$2&lt;=Dashboard!$H$10,Dashboard!$H$10,MAX(Dashboard!$H$10,MIN($J$2,Dashboard!$H$10*POWER($J$2/Dashboard!$H$10,A150/$D$2)))),$I$2-D150-Dashboard!$I$10-Dashboard!$J$10-Dashboard!$F$10*$I$2)))</f>
        <v>881.8</v>
      </c>
      <c r="F150" s="24">
        <f t="shared" si="23"/>
        <v>0</v>
      </c>
      <c r="G150" s="24">
        <f t="shared" si="24"/>
        <v>0</v>
      </c>
      <c r="H150" s="24">
        <f t="shared" si="25"/>
        <v>0</v>
      </c>
      <c r="I150" s="24">
        <f t="shared" si="26"/>
        <v>881.8</v>
      </c>
      <c r="J150" s="25">
        <f t="shared" si="27"/>
        <v>7.9741404289037643E-3</v>
      </c>
      <c r="K150" s="24">
        <f t="shared" si="32"/>
        <v>516155.98761270673</v>
      </c>
      <c r="L150" s="24" t="str">
        <f t="shared" si="28"/>
        <v/>
      </c>
      <c r="M150" s="24">
        <f t="shared" si="29"/>
        <v>1397.7668598618711</v>
      </c>
      <c r="N150" s="24">
        <f>IF(M150&lt;=0,0,IF($E$2-A150&lt;12,(M150-E150)*Dashboard!$B$18,IF($Q$2+A150&gt;=$R$2,MAX(0,M150-E150*POWER(1+$C$2,$E$2-A150))*MAX(Dashboard!$C$18,Dashboard!$B$18),IF($S$2&lt;$R$2,(M150-E150)*0.5*Dashboard!$B$18,(E150*POWER(1+$A$2,$R$2-($Q$2+A150))-E150)*0.5*Dashboard!$B$18+MAX(0,M150-E150*POWER(1+$A$2,$R$2-($Q$2+A150))*POWER(1+$C$2,$S$2-$R$2))*MAX(Dashboard!$C$18,Dashboard!$B$18)))))</f>
        <v>189.96860946288248</v>
      </c>
    </row>
    <row r="151" spans="1:14" x14ac:dyDescent="0.2">
      <c r="A151" s="22">
        <f t="shared" si="30"/>
        <v>146</v>
      </c>
      <c r="B151" s="23">
        <f t="shared" si="31"/>
        <v>30.221461187214437</v>
      </c>
      <c r="C151" t="str">
        <f t="shared" si="22"/>
        <v>30 y 2.66 m</v>
      </c>
      <c r="D151" s="24">
        <f>IF(A151&gt;=$E$2,IF(A151&lt;$E$2+$H$2,$P$2,0),IF(B151&lt;Dashboard!$I$6,0,IF(A151&gt;=$F$2,Dashboard!$C$22*POWER(1+$C$2,A151-$F$2),Dashboard!$C$22)))</f>
        <v>6000</v>
      </c>
      <c r="E151" s="24">
        <f>IF(A151&gt;=$F$2,0,IF(A151=0,Dashboard!$G$10,IF(B151&lt;Dashboard!$I$6,IF($J$2&lt;=Dashboard!$H$10,Dashboard!$H$10,MAX(Dashboard!$H$10,MIN($J$2,Dashboard!$H$10*POWER($J$2/Dashboard!$H$10,A151/$D$2)))),$I$2-D151-Dashboard!$I$10-Dashboard!$J$10-Dashboard!$F$10*$I$2)))</f>
        <v>881.8</v>
      </c>
      <c r="F151" s="24">
        <f t="shared" si="23"/>
        <v>0</v>
      </c>
      <c r="G151" s="24">
        <f t="shared" si="24"/>
        <v>0</v>
      </c>
      <c r="H151" s="24">
        <f t="shared" si="25"/>
        <v>0</v>
      </c>
      <c r="I151" s="24">
        <f t="shared" si="26"/>
        <v>881.8</v>
      </c>
      <c r="J151" s="25">
        <f t="shared" si="27"/>
        <v>7.9741404289037643E-3</v>
      </c>
      <c r="K151" s="24">
        <f t="shared" si="32"/>
        <v>521160.71953818016</v>
      </c>
      <c r="L151" s="24" t="str">
        <f t="shared" si="28"/>
        <v/>
      </c>
      <c r="M151" s="24">
        <f t="shared" si="29"/>
        <v>1386.7090471855818</v>
      </c>
      <c r="N151" s="24">
        <f>IF(M151&lt;=0,0,IF($E$2-A151&lt;12,(M151-E151)*Dashboard!$B$18,IF($Q$2+A151&gt;=$R$2,MAX(0,M151-E151*POWER(1+$C$2,$E$2-A151))*MAX(Dashboard!$C$18,Dashboard!$B$18),IF($S$2&lt;$R$2,(M151-E151)*0.5*Dashboard!$B$18,(E151*POWER(1+$A$2,$R$2-($Q$2+A151))-E151)*0.5*Dashboard!$B$18+MAX(0,M151-E151*POWER(1+$A$2,$R$2-($Q$2+A151))*POWER(1+$C$2,$S$2-$R$2))*MAX(Dashboard!$C$18,Dashboard!$B$18)))))</f>
        <v>185.73136628812131</v>
      </c>
    </row>
    <row r="152" spans="1:14" x14ac:dyDescent="0.2">
      <c r="A152" s="22">
        <f t="shared" si="30"/>
        <v>147</v>
      </c>
      <c r="B152" s="23">
        <f t="shared" si="31"/>
        <v>30.30479452054777</v>
      </c>
      <c r="C152" t="str">
        <f t="shared" si="22"/>
        <v>30 y 3.66 m</v>
      </c>
      <c r="D152" s="24">
        <f>IF(A152&gt;=$E$2,IF(A152&lt;$E$2+$H$2,$P$2,0),IF(B152&lt;Dashboard!$I$6,0,IF(A152&gt;=$F$2,Dashboard!$C$22*POWER(1+$C$2,A152-$F$2),Dashboard!$C$22)))</f>
        <v>6000</v>
      </c>
      <c r="E152" s="24">
        <f>IF(A152&gt;=$F$2,0,IF(A152=0,Dashboard!$G$10,IF(B152&lt;Dashboard!$I$6,IF($J$2&lt;=Dashboard!$H$10,Dashboard!$H$10,MAX(Dashboard!$H$10,MIN($J$2,Dashboard!$H$10*POWER($J$2/Dashboard!$H$10,A152/$D$2)))),$I$2-D152-Dashboard!$I$10-Dashboard!$J$10-Dashboard!$F$10*$I$2)))</f>
        <v>881.8</v>
      </c>
      <c r="F152" s="24">
        <f t="shared" si="23"/>
        <v>0</v>
      </c>
      <c r="G152" s="24">
        <f t="shared" si="24"/>
        <v>0</v>
      </c>
      <c r="H152" s="24">
        <f t="shared" si="25"/>
        <v>0</v>
      </c>
      <c r="I152" s="24">
        <f t="shared" si="26"/>
        <v>881.8</v>
      </c>
      <c r="J152" s="25">
        <f t="shared" si="27"/>
        <v>7.9741404289037643E-3</v>
      </c>
      <c r="K152" s="24">
        <f t="shared" si="32"/>
        <v>526205.35989883635</v>
      </c>
      <c r="L152" s="24" t="str">
        <f t="shared" si="28"/>
        <v/>
      </c>
      <c r="M152" s="24">
        <f t="shared" si="29"/>
        <v>1375.7387134907276</v>
      </c>
      <c r="N152" s="24">
        <f>IF(M152&lt;=0,0,IF($E$2-A152&lt;12,(M152-E152)*Dashboard!$B$18,IF($Q$2+A152&gt;=$R$2,MAX(0,M152-E152*POWER(1+$C$2,$E$2-A152))*MAX(Dashboard!$C$18,Dashboard!$B$18),IF($S$2&lt;$R$2,(M152-E152)*0.5*Dashboard!$B$18,(E152*POWER(1+$A$2,$R$2-($Q$2+A152))-E152)*0.5*Dashboard!$B$18+MAX(0,M152-E152*POWER(1+$A$2,$R$2-($Q$2+A152))*POWER(1+$C$2,$S$2-$R$2))*MAX(Dashboard!$C$18,Dashboard!$B$18)))))</f>
        <v>181.53326500304487</v>
      </c>
    </row>
    <row r="153" spans="1:14" x14ac:dyDescent="0.2">
      <c r="A153" s="22">
        <f t="shared" si="30"/>
        <v>148</v>
      </c>
      <c r="B153" s="23">
        <f t="shared" si="31"/>
        <v>30.388127853881102</v>
      </c>
      <c r="C153" t="str">
        <f t="shared" si="22"/>
        <v>30 y 4.66 m</v>
      </c>
      <c r="D153" s="24">
        <f>IF(A153&gt;=$E$2,IF(A153&lt;$E$2+$H$2,$P$2,0),IF(B153&lt;Dashboard!$I$6,0,IF(A153&gt;=$F$2,Dashboard!$C$22*POWER(1+$C$2,A153-$F$2),Dashboard!$C$22)))</f>
        <v>6000</v>
      </c>
      <c r="E153" s="24">
        <f>IF(A153&gt;=$F$2,0,IF(A153=0,Dashboard!$G$10,IF(B153&lt;Dashboard!$I$6,IF($J$2&lt;=Dashboard!$H$10,Dashboard!$H$10,MAX(Dashboard!$H$10,MIN($J$2,Dashboard!$H$10*POWER($J$2/Dashboard!$H$10,A153/$D$2)))),$I$2-D153-Dashboard!$I$10-Dashboard!$J$10-Dashboard!$F$10*$I$2)))</f>
        <v>881.8</v>
      </c>
      <c r="F153" s="24">
        <f t="shared" si="23"/>
        <v>0</v>
      </c>
      <c r="G153" s="24">
        <f t="shared" si="24"/>
        <v>0</v>
      </c>
      <c r="H153" s="24">
        <f t="shared" si="25"/>
        <v>0</v>
      </c>
      <c r="I153" s="24">
        <f t="shared" si="26"/>
        <v>881.8</v>
      </c>
      <c r="J153" s="25">
        <f t="shared" si="27"/>
        <v>7.9741404289037643E-3</v>
      </c>
      <c r="K153" s="24">
        <f t="shared" si="32"/>
        <v>531290.2269301418</v>
      </c>
      <c r="L153" s="24" t="str">
        <f t="shared" si="28"/>
        <v/>
      </c>
      <c r="M153" s="24">
        <f t="shared" si="29"/>
        <v>1364.8551667261381</v>
      </c>
      <c r="N153" s="24">
        <f>IF(M153&lt;=0,0,IF($E$2-A153&lt;12,(M153-E153)*Dashboard!$B$18,IF($Q$2+A153&gt;=$R$2,MAX(0,M153-E153*POWER(1+$C$2,$E$2-A153))*MAX(Dashboard!$C$18,Dashboard!$B$18),IF($S$2&lt;$R$2,(M153-E153)*0.5*Dashboard!$B$18,(E153*POWER(1+$A$2,$R$2-($Q$2+A153))-E153)*0.5*Dashboard!$B$18+MAX(0,M153-E153*POWER(1+$A$2,$R$2-($Q$2+A153))*POWER(1+$C$2,$S$2-$R$2))*MAX(Dashboard!$C$18,Dashboard!$B$18)))))</f>
        <v>177.37398439978188</v>
      </c>
    </row>
    <row r="154" spans="1:14" x14ac:dyDescent="0.2">
      <c r="A154" s="22">
        <f t="shared" si="30"/>
        <v>149</v>
      </c>
      <c r="B154" s="23">
        <f t="shared" si="31"/>
        <v>30.471461187214434</v>
      </c>
      <c r="C154" t="str">
        <f t="shared" si="22"/>
        <v>30 y 5.66 m</v>
      </c>
      <c r="D154" s="24">
        <f>IF(A154&gt;=$E$2,IF(A154&lt;$E$2+$H$2,$P$2,0),IF(B154&lt;Dashboard!$I$6,0,IF(A154&gt;=$F$2,Dashboard!$C$22*POWER(1+$C$2,A154-$F$2),Dashboard!$C$22)))</f>
        <v>6000</v>
      </c>
      <c r="E154" s="24">
        <f>IF(A154&gt;=$F$2,0,IF(A154=0,Dashboard!$G$10,IF(B154&lt;Dashboard!$I$6,IF($J$2&lt;=Dashboard!$H$10,Dashboard!$H$10,MAX(Dashboard!$H$10,MIN($J$2,Dashboard!$H$10*POWER($J$2/Dashboard!$H$10,A154/$D$2)))),$I$2-D154-Dashboard!$I$10-Dashboard!$J$10-Dashboard!$F$10*$I$2)))</f>
        <v>881.8</v>
      </c>
      <c r="F154" s="24">
        <f t="shared" si="23"/>
        <v>0</v>
      </c>
      <c r="G154" s="24">
        <f t="shared" si="24"/>
        <v>0</v>
      </c>
      <c r="H154" s="24">
        <f t="shared" si="25"/>
        <v>0</v>
      </c>
      <c r="I154" s="24">
        <f t="shared" si="26"/>
        <v>881.8</v>
      </c>
      <c r="J154" s="25">
        <f t="shared" si="27"/>
        <v>7.9741404289037643E-3</v>
      </c>
      <c r="K154" s="24">
        <f t="shared" si="32"/>
        <v>536415.64140521712</v>
      </c>
      <c r="L154" s="24" t="str">
        <f t="shared" si="28"/>
        <v/>
      </c>
      <c r="M154" s="24">
        <f t="shared" si="29"/>
        <v>1354.057720315501</v>
      </c>
      <c r="N154" s="24">
        <f>IF(M154&lt;=0,0,IF($E$2-A154&lt;12,(M154-E154)*Dashboard!$B$18,IF($Q$2+A154&gt;=$R$2,MAX(0,M154-E154*POWER(1+$C$2,$E$2-A154))*MAX(Dashboard!$C$18,Dashboard!$B$18),IF($S$2&lt;$R$2,(M154-E154)*0.5*Dashboard!$B$18,(E154*POWER(1+$A$2,$R$2-($Q$2+A154))-E154)*0.5*Dashboard!$B$18+MAX(0,M154-E154*POWER(1+$A$2,$R$2-($Q$2+A154))*POWER(1+$C$2,$S$2-$R$2))*MAX(Dashboard!$C$18,Dashboard!$B$18)))))</f>
        <v>173.2532058353066</v>
      </c>
    </row>
    <row r="155" spans="1:14" x14ac:dyDescent="0.2">
      <c r="A155" s="22">
        <f t="shared" si="30"/>
        <v>150</v>
      </c>
      <c r="B155" s="23">
        <f t="shared" si="31"/>
        <v>30.554794520547766</v>
      </c>
      <c r="C155" t="str">
        <f t="shared" si="22"/>
        <v>30 y 6.66 m</v>
      </c>
      <c r="D155" s="24">
        <f>IF(A155&gt;=$E$2,IF(A155&lt;$E$2+$H$2,$P$2,0),IF(B155&lt;Dashboard!$I$6,0,IF(A155&gt;=$F$2,Dashboard!$C$22*POWER(1+$C$2,A155-$F$2),Dashboard!$C$22)))</f>
        <v>6000</v>
      </c>
      <c r="E155" s="24">
        <f>IF(A155&gt;=$F$2,0,IF(A155=0,Dashboard!$G$10,IF(B155&lt;Dashboard!$I$6,IF($J$2&lt;=Dashboard!$H$10,Dashboard!$H$10,MAX(Dashboard!$H$10,MIN($J$2,Dashboard!$H$10*POWER($J$2/Dashboard!$H$10,A155/$D$2)))),$I$2-D155-Dashboard!$I$10-Dashboard!$J$10-Dashboard!$F$10*$I$2)))</f>
        <v>881.8</v>
      </c>
      <c r="F155" s="24">
        <f t="shared" si="23"/>
        <v>0</v>
      </c>
      <c r="G155" s="24">
        <f t="shared" si="24"/>
        <v>0</v>
      </c>
      <c r="H155" s="24">
        <f t="shared" si="25"/>
        <v>0</v>
      </c>
      <c r="I155" s="24">
        <f t="shared" si="26"/>
        <v>881.8</v>
      </c>
      <c r="J155" s="25">
        <f t="shared" si="27"/>
        <v>7.9741404289037643E-3</v>
      </c>
      <c r="K155" s="24">
        <f t="shared" si="32"/>
        <v>541581.92665507307</v>
      </c>
      <c r="L155" s="24" t="str">
        <f t="shared" si="28"/>
        <v/>
      </c>
      <c r="M155" s="24">
        <f t="shared" si="29"/>
        <v>1343.345693114047</v>
      </c>
      <c r="N155" s="24">
        <f>IF(M155&lt;=0,0,IF($E$2-A155&lt;12,(M155-E155)*Dashboard!$B$18,IF($Q$2+A155&gt;=$R$2,MAX(0,M155-E155*POWER(1+$C$2,$E$2-A155))*MAX(Dashboard!$C$18,Dashboard!$B$18),IF($S$2&lt;$R$2,(M155-E155)*0.5*Dashboard!$B$18,(E155*POWER(1+$A$2,$R$2-($Q$2+A155))-E155)*0.5*Dashboard!$B$18+MAX(0,M155-E155*POWER(1+$A$2,$R$2-($Q$2+A155))*POWER(1+$C$2,$S$2-$R$2))*MAX(Dashboard!$C$18,Dashboard!$B$18)))))</f>
        <v>169.17061321109779</v>
      </c>
    </row>
    <row r="156" spans="1:14" x14ac:dyDescent="0.2">
      <c r="A156" s="22">
        <f t="shared" si="30"/>
        <v>151</v>
      </c>
      <c r="B156" s="23">
        <f t="shared" si="31"/>
        <v>30.638127853881098</v>
      </c>
      <c r="C156" t="str">
        <f t="shared" si="22"/>
        <v>30 y 7.66 m</v>
      </c>
      <c r="D156" s="24">
        <f>IF(A156&gt;=$E$2,IF(A156&lt;$E$2+$H$2,$P$2,0),IF(B156&lt;Dashboard!$I$6,0,IF(A156&gt;=$F$2,Dashboard!$C$22*POWER(1+$C$2,A156-$F$2),Dashboard!$C$22)))</f>
        <v>6000</v>
      </c>
      <c r="E156" s="24">
        <f>IF(A156&gt;=$F$2,0,IF(A156=0,Dashboard!$G$10,IF(B156&lt;Dashboard!$I$6,IF($J$2&lt;=Dashboard!$H$10,Dashboard!$H$10,MAX(Dashboard!$H$10,MIN($J$2,Dashboard!$H$10*POWER($J$2/Dashboard!$H$10,A156/$D$2)))),$I$2-D156-Dashboard!$I$10-Dashboard!$J$10-Dashboard!$F$10*$I$2)))</f>
        <v>881.8</v>
      </c>
      <c r="F156" s="24">
        <f t="shared" si="23"/>
        <v>0</v>
      </c>
      <c r="G156" s="24">
        <f t="shared" si="24"/>
        <v>0</v>
      </c>
      <c r="H156" s="24">
        <f t="shared" si="25"/>
        <v>0</v>
      </c>
      <c r="I156" s="24">
        <f t="shared" si="26"/>
        <v>881.8</v>
      </c>
      <c r="J156" s="25">
        <f t="shared" si="27"/>
        <v>7.9741404289037643E-3</v>
      </c>
      <c r="K156" s="24">
        <f t="shared" si="32"/>
        <v>546789.4085890071</v>
      </c>
      <c r="L156" s="24" t="str">
        <f t="shared" si="28"/>
        <v/>
      </c>
      <c r="M156" s="24">
        <f t="shared" si="29"/>
        <v>1332.7184093655801</v>
      </c>
      <c r="N156" s="24">
        <f>IF(M156&lt;=0,0,IF($E$2-A156&lt;12,(M156-E156)*Dashboard!$B$18,IF($Q$2+A156&gt;=$R$2,MAX(0,M156-E156*POWER(1+$C$2,$E$2-A156))*MAX(Dashboard!$C$18,Dashboard!$B$18),IF($S$2&lt;$R$2,(M156-E156)*0.5*Dashboard!$B$18,(E156*POWER(1+$A$2,$R$2-($Q$2+A156))-E156)*0.5*Dashboard!$B$18+MAX(0,M156-E156*POWER(1+$A$2,$R$2-($Q$2+A156))*POWER(1+$C$2,$S$2-$R$2))*MAX(Dashboard!$C$18,Dashboard!$B$18)))))</f>
        <v>165.12589295295976</v>
      </c>
    </row>
    <row r="157" spans="1:14" x14ac:dyDescent="0.2">
      <c r="A157" s="22">
        <f t="shared" si="30"/>
        <v>152</v>
      </c>
      <c r="B157" s="23">
        <f t="shared" si="31"/>
        <v>30.72146118721443</v>
      </c>
      <c r="C157" t="str">
        <f t="shared" si="22"/>
        <v>30 y 8.66 m</v>
      </c>
      <c r="D157" s="24">
        <f>IF(A157&gt;=$E$2,IF(A157&lt;$E$2+$H$2,$P$2,0),IF(B157&lt;Dashboard!$I$6,0,IF(A157&gt;=$F$2,Dashboard!$C$22*POWER(1+$C$2,A157-$F$2),Dashboard!$C$22)))</f>
        <v>6000</v>
      </c>
      <c r="E157" s="24">
        <f>IF(A157&gt;=$F$2,0,IF(A157=0,Dashboard!$G$10,IF(B157&lt;Dashboard!$I$6,IF($J$2&lt;=Dashboard!$H$10,Dashboard!$H$10,MAX(Dashboard!$H$10,MIN($J$2,Dashboard!$H$10*POWER($J$2/Dashboard!$H$10,A157/$D$2)))),$I$2-D157-Dashboard!$I$10-Dashboard!$J$10-Dashboard!$F$10*$I$2)))</f>
        <v>881.8</v>
      </c>
      <c r="F157" s="24">
        <f t="shared" si="23"/>
        <v>0</v>
      </c>
      <c r="G157" s="24">
        <f t="shared" si="24"/>
        <v>0</v>
      </c>
      <c r="H157" s="24">
        <f t="shared" si="25"/>
        <v>0</v>
      </c>
      <c r="I157" s="24">
        <f t="shared" si="26"/>
        <v>881.8</v>
      </c>
      <c r="J157" s="25">
        <f t="shared" si="27"/>
        <v>7.9741404289037643E-3</v>
      </c>
      <c r="K157" s="24">
        <f t="shared" si="32"/>
        <v>552038.41571516334</v>
      </c>
      <c r="L157" s="24" t="str">
        <f t="shared" si="28"/>
        <v/>
      </c>
      <c r="M157" s="24">
        <f t="shared" si="29"/>
        <v>1322.1751986598529</v>
      </c>
      <c r="N157" s="24">
        <f>IF(M157&lt;=0,0,IF($E$2-A157&lt;12,(M157-E157)*Dashboard!$B$18,IF($Q$2+A157&gt;=$R$2,MAX(0,M157-E157*POWER(1+$C$2,$E$2-A157))*MAX(Dashboard!$C$18,Dashboard!$B$18),IF($S$2&lt;$R$2,(M157-E157)*0.5*Dashboard!$B$18,(E157*POWER(1+$A$2,$R$2-($Q$2+A157))-E157)*0.5*Dashboard!$B$18+MAX(0,M157-E157*POWER(1+$A$2,$R$2-($Q$2+A157))*POWER(1+$C$2,$S$2-$R$2))*MAX(Dashboard!$C$18,Dashboard!$B$18)))))</f>
        <v>161.11873399100674</v>
      </c>
    </row>
    <row r="158" spans="1:14" x14ac:dyDescent="0.2">
      <c r="A158" s="22">
        <f t="shared" si="30"/>
        <v>153</v>
      </c>
      <c r="B158" s="23">
        <f t="shared" si="31"/>
        <v>30.804794520547762</v>
      </c>
      <c r="C158" t="str">
        <f t="shared" si="22"/>
        <v>30 y 9.66 m</v>
      </c>
      <c r="D158" s="24">
        <f>IF(A158&gt;=$E$2,IF(A158&lt;$E$2+$H$2,$P$2,0),IF(B158&lt;Dashboard!$I$6,0,IF(A158&gt;=$F$2,Dashboard!$C$22*POWER(1+$C$2,A158-$F$2),Dashboard!$C$22)))</f>
        <v>6000</v>
      </c>
      <c r="E158" s="24">
        <f>IF(A158&gt;=$F$2,0,IF(A158=0,Dashboard!$G$10,IF(B158&lt;Dashboard!$I$6,IF($J$2&lt;=Dashboard!$H$10,Dashboard!$H$10,MAX(Dashboard!$H$10,MIN($J$2,Dashboard!$H$10*POWER($J$2/Dashboard!$H$10,A158/$D$2)))),$I$2-D158-Dashboard!$I$10-Dashboard!$J$10-Dashboard!$F$10*$I$2)))</f>
        <v>881.8</v>
      </c>
      <c r="F158" s="24">
        <f t="shared" si="23"/>
        <v>0</v>
      </c>
      <c r="G158" s="24">
        <f t="shared" si="24"/>
        <v>0</v>
      </c>
      <c r="H158" s="24">
        <f t="shared" si="25"/>
        <v>0</v>
      </c>
      <c r="I158" s="24">
        <f t="shared" si="26"/>
        <v>881.8</v>
      </c>
      <c r="J158" s="25">
        <f t="shared" si="27"/>
        <v>7.9741404289037643E-3</v>
      </c>
      <c r="K158" s="24">
        <f t="shared" si="32"/>
        <v>557329.27916125581</v>
      </c>
      <c r="L158" s="24" t="str">
        <f t="shared" si="28"/>
        <v/>
      </c>
      <c r="M158" s="24">
        <f t="shared" si="29"/>
        <v>1311.7153958902691</v>
      </c>
      <c r="N158" s="24">
        <f>IF(M158&lt;=0,0,IF($E$2-A158&lt;12,(M158-E158)*Dashboard!$B$18,IF($Q$2+A158&gt;=$R$2,MAX(0,M158-E158*POWER(1+$C$2,$E$2-A158))*MAX(Dashboard!$C$18,Dashboard!$B$18),IF($S$2&lt;$R$2,(M158-E158)*0.5*Dashboard!$B$18,(E158*POWER(1+$A$2,$R$2-($Q$2+A158))-E158)*0.5*Dashboard!$B$18+MAX(0,M158-E158*POWER(1+$A$2,$R$2-($Q$2+A158))*POWER(1+$C$2,$S$2-$R$2))*MAX(Dashboard!$C$18,Dashboard!$B$18)))))</f>
        <v>157.14882773979852</v>
      </c>
    </row>
    <row r="159" spans="1:14" x14ac:dyDescent="0.2">
      <c r="A159" s="22">
        <f t="shared" si="30"/>
        <v>154</v>
      </c>
      <c r="B159" s="23">
        <f t="shared" si="31"/>
        <v>30.888127853881095</v>
      </c>
      <c r="C159" t="str">
        <f t="shared" si="22"/>
        <v>30 y 10.66 m</v>
      </c>
      <c r="D159" s="24">
        <f>IF(A159&gt;=$E$2,IF(A159&lt;$E$2+$H$2,$P$2,0),IF(B159&lt;Dashboard!$I$6,0,IF(A159&gt;=$F$2,Dashboard!$C$22*POWER(1+$C$2,A159-$F$2),Dashboard!$C$22)))</f>
        <v>6000</v>
      </c>
      <c r="E159" s="24">
        <f>IF(A159&gt;=$F$2,0,IF(A159=0,Dashboard!$G$10,IF(B159&lt;Dashboard!$I$6,IF($J$2&lt;=Dashboard!$H$10,Dashboard!$H$10,MAX(Dashboard!$H$10,MIN($J$2,Dashboard!$H$10*POWER($J$2/Dashboard!$H$10,A159/$D$2)))),$I$2-D159-Dashboard!$I$10-Dashboard!$J$10-Dashboard!$F$10*$I$2)))</f>
        <v>881.8</v>
      </c>
      <c r="F159" s="24">
        <f t="shared" si="23"/>
        <v>0</v>
      </c>
      <c r="G159" s="24">
        <f t="shared" si="24"/>
        <v>0</v>
      </c>
      <c r="H159" s="24">
        <f t="shared" si="25"/>
        <v>0</v>
      </c>
      <c r="I159" s="24">
        <f t="shared" si="26"/>
        <v>881.8</v>
      </c>
      <c r="J159" s="25">
        <f t="shared" si="27"/>
        <v>7.9741404289037643E-3</v>
      </c>
      <c r="K159" s="24">
        <f t="shared" si="32"/>
        <v>562662.33269545762</v>
      </c>
      <c r="L159" s="24" t="str">
        <f t="shared" si="28"/>
        <v/>
      </c>
      <c r="M159" s="24">
        <f t="shared" si="29"/>
        <v>1301.3383412119283</v>
      </c>
      <c r="N159" s="24">
        <f>IF(M159&lt;=0,0,IF($E$2-A159&lt;12,(M159-E159)*Dashboard!$B$18,IF($Q$2+A159&gt;=$R$2,MAX(0,M159-E159*POWER(1+$C$2,$E$2-A159))*MAX(Dashboard!$C$18,Dashboard!$B$18),IF($S$2&lt;$R$2,(M159-E159)*0.5*Dashboard!$B$18,(E159*POWER(1+$A$2,$R$2-($Q$2+A159))-E159)*0.5*Dashboard!$B$18+MAX(0,M159-E159*POWER(1+$A$2,$R$2-($Q$2+A159))*POWER(1+$C$2,$S$2-$R$2))*MAX(Dashboard!$C$18,Dashboard!$B$18)))))</f>
        <v>153.21586807864028</v>
      </c>
    </row>
    <row r="160" spans="1:14" x14ac:dyDescent="0.2">
      <c r="A160" s="22">
        <f t="shared" si="30"/>
        <v>155</v>
      </c>
      <c r="B160" s="23">
        <f t="shared" si="31"/>
        <v>30.971461187214427</v>
      </c>
      <c r="C160" t="str">
        <f t="shared" si="22"/>
        <v>30 y 11.66 m</v>
      </c>
      <c r="D160" s="24">
        <f>IF(A160&gt;=$E$2,IF(A160&lt;$E$2+$H$2,$P$2,0),IF(B160&lt;Dashboard!$I$6,0,IF(A160&gt;=$F$2,Dashboard!$C$22*POWER(1+$C$2,A160-$F$2),Dashboard!$C$22)))</f>
        <v>6000</v>
      </c>
      <c r="E160" s="24">
        <f>IF(A160&gt;=$F$2,0,IF(A160=0,Dashboard!$G$10,IF(B160&lt;Dashboard!$I$6,IF($J$2&lt;=Dashboard!$H$10,Dashboard!$H$10,MAX(Dashboard!$H$10,MIN($J$2,Dashboard!$H$10*POWER($J$2/Dashboard!$H$10,A160/$D$2)))),$I$2-D160-Dashboard!$I$10-Dashboard!$J$10-Dashboard!$F$10*$I$2)))</f>
        <v>881.8</v>
      </c>
      <c r="F160" s="24">
        <f t="shared" si="23"/>
        <v>0</v>
      </c>
      <c r="G160" s="24">
        <f t="shared" si="24"/>
        <v>0</v>
      </c>
      <c r="H160" s="24">
        <f t="shared" si="25"/>
        <v>0</v>
      </c>
      <c r="I160" s="24">
        <f t="shared" si="26"/>
        <v>881.8</v>
      </c>
      <c r="J160" s="25">
        <f t="shared" si="27"/>
        <v>7.9741404289037643E-3</v>
      </c>
      <c r="K160" s="24">
        <f t="shared" si="32"/>
        <v>568037.91274745599</v>
      </c>
      <c r="L160" s="24" t="str">
        <f t="shared" si="28"/>
        <v/>
      </c>
      <c r="M160" s="24">
        <f t="shared" si="29"/>
        <v>1291.0433800000017</v>
      </c>
      <c r="N160" s="24">
        <f>IF(M160&lt;=0,0,IF($E$2-A160&lt;12,(M160-E160)*Dashboard!$B$18,IF($Q$2+A160&gt;=$R$2,MAX(0,M160-E160*POWER(1+$C$2,$E$2-A160))*MAX(Dashboard!$C$18,Dashboard!$B$18),IF($S$2&lt;$R$2,(M160-E160)*0.5*Dashboard!$B$18,(E160*POWER(1+$A$2,$R$2-($Q$2+A160))-E160)*0.5*Dashboard!$B$18+MAX(0,M160-E160*POWER(1+$A$2,$R$2-($Q$2+A160))*POWER(1+$C$2,$S$2-$R$2))*MAX(Dashboard!$C$18,Dashboard!$B$18)))))</f>
        <v>149.31955133203462</v>
      </c>
    </row>
    <row r="161" spans="1:14" x14ac:dyDescent="0.2">
      <c r="A161" s="22">
        <f t="shared" si="30"/>
        <v>156</v>
      </c>
      <c r="B161" s="23">
        <f t="shared" si="31"/>
        <v>31.054794520547759</v>
      </c>
      <c r="C161" t="str">
        <f t="shared" si="22"/>
        <v>31 y 0.66 m</v>
      </c>
      <c r="D161" s="24">
        <f>IF(A161&gt;=$E$2,IF(A161&lt;$E$2+$H$2,$P$2,0),IF(B161&lt;Dashboard!$I$6,0,IF(A161&gt;=$F$2,Dashboard!$C$22*POWER(1+$C$2,A161-$F$2),Dashboard!$C$22)))</f>
        <v>6000</v>
      </c>
      <c r="E161" s="24">
        <f>IF(A161&gt;=$F$2,0,IF(A161=0,Dashboard!$G$10,IF(B161&lt;Dashboard!$I$6,IF($J$2&lt;=Dashboard!$H$10,Dashboard!$H$10,MAX(Dashboard!$H$10,MIN($J$2,Dashboard!$H$10*POWER($J$2/Dashboard!$H$10,A161/$D$2)))),$I$2-D161-Dashboard!$I$10-Dashboard!$J$10-Dashboard!$F$10*$I$2)))</f>
        <v>881.8</v>
      </c>
      <c r="F161" s="24">
        <f t="shared" si="23"/>
        <v>0</v>
      </c>
      <c r="G161" s="24">
        <f t="shared" si="24"/>
        <v>0</v>
      </c>
      <c r="H161" s="24">
        <f t="shared" si="25"/>
        <v>0</v>
      </c>
      <c r="I161" s="24">
        <f t="shared" si="26"/>
        <v>881.8</v>
      </c>
      <c r="J161" s="25">
        <f t="shared" si="27"/>
        <v>7.9741404289037643E-3</v>
      </c>
      <c r="K161" s="24">
        <f t="shared" si="32"/>
        <v>573456.35842967581</v>
      </c>
      <c r="L161" s="24" t="str">
        <f t="shared" si="28"/>
        <v/>
      </c>
      <c r="M161" s="24">
        <f t="shared" si="29"/>
        <v>1280.8298628084335</v>
      </c>
      <c r="N161" s="24">
        <f>IF(M161&lt;=0,0,IF($E$2-A161&lt;12,(M161-E161)*Dashboard!$B$18,IF($Q$2+A161&gt;=$R$2,MAX(0,M161-E161*POWER(1+$C$2,$E$2-A161))*MAX(Dashboard!$C$18,Dashboard!$B$18),IF($S$2&lt;$R$2,(M161-E161)*0.5*Dashboard!$B$18,(E161*POWER(1+$A$2,$R$2-($Q$2+A161))-E161)*0.5*Dashboard!$B$18+MAX(0,M161-E161*POWER(1+$A$2,$R$2-($Q$2+A161))*POWER(1+$C$2,$S$2-$R$2))*MAX(Dashboard!$C$18,Dashboard!$B$18)))))</f>
        <v>145.45957625028927</v>
      </c>
    </row>
    <row r="162" spans="1:14" x14ac:dyDescent="0.2">
      <c r="A162" s="22">
        <f t="shared" si="30"/>
        <v>157</v>
      </c>
      <c r="B162" s="23">
        <f t="shared" si="31"/>
        <v>31.138127853881091</v>
      </c>
      <c r="C162" t="str">
        <f t="shared" si="22"/>
        <v>31 y 1.66 m</v>
      </c>
      <c r="D162" s="24">
        <f>IF(A162&gt;=$E$2,IF(A162&lt;$E$2+$H$2,$P$2,0),IF(B162&lt;Dashboard!$I$6,0,IF(A162&gt;=$F$2,Dashboard!$C$22*POWER(1+$C$2,A162-$F$2),Dashboard!$C$22)))</f>
        <v>6000</v>
      </c>
      <c r="E162" s="24">
        <f>IF(A162&gt;=$F$2,0,IF(A162=0,Dashboard!$G$10,IF(B162&lt;Dashboard!$I$6,IF($J$2&lt;=Dashboard!$H$10,Dashboard!$H$10,MAX(Dashboard!$H$10,MIN($J$2,Dashboard!$H$10*POWER($J$2/Dashboard!$H$10,A162/$D$2)))),$I$2-D162-Dashboard!$I$10-Dashboard!$J$10-Dashboard!$F$10*$I$2)))</f>
        <v>881.8</v>
      </c>
      <c r="F162" s="24">
        <f t="shared" si="23"/>
        <v>0</v>
      </c>
      <c r="G162" s="24">
        <f t="shared" si="24"/>
        <v>0</v>
      </c>
      <c r="H162" s="24">
        <f t="shared" si="25"/>
        <v>0</v>
      </c>
      <c r="I162" s="24">
        <f t="shared" si="26"/>
        <v>881.8</v>
      </c>
      <c r="J162" s="25">
        <f t="shared" si="27"/>
        <v>7.9741404289037643E-3</v>
      </c>
      <c r="K162" s="24">
        <f t="shared" si="32"/>
        <v>578918.01155867206</v>
      </c>
      <c r="L162" s="24" t="str">
        <f t="shared" si="28"/>
        <v/>
      </c>
      <c r="M162" s="24">
        <f t="shared" si="29"/>
        <v>1270.6971453289732</v>
      </c>
      <c r="N162" s="24">
        <f>IF(M162&lt;=0,0,IF($E$2-A162&lt;12,(M162-E162)*Dashboard!$B$18,IF($Q$2+A162&gt;=$R$2,MAX(0,M162-E162*POWER(1+$C$2,$E$2-A162))*MAX(Dashboard!$C$18,Dashboard!$B$18),IF($S$2&lt;$R$2,(M162-E162)*0.5*Dashboard!$B$18,(E162*POWER(1+$A$2,$R$2-($Q$2+A162))-E162)*0.5*Dashboard!$B$18+MAX(0,M162-E162*POWER(1+$A$2,$R$2-($Q$2+A162))*POWER(1+$C$2,$S$2-$R$2))*MAX(Dashboard!$C$18,Dashboard!$B$18)))))</f>
        <v>141.63564399027828</v>
      </c>
    </row>
    <row r="163" spans="1:14" x14ac:dyDescent="0.2">
      <c r="A163" s="22">
        <f t="shared" si="30"/>
        <v>158</v>
      </c>
      <c r="B163" s="23">
        <f t="shared" si="31"/>
        <v>31.221461187214423</v>
      </c>
      <c r="C163" t="str">
        <f t="shared" si="22"/>
        <v>31 y 2.66 m</v>
      </c>
      <c r="D163" s="24">
        <f>IF(A163&gt;=$E$2,IF(A163&lt;$E$2+$H$2,$P$2,0),IF(B163&lt;Dashboard!$I$6,0,IF(A163&gt;=$F$2,Dashboard!$C$22*POWER(1+$C$2,A163-$F$2),Dashboard!$C$22)))</f>
        <v>6000</v>
      </c>
      <c r="E163" s="24">
        <f>IF(A163&gt;=$F$2,0,IF(A163=0,Dashboard!$G$10,IF(B163&lt;Dashboard!$I$6,IF($J$2&lt;=Dashboard!$H$10,Dashboard!$H$10,MAX(Dashboard!$H$10,MIN($J$2,Dashboard!$H$10*POWER($J$2/Dashboard!$H$10,A163/$D$2)))),$I$2-D163-Dashboard!$I$10-Dashboard!$J$10-Dashboard!$F$10*$I$2)))</f>
        <v>881.8</v>
      </c>
      <c r="F163" s="24">
        <f t="shared" si="23"/>
        <v>0</v>
      </c>
      <c r="G163" s="24">
        <f t="shared" si="24"/>
        <v>0</v>
      </c>
      <c r="H163" s="24">
        <f t="shared" si="25"/>
        <v>0</v>
      </c>
      <c r="I163" s="24">
        <f t="shared" si="26"/>
        <v>881.8</v>
      </c>
      <c r="J163" s="25">
        <f t="shared" si="27"/>
        <v>7.9741404289037643E-3</v>
      </c>
      <c r="K163" s="24">
        <f t="shared" si="32"/>
        <v>584423.21667669294</v>
      </c>
      <c r="L163" s="24" t="str">
        <f t="shared" si="28"/>
        <v/>
      </c>
      <c r="M163" s="24">
        <f t="shared" si="29"/>
        <v>1260.6445883505285</v>
      </c>
      <c r="N163" s="24">
        <f>IF(M163&lt;=0,0,IF($E$2-A163&lt;12,(M163-E163)*Dashboard!$B$18,IF($Q$2+A163&gt;=$R$2,MAX(0,M163-E163*POWER(1+$C$2,$E$2-A163))*MAX(Dashboard!$C$18,Dashboard!$B$18),IF($S$2&lt;$R$2,(M163-E163)*0.5*Dashboard!$B$18,(E163*POWER(1+$A$2,$R$2-($Q$2+A163))-E163)*0.5*Dashboard!$B$18+MAX(0,M163-E163*POWER(1+$A$2,$R$2-($Q$2+A163))*POWER(1+$C$2,$S$2-$R$2))*MAX(Dashboard!$C$18,Dashboard!$B$18)))))</f>
        <v>137.8474580963555</v>
      </c>
    </row>
    <row r="164" spans="1:14" x14ac:dyDescent="0.2">
      <c r="A164" s="22">
        <f t="shared" si="30"/>
        <v>159</v>
      </c>
      <c r="B164" s="23">
        <f t="shared" si="31"/>
        <v>31.304794520547755</v>
      </c>
      <c r="C164" t="str">
        <f t="shared" si="22"/>
        <v>31 y 3.66 m</v>
      </c>
      <c r="D164" s="24">
        <f>IF(A164&gt;=$E$2,IF(A164&lt;$E$2+$H$2,$P$2,0),IF(B164&lt;Dashboard!$I$6,0,IF(A164&gt;=$F$2,Dashboard!$C$22*POWER(1+$C$2,A164-$F$2),Dashboard!$C$22)))</f>
        <v>6000</v>
      </c>
      <c r="E164" s="24">
        <f>IF(A164&gt;=$F$2,0,IF(A164=0,Dashboard!$G$10,IF(B164&lt;Dashboard!$I$6,IF($J$2&lt;=Dashboard!$H$10,Dashboard!$H$10,MAX(Dashboard!$H$10,MIN($J$2,Dashboard!$H$10*POWER($J$2/Dashboard!$H$10,A164/$D$2)))),$I$2-D164-Dashboard!$I$10-Dashboard!$J$10-Dashboard!$F$10*$I$2)))</f>
        <v>881.8</v>
      </c>
      <c r="F164" s="24">
        <f t="shared" si="23"/>
        <v>0</v>
      </c>
      <c r="G164" s="24">
        <f t="shared" si="24"/>
        <v>0</v>
      </c>
      <c r="H164" s="24">
        <f t="shared" si="25"/>
        <v>0</v>
      </c>
      <c r="I164" s="24">
        <f t="shared" si="26"/>
        <v>881.8</v>
      </c>
      <c r="J164" s="25">
        <f t="shared" si="27"/>
        <v>7.9741404289037643E-3</v>
      </c>
      <c r="K164" s="24">
        <f t="shared" si="32"/>
        <v>589972.32107341476</v>
      </c>
      <c r="L164" s="24" t="str">
        <f t="shared" si="28"/>
        <v/>
      </c>
      <c r="M164" s="24">
        <f t="shared" si="29"/>
        <v>1250.6715577188427</v>
      </c>
      <c r="N164" s="24">
        <f>IF(M164&lt;=0,0,IF($E$2-A164&lt;12,(M164-E164)*Dashboard!$B$18,IF($Q$2+A164&gt;=$R$2,MAX(0,M164-E164*POWER(1+$C$2,$E$2-A164))*MAX(Dashboard!$C$18,Dashboard!$B$18),IF($S$2&lt;$R$2,(M164-E164)*0.5*Dashboard!$B$18,(E164*POWER(1+$A$2,$R$2-($Q$2+A164))-E164)*0.5*Dashboard!$B$18+MAX(0,M164-E164*POWER(1+$A$2,$R$2-($Q$2+A164))*POWER(1+$C$2,$S$2-$R$2))*MAX(Dashboard!$C$18,Dashboard!$B$18)))))</f>
        <v>134.09472448141923</v>
      </c>
    </row>
    <row r="165" spans="1:14" x14ac:dyDescent="0.2">
      <c r="A165" s="22">
        <f t="shared" si="30"/>
        <v>160</v>
      </c>
      <c r="B165" s="23">
        <f t="shared" si="31"/>
        <v>31.388127853881088</v>
      </c>
      <c r="C165" t="str">
        <f t="shared" si="22"/>
        <v>31 y 4.66 m</v>
      </c>
      <c r="D165" s="24">
        <f>IF(A165&gt;=$E$2,IF(A165&lt;$E$2+$H$2,$P$2,0),IF(B165&lt;Dashboard!$I$6,0,IF(A165&gt;=$F$2,Dashboard!$C$22*POWER(1+$C$2,A165-$F$2),Dashboard!$C$22)))</f>
        <v>6000</v>
      </c>
      <c r="E165" s="24">
        <f>IF(A165&gt;=$F$2,0,IF(A165=0,Dashboard!$G$10,IF(B165&lt;Dashboard!$I$6,IF($J$2&lt;=Dashboard!$H$10,Dashboard!$H$10,MAX(Dashboard!$H$10,MIN($J$2,Dashboard!$H$10*POWER($J$2/Dashboard!$H$10,A165/$D$2)))),$I$2-D165-Dashboard!$I$10-Dashboard!$J$10-Dashboard!$F$10*$I$2)))</f>
        <v>881.8</v>
      </c>
      <c r="F165" s="24">
        <f t="shared" si="23"/>
        <v>0</v>
      </c>
      <c r="G165" s="24">
        <f t="shared" si="24"/>
        <v>0</v>
      </c>
      <c r="H165" s="24">
        <f t="shared" si="25"/>
        <v>0</v>
      </c>
      <c r="I165" s="24">
        <f t="shared" si="26"/>
        <v>881.8</v>
      </c>
      <c r="J165" s="25">
        <f t="shared" si="27"/>
        <v>7.9741404289037643E-3</v>
      </c>
      <c r="K165" s="24">
        <f t="shared" si="32"/>
        <v>595565.67480785074</v>
      </c>
      <c r="L165" s="24" t="str">
        <f t="shared" si="28"/>
        <v/>
      </c>
      <c r="M165" s="24">
        <f t="shared" si="29"/>
        <v>1240.7774242964888</v>
      </c>
      <c r="N165" s="24">
        <f>IF(M165&lt;=0,0,IF($E$2-A165&lt;12,(M165-E165)*Dashboard!$B$18,IF($Q$2+A165&gt;=$R$2,MAX(0,M165-E165*POWER(1+$C$2,$E$2-A165))*MAX(Dashboard!$C$18,Dashboard!$B$18),IF($S$2&lt;$R$2,(M165-E165)*0.5*Dashboard!$B$18,(E165*POWER(1+$A$2,$R$2-($Q$2+A165))-E165)*0.5*Dashboard!$B$18+MAX(0,M165-E165*POWER(1+$A$2,$R$2-($Q$2+A165))*POWER(1+$C$2,$S$2-$R$2))*MAX(Dashboard!$C$18,Dashboard!$B$18)))))</f>
        <v>130.37715140812662</v>
      </c>
    </row>
    <row r="166" spans="1:14" x14ac:dyDescent="0.2">
      <c r="A166" s="22">
        <f t="shared" si="30"/>
        <v>161</v>
      </c>
      <c r="B166" s="23">
        <f t="shared" si="31"/>
        <v>31.47146118721442</v>
      </c>
      <c r="C166" t="str">
        <f t="shared" si="22"/>
        <v>31 y 5.66 m</v>
      </c>
      <c r="D166" s="24">
        <f>IF(A166&gt;=$E$2,IF(A166&lt;$E$2+$H$2,$P$2,0),IF(B166&lt;Dashboard!$I$6,0,IF(A166&gt;=$F$2,Dashboard!$C$22*POWER(1+$C$2,A166-$F$2),Dashboard!$C$22)))</f>
        <v>6000</v>
      </c>
      <c r="E166" s="24">
        <f>IF(A166&gt;=$F$2,0,IF(A166=0,Dashboard!$G$10,IF(B166&lt;Dashboard!$I$6,IF($J$2&lt;=Dashboard!$H$10,Dashboard!$H$10,MAX(Dashboard!$H$10,MIN($J$2,Dashboard!$H$10*POWER($J$2/Dashboard!$H$10,A166/$D$2)))),$I$2-D166-Dashboard!$I$10-Dashboard!$J$10-Dashboard!$F$10*$I$2)))</f>
        <v>881.8</v>
      </c>
      <c r="F166" s="24">
        <f t="shared" si="23"/>
        <v>0</v>
      </c>
      <c r="G166" s="24">
        <f t="shared" si="24"/>
        <v>0</v>
      </c>
      <c r="H166" s="24">
        <f t="shared" si="25"/>
        <v>0</v>
      </c>
      <c r="I166" s="24">
        <f t="shared" si="26"/>
        <v>881.8</v>
      </c>
      <c r="J166" s="25">
        <f t="shared" si="27"/>
        <v>7.9741404289037643E-3</v>
      </c>
      <c r="K166" s="24">
        <f t="shared" si="32"/>
        <v>601203.63073043362</v>
      </c>
      <c r="L166" s="24" t="str">
        <f t="shared" si="28"/>
        <v/>
      </c>
      <c r="M166" s="24">
        <f t="shared" si="29"/>
        <v>1230.9615639231824</v>
      </c>
      <c r="N166" s="24">
        <f>IF(M166&lt;=0,0,IF($E$2-A166&lt;12,(M166-E166)*Dashboard!$B$18,IF($Q$2+A166&gt;=$R$2,MAX(0,M166-E166*POWER(1+$C$2,$E$2-A166))*MAX(Dashboard!$C$18,Dashboard!$B$18),IF($S$2&lt;$R$2,(M166-E166)*0.5*Dashboard!$B$18,(E166*POWER(1+$A$2,$R$2-($Q$2+A166))-E166)*0.5*Dashboard!$B$18+MAX(0,M166-E166*POWER(1+$A$2,$R$2-($Q$2+A166))*POWER(1+$C$2,$S$2-$R$2))*MAX(Dashboard!$C$18,Dashboard!$B$18)))))</f>
        <v>126.69444947025718</v>
      </c>
    </row>
    <row r="167" spans="1:14" x14ac:dyDescent="0.2">
      <c r="A167" s="22">
        <f t="shared" si="30"/>
        <v>162</v>
      </c>
      <c r="B167" s="23">
        <f t="shared" si="31"/>
        <v>31.554794520547752</v>
      </c>
      <c r="C167" t="str">
        <f t="shared" si="22"/>
        <v>31 y 6.66 m</v>
      </c>
      <c r="D167" s="24">
        <f>IF(A167&gt;=$E$2,IF(A167&lt;$E$2+$H$2,$P$2,0),IF(B167&lt;Dashboard!$I$6,0,IF(A167&gt;=$F$2,Dashboard!$C$22*POWER(1+$C$2,A167-$F$2),Dashboard!$C$22)))</f>
        <v>6000</v>
      </c>
      <c r="E167" s="24">
        <f>IF(A167&gt;=$F$2,0,IF(A167=0,Dashboard!$G$10,IF(B167&lt;Dashboard!$I$6,IF($J$2&lt;=Dashboard!$H$10,Dashboard!$H$10,MAX(Dashboard!$H$10,MIN($J$2,Dashboard!$H$10*POWER($J$2/Dashboard!$H$10,A167/$D$2)))),$I$2-D167-Dashboard!$I$10-Dashboard!$J$10-Dashboard!$F$10*$I$2)))</f>
        <v>881.8</v>
      </c>
      <c r="F167" s="24">
        <f t="shared" si="23"/>
        <v>0</v>
      </c>
      <c r="G167" s="24">
        <f t="shared" si="24"/>
        <v>0</v>
      </c>
      <c r="H167" s="24">
        <f t="shared" si="25"/>
        <v>0</v>
      </c>
      <c r="I167" s="24">
        <f t="shared" si="26"/>
        <v>881.8</v>
      </c>
      <c r="J167" s="25">
        <f t="shared" si="27"/>
        <v>7.9741404289037643E-3</v>
      </c>
      <c r="K167" s="24">
        <f t="shared" si="32"/>
        <v>606886.5445052752</v>
      </c>
      <c r="L167" s="24" t="str">
        <f t="shared" si="28"/>
        <v/>
      </c>
      <c r="M167" s="24">
        <f t="shared" si="29"/>
        <v>1221.2233573764056</v>
      </c>
      <c r="N167" s="24">
        <f>IF(M167&lt;=0,0,IF($E$2-A167&lt;12,(M167-E167)*Dashboard!$B$18,IF($Q$2+A167&gt;=$R$2,MAX(0,M167-E167*POWER(1+$C$2,$E$2-A167))*MAX(Dashboard!$C$18,Dashboard!$B$18),IF($S$2&lt;$R$2,(M167-E167)*0.5*Dashboard!$B$18,(E167*POWER(1+$A$2,$R$2-($Q$2+A167))-E167)*0.5*Dashboard!$B$18+MAX(0,M167-E167*POWER(1+$A$2,$R$2-($Q$2+A167))*POWER(1+$C$2,$S$2-$R$2))*MAX(Dashboard!$C$18,Dashboard!$B$18)))))</f>
        <v>123.04633157422278</v>
      </c>
    </row>
    <row r="168" spans="1:14" x14ac:dyDescent="0.2">
      <c r="A168" s="22">
        <f t="shared" si="30"/>
        <v>163</v>
      </c>
      <c r="B168" s="23">
        <f t="shared" si="31"/>
        <v>31.638127853881084</v>
      </c>
      <c r="C168" t="str">
        <f t="shared" si="22"/>
        <v>31 y 7.66 m</v>
      </c>
      <c r="D168" s="24">
        <f>IF(A168&gt;=$E$2,IF(A168&lt;$E$2+$H$2,$P$2,0),IF(B168&lt;Dashboard!$I$6,0,IF(A168&gt;=$F$2,Dashboard!$C$22*POWER(1+$C$2,A168-$F$2),Dashboard!$C$22)))</f>
        <v>6000</v>
      </c>
      <c r="E168" s="24">
        <f>IF(A168&gt;=$F$2,0,IF(A168=0,Dashboard!$G$10,IF(B168&lt;Dashboard!$I$6,IF($J$2&lt;=Dashboard!$H$10,Dashboard!$H$10,MAX(Dashboard!$H$10,MIN($J$2,Dashboard!$H$10*POWER($J$2/Dashboard!$H$10,A168/$D$2)))),$I$2-D168-Dashboard!$I$10-Dashboard!$J$10-Dashboard!$F$10*$I$2)))</f>
        <v>881.8</v>
      </c>
      <c r="F168" s="24">
        <f t="shared" si="23"/>
        <v>0</v>
      </c>
      <c r="G168" s="24">
        <f t="shared" si="24"/>
        <v>0</v>
      </c>
      <c r="H168" s="24">
        <f t="shared" si="25"/>
        <v>0</v>
      </c>
      <c r="I168" s="24">
        <f t="shared" si="26"/>
        <v>881.8</v>
      </c>
      <c r="J168" s="25">
        <f t="shared" si="27"/>
        <v>7.9741404289037643E-3</v>
      </c>
      <c r="K168" s="24">
        <f t="shared" si="32"/>
        <v>612614.7746326027</v>
      </c>
      <c r="L168" s="24" t="str">
        <f t="shared" si="28"/>
        <v/>
      </c>
      <c r="M168" s="24">
        <f t="shared" si="29"/>
        <v>1211.5621903323454</v>
      </c>
      <c r="N168" s="24">
        <f>IF(M168&lt;=0,0,IF($E$2-A168&lt;12,(M168-E168)*Dashboard!$B$18,IF($Q$2+A168&gt;=$R$2,MAX(0,M168-E168*POWER(1+$C$2,$E$2-A168))*MAX(Dashboard!$C$18,Dashboard!$B$18),IF($S$2&lt;$R$2,(M168-E168)*0.5*Dashboard!$B$18,(E168*POWER(1+$A$2,$R$2-($Q$2+A168))-E168)*0.5*Dashboard!$B$18+MAX(0,M168-E168*POWER(1+$A$2,$R$2-($Q$2+A168))*POWER(1+$C$2,$S$2-$R$2))*MAX(Dashboard!$C$18,Dashboard!$B$18)))))</f>
        <v>119.43251292072578</v>
      </c>
    </row>
    <row r="169" spans="1:14" x14ac:dyDescent="0.2">
      <c r="A169" s="22">
        <f t="shared" si="30"/>
        <v>164</v>
      </c>
      <c r="B169" s="23">
        <f t="shared" si="31"/>
        <v>31.721461187214416</v>
      </c>
      <c r="C169" t="str">
        <f t="shared" si="22"/>
        <v>31 y 8.66 m</v>
      </c>
      <c r="D169" s="24">
        <f>IF(A169&gt;=$E$2,IF(A169&lt;$E$2+$H$2,$P$2,0),IF(B169&lt;Dashboard!$I$6,0,IF(A169&gt;=$F$2,Dashboard!$C$22*POWER(1+$C$2,A169-$F$2),Dashboard!$C$22)))</f>
        <v>6000</v>
      </c>
      <c r="E169" s="24">
        <f>IF(A169&gt;=$F$2,0,IF(A169=0,Dashboard!$G$10,IF(B169&lt;Dashboard!$I$6,IF($J$2&lt;=Dashboard!$H$10,Dashboard!$H$10,MAX(Dashboard!$H$10,MIN($J$2,Dashboard!$H$10*POWER($J$2/Dashboard!$H$10,A169/$D$2)))),$I$2-D169-Dashboard!$I$10-Dashboard!$J$10-Dashboard!$F$10*$I$2)))</f>
        <v>881.8</v>
      </c>
      <c r="F169" s="24">
        <f t="shared" si="23"/>
        <v>0</v>
      </c>
      <c r="G169" s="24">
        <f t="shared" si="24"/>
        <v>0</v>
      </c>
      <c r="H169" s="24">
        <f t="shared" si="25"/>
        <v>0</v>
      </c>
      <c r="I169" s="24">
        <f t="shared" si="26"/>
        <v>881.8</v>
      </c>
      <c r="J169" s="25">
        <f t="shared" si="27"/>
        <v>7.9741404289037643E-3</v>
      </c>
      <c r="K169" s="24">
        <f t="shared" si="32"/>
        <v>618388.68247137452</v>
      </c>
      <c r="L169" s="24" t="str">
        <f t="shared" si="28"/>
        <v/>
      </c>
      <c r="M169" s="24">
        <f t="shared" si="29"/>
        <v>1201.9774533271384</v>
      </c>
      <c r="N169" s="24">
        <f>IF(M169&lt;=0,0,IF($E$2-A169&lt;12,(M169-E169)*Dashboard!$B$18,IF($Q$2+A169&gt;=$R$2,MAX(0,M169-E169*POWER(1+$C$2,$E$2-A169))*MAX(Dashboard!$C$18,Dashboard!$B$18),IF($S$2&lt;$R$2,(M169-E169)*0.5*Dashboard!$B$18,(E169*POWER(1+$A$2,$R$2-($Q$2+A169))-E169)*0.5*Dashboard!$B$18+MAX(0,M169-E169*POWER(1+$A$2,$R$2-($Q$2+A169))*POWER(1+$C$2,$S$2-$R$2))*MAX(Dashboard!$C$18,Dashboard!$B$18)))))</f>
        <v>115.85271098656</v>
      </c>
    </row>
    <row r="170" spans="1:14" x14ac:dyDescent="0.2">
      <c r="A170" s="22">
        <f t="shared" si="30"/>
        <v>165</v>
      </c>
      <c r="B170" s="23">
        <f t="shared" si="31"/>
        <v>31.804794520547748</v>
      </c>
      <c r="C170" t="str">
        <f t="shared" si="22"/>
        <v>31 y 9.66 m</v>
      </c>
      <c r="D170" s="24">
        <f>IF(A170&gt;=$E$2,IF(A170&lt;$E$2+$H$2,$P$2,0),IF(B170&lt;Dashboard!$I$6,0,IF(A170&gt;=$F$2,Dashboard!$C$22*POWER(1+$C$2,A170-$F$2),Dashboard!$C$22)))</f>
        <v>6000</v>
      </c>
      <c r="E170" s="24">
        <f>IF(A170&gt;=$F$2,0,IF(A170=0,Dashboard!$G$10,IF(B170&lt;Dashboard!$I$6,IF($J$2&lt;=Dashboard!$H$10,Dashboard!$H$10,MAX(Dashboard!$H$10,MIN($J$2,Dashboard!$H$10*POWER($J$2/Dashboard!$H$10,A170/$D$2)))),$I$2-D170-Dashboard!$I$10-Dashboard!$J$10-Dashboard!$F$10*$I$2)))</f>
        <v>881.8</v>
      </c>
      <c r="F170" s="24">
        <f t="shared" si="23"/>
        <v>0</v>
      </c>
      <c r="G170" s="24">
        <f t="shared" si="24"/>
        <v>0</v>
      </c>
      <c r="H170" s="24">
        <f t="shared" si="25"/>
        <v>0</v>
      </c>
      <c r="I170" s="24">
        <f t="shared" si="26"/>
        <v>881.8</v>
      </c>
      <c r="J170" s="25">
        <f t="shared" si="27"/>
        <v>7.9741404289037643E-3</v>
      </c>
      <c r="K170" s="24">
        <f t="shared" si="32"/>
        <v>624208.63226207625</v>
      </c>
      <c r="L170" s="24" t="str">
        <f t="shared" si="28"/>
        <v/>
      </c>
      <c r="M170" s="24">
        <f t="shared" si="29"/>
        <v>1192.4685417184257</v>
      </c>
      <c r="N170" s="24">
        <f>IF(M170&lt;=0,0,IF($E$2-A170&lt;12,(M170-E170)*Dashboard!$B$18,IF($Q$2+A170&gt;=$R$2,MAX(0,M170-E170*POWER(1+$C$2,$E$2-A170))*MAX(Dashboard!$C$18,Dashboard!$B$18),IF($S$2&lt;$R$2,(M170-E170)*0.5*Dashboard!$B$18,(E170*POWER(1+$A$2,$R$2-($Q$2+A170))-E170)*0.5*Dashboard!$B$18+MAX(0,M170-E170*POWER(1+$A$2,$R$2-($Q$2+A170))*POWER(1+$C$2,$S$2-$R$2))*MAX(Dashboard!$C$18,Dashboard!$B$18)))))</f>
        <v>112.30664550655914</v>
      </c>
    </row>
    <row r="171" spans="1:14" x14ac:dyDescent="0.2">
      <c r="A171" s="22">
        <f t="shared" si="30"/>
        <v>166</v>
      </c>
      <c r="B171" s="23">
        <f t="shared" si="31"/>
        <v>31.88812785388108</v>
      </c>
      <c r="C171" t="str">
        <f t="shared" si="22"/>
        <v>31 y 10.66 m</v>
      </c>
      <c r="D171" s="24">
        <f>IF(A171&gt;=$E$2,IF(A171&lt;$E$2+$H$2,$P$2,0),IF(B171&lt;Dashboard!$I$6,0,IF(A171&gt;=$F$2,Dashboard!$C$22*POWER(1+$C$2,A171-$F$2),Dashboard!$C$22)))</f>
        <v>6000</v>
      </c>
      <c r="E171" s="24">
        <f>IF(A171&gt;=$F$2,0,IF(A171=0,Dashboard!$G$10,IF(B171&lt;Dashboard!$I$6,IF($J$2&lt;=Dashboard!$H$10,Dashboard!$H$10,MAX(Dashboard!$H$10,MIN($J$2,Dashboard!$H$10*POWER($J$2/Dashboard!$H$10,A171/$D$2)))),$I$2-D171-Dashboard!$I$10-Dashboard!$J$10-Dashboard!$F$10*$I$2)))</f>
        <v>881.8</v>
      </c>
      <c r="F171" s="24">
        <f t="shared" si="23"/>
        <v>0</v>
      </c>
      <c r="G171" s="24">
        <f t="shared" si="24"/>
        <v>0</v>
      </c>
      <c r="H171" s="24">
        <f t="shared" si="25"/>
        <v>0</v>
      </c>
      <c r="I171" s="24">
        <f t="shared" si="26"/>
        <v>881.8</v>
      </c>
      <c r="J171" s="25">
        <f t="shared" si="27"/>
        <v>7.9741404289037643E-3</v>
      </c>
      <c r="K171" s="24">
        <f t="shared" si="32"/>
        <v>630074.99114969827</v>
      </c>
      <c r="L171" s="24" t="str">
        <f t="shared" si="28"/>
        <v/>
      </c>
      <c r="M171" s="24">
        <f t="shared" si="29"/>
        <v>1183.034855647207</v>
      </c>
      <c r="N171" s="24">
        <f>IF(M171&lt;=0,0,IF($E$2-A171&lt;12,(M171-E171)*Dashboard!$B$18,IF($Q$2+A171&gt;=$R$2,MAX(0,M171-E171*POWER(1+$C$2,$E$2-A171))*MAX(Dashboard!$C$18,Dashboard!$B$18),IF($S$2&lt;$R$2,(M171-E171)*0.5*Dashboard!$B$18,(E171*POWER(1+$A$2,$R$2-($Q$2+A171))-E171)*0.5*Dashboard!$B$18+MAX(0,M171-E171*POWER(1+$A$2,$R$2-($Q$2+A171))*POWER(1+$C$2,$S$2-$R$2))*MAX(Dashboard!$C$18,Dashboard!$B$18)))))</f>
        <v>108.79403845568322</v>
      </c>
    </row>
    <row r="172" spans="1:14" x14ac:dyDescent="0.2">
      <c r="A172" s="22">
        <f t="shared" si="30"/>
        <v>167</v>
      </c>
      <c r="B172" s="23">
        <f t="shared" si="31"/>
        <v>31.971461187214413</v>
      </c>
      <c r="C172" t="str">
        <f t="shared" si="22"/>
        <v>31 y 11.66 m</v>
      </c>
      <c r="D172" s="24">
        <f>IF(A172&gt;=$E$2,IF(A172&lt;$E$2+$H$2,$P$2,0),IF(B172&lt;Dashboard!$I$6,0,IF(A172&gt;=$F$2,Dashboard!$C$22*POWER(1+$C$2,A172-$F$2),Dashboard!$C$22)))</f>
        <v>6000</v>
      </c>
      <c r="E172" s="24">
        <f>IF(A172&gt;=$F$2,0,IF(A172=0,Dashboard!$G$10,IF(B172&lt;Dashboard!$I$6,IF($J$2&lt;=Dashboard!$H$10,Dashboard!$H$10,MAX(Dashboard!$H$10,MIN($J$2,Dashboard!$H$10*POWER($J$2/Dashboard!$H$10,A172/$D$2)))),$I$2-D172-Dashboard!$I$10-Dashboard!$J$10-Dashboard!$F$10*$I$2)))</f>
        <v>881.8</v>
      </c>
      <c r="F172" s="24">
        <f t="shared" si="23"/>
        <v>0</v>
      </c>
      <c r="G172" s="24">
        <f t="shared" si="24"/>
        <v>0</v>
      </c>
      <c r="H172" s="24">
        <f t="shared" si="25"/>
        <v>0</v>
      </c>
      <c r="I172" s="24">
        <f t="shared" si="26"/>
        <v>881.8</v>
      </c>
      <c r="J172" s="25">
        <f t="shared" si="27"/>
        <v>7.9741404289037643E-3</v>
      </c>
      <c r="K172" s="24">
        <f t="shared" si="32"/>
        <v>635988.12920689653</v>
      </c>
      <c r="L172" s="24" t="str">
        <f t="shared" si="28"/>
        <v/>
      </c>
      <c r="M172" s="24">
        <f t="shared" si="29"/>
        <v>1173.6758000000011</v>
      </c>
      <c r="N172" s="24">
        <f>IF(M172&lt;=0,0,IF($E$2-A172&lt;12,(M172-E172)*Dashboard!$B$18,IF($Q$2+A172&gt;=$R$2,MAX(0,M172-E172*POWER(1+$C$2,$E$2-A172))*MAX(Dashboard!$C$18,Dashboard!$B$18),IF($S$2&lt;$R$2,(M172-E172)*0.5*Dashboard!$B$18,(E172*POWER(1+$A$2,$R$2-($Q$2+A172))-E172)*0.5*Dashboard!$B$18+MAX(0,M172-E172*POWER(1+$A$2,$R$2-($Q$2+A172))*POWER(1+$C$2,$S$2-$R$2))*MAX(Dashboard!$C$18,Dashboard!$B$18)))))</f>
        <v>105.31461403125246</v>
      </c>
    </row>
    <row r="173" spans="1:14" x14ac:dyDescent="0.2">
      <c r="A173" s="22">
        <f t="shared" si="30"/>
        <v>168</v>
      </c>
      <c r="B173" s="23">
        <f t="shared" si="31"/>
        <v>32.054794520547745</v>
      </c>
      <c r="C173" t="str">
        <f t="shared" si="22"/>
        <v>32 y 0.66 m</v>
      </c>
      <c r="D173" s="24">
        <f>IF(A173&gt;=$E$2,IF(A173&lt;$E$2+$H$2,$P$2,0),IF(B173&lt;Dashboard!$I$6,0,IF(A173&gt;=$F$2,Dashboard!$C$22*POWER(1+$C$2,A173-$F$2),Dashboard!$C$22)))</f>
        <v>6000</v>
      </c>
      <c r="E173" s="24">
        <f>IF(A173&gt;=$F$2,0,IF(A173=0,Dashboard!$G$10,IF(B173&lt;Dashboard!$I$6,IF($J$2&lt;=Dashboard!$H$10,Dashboard!$H$10,MAX(Dashboard!$H$10,MIN($J$2,Dashboard!$H$10*POWER($J$2/Dashboard!$H$10,A173/$D$2)))),$I$2-D173-Dashboard!$I$10-Dashboard!$J$10-Dashboard!$F$10*$I$2)))</f>
        <v>881.8</v>
      </c>
      <c r="F173" s="24">
        <f t="shared" si="23"/>
        <v>0</v>
      </c>
      <c r="G173" s="24">
        <f t="shared" si="24"/>
        <v>0</v>
      </c>
      <c r="H173" s="24">
        <f t="shared" si="25"/>
        <v>0</v>
      </c>
      <c r="I173" s="24">
        <f t="shared" si="26"/>
        <v>881.8</v>
      </c>
      <c r="J173" s="25">
        <f t="shared" si="27"/>
        <v>7.9741404289037643E-3</v>
      </c>
      <c r="K173" s="24">
        <f t="shared" si="32"/>
        <v>641948.4194573384</v>
      </c>
      <c r="L173" s="24" t="str">
        <f t="shared" si="28"/>
        <v/>
      </c>
      <c r="M173" s="24">
        <f t="shared" si="29"/>
        <v>1164.3907843713027</v>
      </c>
      <c r="N173" s="24">
        <f>IF(M173&lt;=0,0,IF($E$2-A173&lt;12,(M173-E173)*Dashboard!$B$18,IF($Q$2+A173&gt;=$R$2,MAX(0,M173-E173*POWER(1+$C$2,$E$2-A173))*MAX(Dashboard!$C$18,Dashboard!$B$18),IF($S$2&lt;$R$2,(M173-E173)*0.5*Dashboard!$B$18,(E173*POWER(1+$A$2,$R$2-($Q$2+A173))-E173)*0.5*Dashboard!$B$18+MAX(0,M173-E173*POWER(1+$A$2,$R$2-($Q$2+A173))*POWER(1+$C$2,$S$2-$R$2))*MAX(Dashboard!$C$18,Dashboard!$B$18)))))</f>
        <v>101.86809863531707</v>
      </c>
    </row>
    <row r="174" spans="1:14" x14ac:dyDescent="0.2">
      <c r="A174" s="22">
        <f t="shared" si="30"/>
        <v>169</v>
      </c>
      <c r="B174" s="23">
        <f t="shared" si="31"/>
        <v>32.13812785388108</v>
      </c>
      <c r="C174" t="str">
        <f t="shared" si="22"/>
        <v>32 y 1.66 m</v>
      </c>
      <c r="D174" s="24">
        <f>IF(A174&gt;=$E$2,IF(A174&lt;$E$2+$H$2,$P$2,0),IF(B174&lt;Dashboard!$I$6,0,IF(A174&gt;=$F$2,Dashboard!$C$22*POWER(1+$C$2,A174-$F$2),Dashboard!$C$22)))</f>
        <v>6000</v>
      </c>
      <c r="E174" s="24">
        <f>IF(A174&gt;=$F$2,0,IF(A174=0,Dashboard!$G$10,IF(B174&lt;Dashboard!$I$6,IF($J$2&lt;=Dashboard!$H$10,Dashboard!$H$10,MAX(Dashboard!$H$10,MIN($J$2,Dashboard!$H$10*POWER($J$2/Dashboard!$H$10,A174/$D$2)))),$I$2-D174-Dashboard!$I$10-Dashboard!$J$10-Dashboard!$F$10*$I$2)))</f>
        <v>881.8</v>
      </c>
      <c r="F174" s="24">
        <f t="shared" si="23"/>
        <v>0</v>
      </c>
      <c r="G174" s="24">
        <f t="shared" si="24"/>
        <v>0</v>
      </c>
      <c r="H174" s="24">
        <f t="shared" si="25"/>
        <v>0</v>
      </c>
      <c r="I174" s="24">
        <f t="shared" si="26"/>
        <v>881.8</v>
      </c>
      <c r="J174" s="25">
        <f t="shared" si="27"/>
        <v>7.9741404289037643E-3</v>
      </c>
      <c r="K174" s="24">
        <f t="shared" si="32"/>
        <v>647956.23789923429</v>
      </c>
      <c r="L174" s="24" t="str">
        <f t="shared" si="28"/>
        <v/>
      </c>
      <c r="M174" s="24">
        <f t="shared" si="29"/>
        <v>1155.1792230263391</v>
      </c>
      <c r="N174" s="24">
        <f>IF(M174&lt;=0,0,IF($E$2-A174&lt;12,(M174-E174)*Dashboard!$B$18,IF($Q$2+A174&gt;=$R$2,MAX(0,M174-E174*POWER(1+$C$2,$E$2-A174))*MAX(Dashboard!$C$18,Dashboard!$B$18),IF($S$2&lt;$R$2,(M174-E174)*0.5*Dashboard!$B$18,(E174*POWER(1+$A$2,$R$2-($Q$2+A174))-E174)*0.5*Dashboard!$B$18+MAX(0,M174-E174*POWER(1+$A$2,$R$2-($Q$2+A174))*POWER(1+$C$2,$S$2-$R$2))*MAX(Dashboard!$C$18,Dashboard!$B$18)))))</f>
        <v>98.454220857169872</v>
      </c>
    </row>
    <row r="175" spans="1:14" x14ac:dyDescent="0.2">
      <c r="A175" s="22">
        <f t="shared" si="30"/>
        <v>170</v>
      </c>
      <c r="B175" s="23">
        <f t="shared" si="31"/>
        <v>32.221461187214416</v>
      </c>
      <c r="C175" t="str">
        <f t="shared" si="22"/>
        <v>32 y 2.66 m</v>
      </c>
      <c r="D175" s="24">
        <f>IF(A175&gt;=$E$2,IF(A175&lt;$E$2+$H$2,$P$2,0),IF(B175&lt;Dashboard!$I$6,0,IF(A175&gt;=$F$2,Dashboard!$C$22*POWER(1+$C$2,A175-$F$2),Dashboard!$C$22)))</f>
        <v>6000</v>
      </c>
      <c r="E175" s="24">
        <f>IF(A175&gt;=$F$2,0,IF(A175=0,Dashboard!$G$10,IF(B175&lt;Dashboard!$I$6,IF($J$2&lt;=Dashboard!$H$10,Dashboard!$H$10,MAX(Dashboard!$H$10,MIN($J$2,Dashboard!$H$10*POWER($J$2/Dashboard!$H$10,A175/$D$2)))),$I$2-D175-Dashboard!$I$10-Dashboard!$J$10-Dashboard!$F$10*$I$2)))</f>
        <v>881.8</v>
      </c>
      <c r="F175" s="24">
        <f t="shared" si="23"/>
        <v>0</v>
      </c>
      <c r="G175" s="24">
        <f t="shared" si="24"/>
        <v>0</v>
      </c>
      <c r="H175" s="24">
        <f t="shared" si="25"/>
        <v>0</v>
      </c>
      <c r="I175" s="24">
        <f t="shared" si="26"/>
        <v>881.8</v>
      </c>
      <c r="J175" s="25">
        <f t="shared" si="27"/>
        <v>7.9741404289037643E-3</v>
      </c>
      <c r="K175" s="24">
        <f t="shared" si="32"/>
        <v>654011.96352905722</v>
      </c>
      <c r="L175" s="24" t="str">
        <f t="shared" si="28"/>
        <v/>
      </c>
      <c r="M175" s="24">
        <f t="shared" si="29"/>
        <v>1146.0405348641166</v>
      </c>
      <c r="N175" s="24">
        <f>IF(M175&lt;=0,0,IF($E$2-A175&lt;12,(M175-E175)*Dashboard!$B$18,IF($Q$2+A175&gt;=$R$2,MAX(0,M175-E175*POWER(1+$C$2,$E$2-A175))*MAX(Dashboard!$C$18,Dashboard!$B$18),IF($S$2&lt;$R$2,(M175-E175)*0.5*Dashboard!$B$18,(E175*POWER(1+$A$2,$R$2-($Q$2+A175))-E175)*0.5*Dashboard!$B$18+MAX(0,M175-E175*POWER(1+$A$2,$R$2-($Q$2+A175))*POWER(1+$C$2,$S$2-$R$2))*MAX(Dashboard!$C$18,Dashboard!$B$18)))))</f>
        <v>95.072711455994806</v>
      </c>
    </row>
    <row r="176" spans="1:14" x14ac:dyDescent="0.2">
      <c r="A176" s="22">
        <f t="shared" si="30"/>
        <v>171</v>
      </c>
      <c r="B176" s="23">
        <f t="shared" si="31"/>
        <v>32.304794520547752</v>
      </c>
      <c r="C176" t="str">
        <f t="shared" si="22"/>
        <v>32 y 3.66 m</v>
      </c>
      <c r="D176" s="24">
        <f>IF(A176&gt;=$E$2,IF(A176&lt;$E$2+$H$2,$P$2,0),IF(B176&lt;Dashboard!$I$6,0,IF(A176&gt;=$F$2,Dashboard!$C$22*POWER(1+$C$2,A176-$F$2),Dashboard!$C$22)))</f>
        <v>6000</v>
      </c>
      <c r="E176" s="24">
        <f>IF(A176&gt;=$F$2,0,IF(A176=0,Dashboard!$G$10,IF(B176&lt;Dashboard!$I$6,IF($J$2&lt;=Dashboard!$H$10,Dashboard!$H$10,MAX(Dashboard!$H$10,MIN($J$2,Dashboard!$H$10*POWER($J$2/Dashboard!$H$10,A176/$D$2)))),$I$2-D176-Dashboard!$I$10-Dashboard!$J$10-Dashboard!$F$10*$I$2)))</f>
        <v>881.8</v>
      </c>
      <c r="F176" s="24">
        <f t="shared" si="23"/>
        <v>0</v>
      </c>
      <c r="G176" s="24">
        <f t="shared" si="24"/>
        <v>0</v>
      </c>
      <c r="H176" s="24">
        <f t="shared" si="25"/>
        <v>0</v>
      </c>
      <c r="I176" s="24">
        <f t="shared" si="26"/>
        <v>881.8</v>
      </c>
      <c r="J176" s="25">
        <f t="shared" si="27"/>
        <v>7.9741404289037643E-3</v>
      </c>
      <c r="K176" s="24">
        <f t="shared" si="32"/>
        <v>660115.97836545121</v>
      </c>
      <c r="L176" s="24" t="str">
        <f t="shared" si="28"/>
        <v/>
      </c>
      <c r="M176" s="24">
        <f t="shared" si="29"/>
        <v>1136.9741433807658</v>
      </c>
      <c r="N176" s="24">
        <f>IF(M176&lt;=0,0,IF($E$2-A176&lt;12,(M176-E176)*Dashboard!$B$18,IF($Q$2+A176&gt;=$R$2,MAX(0,M176-E176*POWER(1+$C$2,$E$2-A176))*MAX(Dashboard!$C$18,Dashboard!$B$18),IF($S$2&lt;$R$2,(M176-E176)*0.5*Dashboard!$B$18,(E176*POWER(1+$A$2,$R$2-($Q$2+A176))-E176)*0.5*Dashboard!$B$18+MAX(0,M176-E176*POWER(1+$A$2,$R$2-($Q$2+A176))*POWER(1+$C$2,$S$2-$R$2))*MAX(Dashboard!$C$18,Dashboard!$B$18)))))</f>
        <v>91.72330334365509</v>
      </c>
    </row>
    <row r="177" spans="1:14" x14ac:dyDescent="0.2">
      <c r="A177" s="22">
        <f t="shared" si="30"/>
        <v>172</v>
      </c>
      <c r="B177" s="23">
        <f t="shared" si="31"/>
        <v>32.388127853881088</v>
      </c>
      <c r="C177" t="str">
        <f t="shared" si="22"/>
        <v>32 y 4.66 m</v>
      </c>
      <c r="D177" s="24">
        <f>IF(A177&gt;=$E$2,IF(A177&lt;$E$2+$H$2,$P$2,0),IF(B177&lt;Dashboard!$I$6,0,IF(A177&gt;=$F$2,Dashboard!$C$22*POWER(1+$C$2,A177-$F$2),Dashboard!$C$22)))</f>
        <v>6000</v>
      </c>
      <c r="E177" s="24">
        <f>IF(A177&gt;=$F$2,0,IF(A177=0,Dashboard!$G$10,IF(B177&lt;Dashboard!$I$6,IF($J$2&lt;=Dashboard!$H$10,Dashboard!$H$10,MAX(Dashboard!$H$10,MIN($J$2,Dashboard!$H$10*POWER($J$2/Dashboard!$H$10,A177/$D$2)))),$I$2-D177-Dashboard!$I$10-Dashboard!$J$10-Dashboard!$F$10*$I$2)))</f>
        <v>881.8</v>
      </c>
      <c r="F177" s="24">
        <f t="shared" si="23"/>
        <v>0</v>
      </c>
      <c r="G177" s="24">
        <f t="shared" si="24"/>
        <v>0</v>
      </c>
      <c r="H177" s="24">
        <f t="shared" si="25"/>
        <v>0</v>
      </c>
      <c r="I177" s="24">
        <f t="shared" si="26"/>
        <v>881.8</v>
      </c>
      <c r="J177" s="25">
        <f t="shared" si="27"/>
        <v>7.9741404289037643E-3</v>
      </c>
      <c r="K177" s="24">
        <f t="shared" si="32"/>
        <v>666268.66747333074</v>
      </c>
      <c r="L177" s="24" t="str">
        <f t="shared" si="28"/>
        <v/>
      </c>
      <c r="M177" s="24">
        <f t="shared" si="29"/>
        <v>1127.9794766331711</v>
      </c>
      <c r="N177" s="24">
        <f>IF(M177&lt;=0,0,IF($E$2-A177&lt;12,(M177-E177)*Dashboard!$B$18,IF($Q$2+A177&gt;=$R$2,MAX(0,M177-E177*POWER(1+$C$2,$E$2-A177))*MAX(Dashboard!$C$18,Dashboard!$B$18),IF($S$2&lt;$R$2,(M177-E177)*0.5*Dashboard!$B$18,(E177*POWER(1+$A$2,$R$2-($Q$2+A177))-E177)*0.5*Dashboard!$B$18+MAX(0,M177-E177*POWER(1+$A$2,$R$2-($Q$2+A177))*POWER(1+$C$2,$S$2-$R$2))*MAX(Dashboard!$C$18,Dashboard!$B$18)))))</f>
        <v>88.405731567615987</v>
      </c>
    </row>
    <row r="178" spans="1:14" x14ac:dyDescent="0.2">
      <c r="A178" s="22">
        <f t="shared" si="30"/>
        <v>173</v>
      </c>
      <c r="B178" s="23">
        <f t="shared" si="31"/>
        <v>32.471461187214423</v>
      </c>
      <c r="C178" t="str">
        <f t="shared" si="22"/>
        <v>32 y 5.66 m</v>
      </c>
      <c r="D178" s="24">
        <f>IF(A178&gt;=$E$2,IF(A178&lt;$E$2+$H$2,$P$2,0),IF(B178&lt;Dashboard!$I$6,0,IF(A178&gt;=$F$2,Dashboard!$C$22*POWER(1+$C$2,A178-$F$2),Dashboard!$C$22)))</f>
        <v>6000</v>
      </c>
      <c r="E178" s="24">
        <f>IF(A178&gt;=$F$2,0,IF(A178=0,Dashboard!$G$10,IF(B178&lt;Dashboard!$I$6,IF($J$2&lt;=Dashboard!$H$10,Dashboard!$H$10,MAX(Dashboard!$H$10,MIN($J$2,Dashboard!$H$10*POWER($J$2/Dashboard!$H$10,A178/$D$2)))),$I$2-D178-Dashboard!$I$10-Dashboard!$J$10-Dashboard!$F$10*$I$2)))</f>
        <v>881.8</v>
      </c>
      <c r="F178" s="24">
        <f t="shared" si="23"/>
        <v>0</v>
      </c>
      <c r="G178" s="24">
        <f t="shared" si="24"/>
        <v>0</v>
      </c>
      <c r="H178" s="24">
        <f t="shared" si="25"/>
        <v>0</v>
      </c>
      <c r="I178" s="24">
        <f t="shared" si="26"/>
        <v>881.8</v>
      </c>
      <c r="J178" s="25">
        <f t="shared" si="27"/>
        <v>7.9741404289037643E-3</v>
      </c>
      <c r="K178" s="24">
        <f t="shared" si="32"/>
        <v>672470.41898817196</v>
      </c>
      <c r="L178" s="24" t="str">
        <f t="shared" si="28"/>
        <v/>
      </c>
      <c r="M178" s="24">
        <f t="shared" si="29"/>
        <v>1119.0559672028926</v>
      </c>
      <c r="N178" s="24">
        <f>IF(M178&lt;=0,0,IF($E$2-A178&lt;12,(M178-E178)*Dashboard!$B$18,IF($Q$2+A178&gt;=$R$2,MAX(0,M178-E178*POWER(1+$C$2,$E$2-A178))*MAX(Dashboard!$C$18,Dashboard!$B$18),IF($S$2&lt;$R$2,(M178-E178)*0.5*Dashboard!$B$18,(E178*POWER(1+$A$2,$R$2-($Q$2+A178))-E178)*0.5*Dashboard!$B$18+MAX(0,M178-E178*POWER(1+$A$2,$R$2-($Q$2+A178))*POWER(1+$C$2,$S$2-$R$2))*MAX(Dashboard!$C$18,Dashboard!$B$18)))))</f>
        <v>85.119733294004206</v>
      </c>
    </row>
    <row r="179" spans="1:14" x14ac:dyDescent="0.2">
      <c r="A179" s="22">
        <f t="shared" si="30"/>
        <v>174</v>
      </c>
      <c r="B179" s="23">
        <f t="shared" si="31"/>
        <v>32.554794520547759</v>
      </c>
      <c r="C179" t="str">
        <f t="shared" si="22"/>
        <v>32 y 6.66 m</v>
      </c>
      <c r="D179" s="24">
        <f>IF(A179&gt;=$E$2,IF(A179&lt;$E$2+$H$2,$P$2,0),IF(B179&lt;Dashboard!$I$6,0,IF(A179&gt;=$F$2,Dashboard!$C$22*POWER(1+$C$2,A179-$F$2),Dashboard!$C$22)))</f>
        <v>6000</v>
      </c>
      <c r="E179" s="24">
        <f>IF(A179&gt;=$F$2,0,IF(A179=0,Dashboard!$G$10,IF(B179&lt;Dashboard!$I$6,IF($J$2&lt;=Dashboard!$H$10,Dashboard!$H$10,MAX(Dashboard!$H$10,MIN($J$2,Dashboard!$H$10*POWER($J$2/Dashboard!$H$10,A179/$D$2)))),$I$2-D179-Dashboard!$I$10-Dashboard!$J$10-Dashboard!$F$10*$I$2)))</f>
        <v>881.8</v>
      </c>
      <c r="F179" s="24">
        <f t="shared" si="23"/>
        <v>0</v>
      </c>
      <c r="G179" s="24">
        <f t="shared" si="24"/>
        <v>0</v>
      </c>
      <c r="H179" s="24">
        <f t="shared" si="25"/>
        <v>0</v>
      </c>
      <c r="I179" s="24">
        <f t="shared" si="26"/>
        <v>881.8</v>
      </c>
      <c r="J179" s="25">
        <f t="shared" si="27"/>
        <v>7.9741404289037643E-3</v>
      </c>
      <c r="K179" s="24">
        <f t="shared" si="32"/>
        <v>678721.62414049765</v>
      </c>
      <c r="L179" s="24" t="str">
        <f t="shared" si="28"/>
        <v/>
      </c>
      <c r="M179" s="24">
        <f t="shared" si="29"/>
        <v>1110.2030521603685</v>
      </c>
      <c r="N179" s="24">
        <f>IF(M179&lt;=0,0,IF($E$2-A179&lt;12,(M179-E179)*Dashboard!$B$18,IF($Q$2+A179&gt;=$R$2,MAX(0,M179-E179*POWER(1+$C$2,$E$2-A179))*MAX(Dashboard!$C$18,Dashboard!$B$18),IF($S$2&lt;$R$2,(M179-E179)*0.5*Dashboard!$B$18,(E179*POWER(1+$A$2,$R$2-($Q$2+A179))-E179)*0.5*Dashboard!$B$18+MAX(0,M179-E179*POWER(1+$A$2,$R$2-($Q$2+A179))*POWER(1+$C$2,$S$2-$R$2))*MAX(Dashboard!$C$18,Dashboard!$B$18)))))</f>
        <v>81.865047790799153</v>
      </c>
    </row>
    <row r="180" spans="1:14" x14ac:dyDescent="0.2">
      <c r="A180" s="22">
        <f t="shared" si="30"/>
        <v>175</v>
      </c>
      <c r="B180" s="23">
        <f t="shared" si="31"/>
        <v>32.638127853881095</v>
      </c>
      <c r="C180" t="str">
        <f t="shared" si="22"/>
        <v>32 y 7.66 m</v>
      </c>
      <c r="D180" s="24">
        <f>IF(A180&gt;=$E$2,IF(A180&lt;$E$2+$H$2,$P$2,0),IF(B180&lt;Dashboard!$I$6,0,IF(A180&gt;=$F$2,Dashboard!$C$22*POWER(1+$C$2,A180-$F$2),Dashboard!$C$22)))</f>
        <v>6000</v>
      </c>
      <c r="E180" s="24">
        <f>IF(A180&gt;=$F$2,0,IF(A180=0,Dashboard!$G$10,IF(B180&lt;Dashboard!$I$6,IF($J$2&lt;=Dashboard!$H$10,Dashboard!$H$10,MAX(Dashboard!$H$10,MIN($J$2,Dashboard!$H$10*POWER($J$2/Dashboard!$H$10,A180/$D$2)))),$I$2-D180-Dashboard!$I$10-Dashboard!$J$10-Dashboard!$F$10*$I$2)))</f>
        <v>881.8</v>
      </c>
      <c r="F180" s="24">
        <f t="shared" si="23"/>
        <v>0</v>
      </c>
      <c r="G180" s="24">
        <f t="shared" si="24"/>
        <v>0</v>
      </c>
      <c r="H180" s="24">
        <f t="shared" si="25"/>
        <v>0</v>
      </c>
      <c r="I180" s="24">
        <f t="shared" si="26"/>
        <v>881.8</v>
      </c>
      <c r="J180" s="25">
        <f t="shared" si="27"/>
        <v>7.9741404289037643E-3</v>
      </c>
      <c r="K180" s="24">
        <f t="shared" si="32"/>
        <v>685022.67728055792</v>
      </c>
      <c r="L180" s="24" t="str">
        <f t="shared" si="28"/>
        <v/>
      </c>
      <c r="M180" s="24">
        <f t="shared" si="29"/>
        <v>1101.4201730294044</v>
      </c>
      <c r="N180" s="24">
        <f>IF(M180&lt;=0,0,IF($E$2-A180&lt;12,(M180-E180)*Dashboard!$B$18,IF($Q$2+A180&gt;=$R$2,MAX(0,M180-E180*POWER(1+$C$2,$E$2-A180))*MAX(Dashboard!$C$18,Dashboard!$B$18),IF($S$2&lt;$R$2,(M180-E180)*0.5*Dashboard!$B$18,(E180*POWER(1+$A$2,$R$2-($Q$2+A180))-E180)*0.5*Dashboard!$B$18+MAX(0,M180-E180*POWER(1+$A$2,$R$2-($Q$2+A180))*POWER(1+$C$2,$S$2-$R$2))*MAX(Dashboard!$C$18,Dashboard!$B$18)))))</f>
        <v>78.641416411159312</v>
      </c>
    </row>
    <row r="181" spans="1:14" x14ac:dyDescent="0.2">
      <c r="A181" s="22">
        <f t="shared" si="30"/>
        <v>176</v>
      </c>
      <c r="B181" s="23">
        <f t="shared" si="31"/>
        <v>32.72146118721443</v>
      </c>
      <c r="C181" t="str">
        <f t="shared" si="22"/>
        <v>32 y 8.66 m</v>
      </c>
      <c r="D181" s="24">
        <f>IF(A181&gt;=$E$2,IF(A181&lt;$E$2+$H$2,$P$2,0),IF(B181&lt;Dashboard!$I$6,0,IF(A181&gt;=$F$2,Dashboard!$C$22*POWER(1+$C$2,A181-$F$2),Dashboard!$C$22)))</f>
        <v>6000</v>
      </c>
      <c r="E181" s="24">
        <f>IF(A181&gt;=$F$2,0,IF(A181=0,Dashboard!$G$10,IF(B181&lt;Dashboard!$I$6,IF($J$2&lt;=Dashboard!$H$10,Dashboard!$H$10,MAX(Dashboard!$H$10,MIN($J$2,Dashboard!$H$10*POWER($J$2/Dashboard!$H$10,A181/$D$2)))),$I$2-D181-Dashboard!$I$10-Dashboard!$J$10-Dashboard!$F$10*$I$2)))</f>
        <v>881.8</v>
      </c>
      <c r="F181" s="24">
        <f t="shared" si="23"/>
        <v>0</v>
      </c>
      <c r="G181" s="24">
        <f t="shared" si="24"/>
        <v>0</v>
      </c>
      <c r="H181" s="24">
        <f t="shared" si="25"/>
        <v>0</v>
      </c>
      <c r="I181" s="24">
        <f t="shared" si="26"/>
        <v>881.8</v>
      </c>
      <c r="J181" s="25">
        <f t="shared" si="27"/>
        <v>7.9741404289037643E-3</v>
      </c>
      <c r="K181" s="24">
        <f t="shared" si="32"/>
        <v>691373.97590320697</v>
      </c>
      <c r="L181" s="24" t="str">
        <f t="shared" si="28"/>
        <v/>
      </c>
      <c r="M181" s="24">
        <f t="shared" si="29"/>
        <v>1092.7067757519437</v>
      </c>
      <c r="N181" s="24">
        <f>IF(M181&lt;=0,0,IF($E$2-A181&lt;12,(M181-E181)*Dashboard!$B$18,IF($Q$2+A181&gt;=$R$2,MAX(0,M181-E181*POWER(1+$C$2,$E$2-A181))*MAX(Dashboard!$C$18,Dashboard!$B$18),IF($S$2&lt;$R$2,(M181-E181)*0.5*Dashboard!$B$18,(E181*POWER(1+$A$2,$R$2-($Q$2+A181))-E181)*0.5*Dashboard!$B$18+MAX(0,M181-E181*POWER(1+$A$2,$R$2-($Q$2+A181))*POWER(1+$C$2,$S$2-$R$2))*MAX(Dashboard!$C$18,Dashboard!$B$18)))))</f>
        <v>75.448582576881265</v>
      </c>
    </row>
    <row r="182" spans="1:14" x14ac:dyDescent="0.2">
      <c r="A182" s="22">
        <f t="shared" si="30"/>
        <v>177</v>
      </c>
      <c r="B182" s="23">
        <f t="shared" si="31"/>
        <v>32.804794520547766</v>
      </c>
      <c r="C182" t="str">
        <f t="shared" si="22"/>
        <v>32 y 9.66 m</v>
      </c>
      <c r="D182" s="24">
        <f>IF(A182&gt;=$E$2,IF(A182&lt;$E$2+$H$2,$P$2,0),IF(B182&lt;Dashboard!$I$6,0,IF(A182&gt;=$F$2,Dashboard!$C$22*POWER(1+$C$2,A182-$F$2),Dashboard!$C$22)))</f>
        <v>6000</v>
      </c>
      <c r="E182" s="24">
        <f>IF(A182&gt;=$F$2,0,IF(A182=0,Dashboard!$G$10,IF(B182&lt;Dashboard!$I$6,IF($J$2&lt;=Dashboard!$H$10,Dashboard!$H$10,MAX(Dashboard!$H$10,MIN($J$2,Dashboard!$H$10*POWER($J$2/Dashboard!$H$10,A182/$D$2)))),$I$2-D182-Dashboard!$I$10-Dashboard!$J$10-Dashboard!$F$10*$I$2)))</f>
        <v>881.8</v>
      </c>
      <c r="F182" s="24">
        <f t="shared" si="23"/>
        <v>0</v>
      </c>
      <c r="G182" s="24">
        <f t="shared" si="24"/>
        <v>0</v>
      </c>
      <c r="H182" s="24">
        <f t="shared" si="25"/>
        <v>0</v>
      </c>
      <c r="I182" s="24">
        <f t="shared" si="26"/>
        <v>881.8</v>
      </c>
      <c r="J182" s="25">
        <f t="shared" si="27"/>
        <v>7.9741404289037643E-3</v>
      </c>
      <c r="K182" s="24">
        <f t="shared" si="32"/>
        <v>697775.92067297897</v>
      </c>
      <c r="L182" s="24" t="str">
        <f t="shared" si="28"/>
        <v/>
      </c>
      <c r="M182" s="24">
        <f t="shared" si="29"/>
        <v>1084.0623106531141</v>
      </c>
      <c r="N182" s="24">
        <f>IF(M182&lt;=0,0,IF($E$2-A182&lt;12,(M182-E182)*Dashboard!$B$18,IF($Q$2+A182&gt;=$R$2,MAX(0,M182-E182*POWER(1+$C$2,$E$2-A182))*MAX(Dashboard!$C$18,Dashboard!$B$18),IF($S$2&lt;$R$2,(M182-E182)*0.5*Dashboard!$B$18,(E182*POWER(1+$A$2,$R$2-($Q$2+A182))-E182)*0.5*Dashboard!$B$18+MAX(0,M182-E182*POWER(1+$A$2,$R$2-($Q$2+A182))*POWER(1+$C$2,$S$2-$R$2))*MAX(Dashboard!$C$18,Dashboard!$B$18)))))</f>
        <v>72.286291761986348</v>
      </c>
    </row>
    <row r="183" spans="1:14" x14ac:dyDescent="0.2">
      <c r="A183" s="22">
        <f t="shared" si="30"/>
        <v>178</v>
      </c>
      <c r="B183" s="23">
        <f t="shared" si="31"/>
        <v>32.888127853881102</v>
      </c>
      <c r="C183" t="str">
        <f t="shared" si="22"/>
        <v>32 y 10.66 m</v>
      </c>
      <c r="D183" s="24">
        <f>IF(A183&gt;=$E$2,IF(A183&lt;$E$2+$H$2,$P$2,0),IF(B183&lt;Dashboard!$I$6,0,IF(A183&gt;=$F$2,Dashboard!$C$22*POWER(1+$C$2,A183-$F$2),Dashboard!$C$22)))</f>
        <v>6000</v>
      </c>
      <c r="E183" s="24">
        <f>IF(A183&gt;=$F$2,0,IF(A183=0,Dashboard!$G$10,IF(B183&lt;Dashboard!$I$6,IF($J$2&lt;=Dashboard!$H$10,Dashboard!$H$10,MAX(Dashboard!$H$10,MIN($J$2,Dashboard!$H$10*POWER($J$2/Dashboard!$H$10,A183/$D$2)))),$I$2-D183-Dashboard!$I$10-Dashboard!$J$10-Dashboard!$F$10*$I$2)))</f>
        <v>881.8</v>
      </c>
      <c r="F183" s="24">
        <f t="shared" si="23"/>
        <v>0</v>
      </c>
      <c r="G183" s="24">
        <f t="shared" si="24"/>
        <v>0</v>
      </c>
      <c r="H183" s="24">
        <f t="shared" si="25"/>
        <v>0</v>
      </c>
      <c r="I183" s="24">
        <f t="shared" si="26"/>
        <v>881.8</v>
      </c>
      <c r="J183" s="25">
        <f t="shared" si="27"/>
        <v>7.9741404289037643E-3</v>
      </c>
      <c r="K183" s="24">
        <f t="shared" si="32"/>
        <v>704228.91544936318</v>
      </c>
      <c r="L183" s="24" t="str">
        <f t="shared" si="28"/>
        <v/>
      </c>
      <c r="M183" s="24">
        <f t="shared" si="29"/>
        <v>1075.4862324065516</v>
      </c>
      <c r="N183" s="24">
        <f>IF(M183&lt;=0,0,IF($E$2-A183&lt;12,(M183-E183)*Dashboard!$B$18,IF($Q$2+A183&gt;=$R$2,MAX(0,M183-E183*POWER(1+$C$2,$E$2-A183))*MAX(Dashboard!$C$18,Dashboard!$B$18),IF($S$2&lt;$R$2,(M183-E183)*0.5*Dashboard!$B$18,(E183*POWER(1+$A$2,$R$2-($Q$2+A183))-E183)*0.5*Dashboard!$B$18+MAX(0,M183-E183*POWER(1+$A$2,$R$2-($Q$2+A183))*POWER(1+$C$2,$S$2-$R$2))*MAX(Dashboard!$C$18,Dashboard!$B$18)))))</f>
        <v>69.154291476440449</v>
      </c>
    </row>
    <row r="184" spans="1:14" x14ac:dyDescent="0.2">
      <c r="A184" s="22">
        <f t="shared" si="30"/>
        <v>179</v>
      </c>
      <c r="B184" s="23">
        <f t="shared" si="31"/>
        <v>32.971461187214437</v>
      </c>
      <c r="C184" t="str">
        <f t="shared" si="22"/>
        <v>32 y 11.66 m</v>
      </c>
      <c r="D184" s="24">
        <f>IF(A184&gt;=$E$2,IF(A184&lt;$E$2+$H$2,$P$2,0),IF(B184&lt;Dashboard!$I$6,0,IF(A184&gt;=$F$2,Dashboard!$C$22*POWER(1+$C$2,A184-$F$2),Dashboard!$C$22)))</f>
        <v>6000</v>
      </c>
      <c r="E184" s="24">
        <f>IF(A184&gt;=$F$2,0,IF(A184=0,Dashboard!$G$10,IF(B184&lt;Dashboard!$I$6,IF($J$2&lt;=Dashboard!$H$10,Dashboard!$H$10,MAX(Dashboard!$H$10,MIN($J$2,Dashboard!$H$10*POWER($J$2/Dashboard!$H$10,A184/$D$2)))),$I$2-D184-Dashboard!$I$10-Dashboard!$J$10-Dashboard!$F$10*$I$2)))</f>
        <v>881.8</v>
      </c>
      <c r="F184" s="24">
        <f t="shared" si="23"/>
        <v>0</v>
      </c>
      <c r="G184" s="24">
        <f t="shared" si="24"/>
        <v>0</v>
      </c>
      <c r="H184" s="24">
        <f t="shared" si="25"/>
        <v>0</v>
      </c>
      <c r="I184" s="24">
        <f t="shared" si="26"/>
        <v>881.8</v>
      </c>
      <c r="J184" s="25">
        <f t="shared" si="27"/>
        <v>7.9741404289037643E-3</v>
      </c>
      <c r="K184" s="24">
        <f t="shared" si="32"/>
        <v>710733.36731228128</v>
      </c>
      <c r="L184" s="24" t="str">
        <f t="shared" si="28"/>
        <v/>
      </c>
      <c r="M184" s="24">
        <f t="shared" si="29"/>
        <v>1066.9780000000007</v>
      </c>
      <c r="N184" s="24">
        <f>IF(M184&lt;=0,0,IF($E$2-A184&lt;12,(M184-E184)*Dashboard!$B$18,IF($Q$2+A184&gt;=$R$2,MAX(0,M184-E184*POWER(1+$C$2,$E$2-A184))*MAX(Dashboard!$C$18,Dashboard!$B$18),IF($S$2&lt;$R$2,(M184-E184)*0.5*Dashboard!$B$18,(E184*POWER(1+$A$2,$R$2-($Q$2+A184))-E184)*0.5*Dashboard!$B$18+MAX(0,M184-E184*POWER(1+$A$2,$R$2-($Q$2+A184))*POWER(1+$C$2,$S$2-$R$2))*MAX(Dashboard!$C$18,Dashboard!$B$18)))))</f>
        <v>66.0523312500016</v>
      </c>
    </row>
    <row r="185" spans="1:14" x14ac:dyDescent="0.2">
      <c r="A185" s="22">
        <f t="shared" si="30"/>
        <v>180</v>
      </c>
      <c r="B185" s="23">
        <f t="shared" si="31"/>
        <v>33.054794520547773</v>
      </c>
      <c r="C185" t="str">
        <f t="shared" si="22"/>
        <v>33 y 0.66 m</v>
      </c>
      <c r="D185" s="24">
        <f>IF(A185&gt;=$E$2,IF(A185&lt;$E$2+$H$2,$P$2,0),IF(B185&lt;Dashboard!$I$6,0,IF(A185&gt;=$F$2,Dashboard!$C$22*POWER(1+$C$2,A185-$F$2),Dashboard!$C$22)))</f>
        <v>6000</v>
      </c>
      <c r="E185" s="24">
        <f>IF(A185&gt;=$F$2,0,IF(A185=0,Dashboard!$G$10,IF(B185&lt;Dashboard!$I$6,IF($J$2&lt;=Dashboard!$H$10,Dashboard!$H$10,MAX(Dashboard!$H$10,MIN($J$2,Dashboard!$H$10*POWER($J$2/Dashboard!$H$10,A185/$D$2)))),$I$2-D185-Dashboard!$I$10-Dashboard!$J$10-Dashboard!$F$10*$I$2)))</f>
        <v>881.8</v>
      </c>
      <c r="F185" s="24">
        <f t="shared" si="23"/>
        <v>0</v>
      </c>
      <c r="G185" s="24">
        <f t="shared" si="24"/>
        <v>0</v>
      </c>
      <c r="H185" s="24">
        <f t="shared" si="25"/>
        <v>0</v>
      </c>
      <c r="I185" s="24">
        <f t="shared" si="26"/>
        <v>881.8</v>
      </c>
      <c r="J185" s="25">
        <f t="shared" si="27"/>
        <v>7.9741404289037643E-3</v>
      </c>
      <c r="K185" s="24">
        <f t="shared" si="32"/>
        <v>717289.68658776733</v>
      </c>
      <c r="L185" s="24" t="str">
        <f t="shared" si="28"/>
        <v/>
      </c>
      <c r="M185" s="24">
        <f t="shared" si="29"/>
        <v>1058.5370767011839</v>
      </c>
      <c r="N185" s="24">
        <f>IF(M185&lt;=0,0,IF($E$2-A185&lt;12,(M185-E185)*Dashboard!$B$18,IF($Q$2+A185&gt;=$R$2,MAX(0,M185-E185*POWER(1+$C$2,$E$2-A185))*MAX(Dashboard!$C$18,Dashboard!$B$18),IF($S$2&lt;$R$2,(M185-E185)*0.5*Dashboard!$B$18,(E185*POWER(1+$A$2,$R$2-($Q$2+A185))-E185)*0.5*Dashboard!$B$18+MAX(0,M185-E185*POWER(1+$A$2,$R$2-($Q$2+A185))*POWER(1+$C$2,$S$2-$R$2))*MAX(Dashboard!$C$18,Dashboard!$B$18)))))</f>
        <v>62.980162616194526</v>
      </c>
    </row>
    <row r="186" spans="1:14" x14ac:dyDescent="0.2">
      <c r="A186" s="22">
        <f t="shared" si="30"/>
        <v>181</v>
      </c>
      <c r="B186" s="23">
        <f t="shared" si="31"/>
        <v>33.138127853881109</v>
      </c>
      <c r="C186" t="str">
        <f t="shared" si="22"/>
        <v>33 y 1.66 m</v>
      </c>
      <c r="D186" s="24">
        <f>IF(A186&gt;=$E$2,IF(A186&lt;$E$2+$H$2,$P$2,0),IF(B186&lt;Dashboard!$I$6,0,IF(A186&gt;=$F$2,Dashboard!$C$22*POWER(1+$C$2,A186-$F$2),Dashboard!$C$22)))</f>
        <v>6000</v>
      </c>
      <c r="E186" s="24">
        <f>IF(A186&gt;=$F$2,0,IF(A186=0,Dashboard!$G$10,IF(B186&lt;Dashboard!$I$6,IF($J$2&lt;=Dashboard!$H$10,Dashboard!$H$10,MAX(Dashboard!$H$10,MIN($J$2,Dashboard!$H$10*POWER($J$2/Dashboard!$H$10,A186/$D$2)))),$I$2-D186-Dashboard!$I$10-Dashboard!$J$10-Dashboard!$F$10*$I$2)))</f>
        <v>881.8</v>
      </c>
      <c r="F186" s="24">
        <f t="shared" si="23"/>
        <v>0</v>
      </c>
      <c r="G186" s="24">
        <f t="shared" si="24"/>
        <v>0</v>
      </c>
      <c r="H186" s="24">
        <f t="shared" si="25"/>
        <v>0</v>
      </c>
      <c r="I186" s="24">
        <f t="shared" si="26"/>
        <v>881.8</v>
      </c>
      <c r="J186" s="25">
        <f t="shared" si="27"/>
        <v>7.9741404289037643E-3</v>
      </c>
      <c r="K186" s="24">
        <f t="shared" si="32"/>
        <v>723898.28687385283</v>
      </c>
      <c r="L186" s="24" t="str">
        <f t="shared" si="28"/>
        <v/>
      </c>
      <c r="M186" s="24">
        <f t="shared" si="29"/>
        <v>1050.162930023944</v>
      </c>
      <c r="N186" s="24">
        <f>IF(M186&lt;=0,0,IF($E$2-A186&lt;12,(M186-E186)*Dashboard!$B$18,IF($Q$2+A186&gt;=$R$2,MAX(0,M186-E186*POWER(1+$C$2,$E$2-A186))*MAX(Dashboard!$C$18,Dashboard!$B$18),IF($S$2&lt;$R$2,(M186-E186)*0.5*Dashboard!$B$18,(E186*POWER(1+$A$2,$R$2-($Q$2+A186))-E186)*0.5*Dashboard!$B$18+MAX(0,M186-E186*POWER(1+$A$2,$R$2-($Q$2+A186))*POWER(1+$C$2,$S$2-$R$2))*MAX(Dashboard!$C$18,Dashboard!$B$18)))))</f>
        <v>59.937539096414511</v>
      </c>
    </row>
    <row r="187" spans="1:14" x14ac:dyDescent="0.2">
      <c r="A187" s="22">
        <f t="shared" si="30"/>
        <v>182</v>
      </c>
      <c r="B187" s="23">
        <f t="shared" si="31"/>
        <v>33.221461187214445</v>
      </c>
      <c r="C187" t="str">
        <f t="shared" si="22"/>
        <v>33 y 2.66 m</v>
      </c>
      <c r="D187" s="24">
        <f>IF(A187&gt;=$E$2,IF(A187&lt;$E$2+$H$2,$P$2,0),IF(B187&lt;Dashboard!$I$6,0,IF(A187&gt;=$F$2,Dashboard!$C$22*POWER(1+$C$2,A187-$F$2),Dashboard!$C$22)))</f>
        <v>6000</v>
      </c>
      <c r="E187" s="24">
        <f>IF(A187&gt;=$F$2,0,IF(A187=0,Dashboard!$G$10,IF(B187&lt;Dashboard!$I$6,IF($J$2&lt;=Dashboard!$H$10,Dashboard!$H$10,MAX(Dashboard!$H$10,MIN($J$2,Dashboard!$H$10*POWER($J$2/Dashboard!$H$10,A187/$D$2)))),$I$2-D187-Dashboard!$I$10-Dashboard!$J$10-Dashboard!$F$10*$I$2)))</f>
        <v>881.8</v>
      </c>
      <c r="F187" s="24">
        <f t="shared" si="23"/>
        <v>0</v>
      </c>
      <c r="G187" s="24">
        <f t="shared" si="24"/>
        <v>0</v>
      </c>
      <c r="H187" s="24">
        <f t="shared" si="25"/>
        <v>0</v>
      </c>
      <c r="I187" s="24">
        <f t="shared" si="26"/>
        <v>881.8</v>
      </c>
      <c r="J187" s="25">
        <f t="shared" si="27"/>
        <v>7.9741404289037643E-3</v>
      </c>
      <c r="K187" s="24">
        <f t="shared" si="32"/>
        <v>730559.5850666581</v>
      </c>
      <c r="L187" s="24" t="str">
        <f t="shared" si="28"/>
        <v/>
      </c>
      <c r="M187" s="24">
        <f t="shared" si="29"/>
        <v>1041.8550316946512</v>
      </c>
      <c r="N187" s="24">
        <f>IF(M187&lt;=0,0,IF($E$2-A187&lt;12,(M187-E187)*Dashboard!$B$18,IF($Q$2+A187&gt;=$R$2,MAX(0,M187-E187*POWER(1+$C$2,$E$2-A187))*MAX(Dashboard!$C$18,Dashboard!$B$18),IF($S$2&lt;$R$2,(M187-E187)*0.5*Dashboard!$B$18,(E187*POWER(1+$A$2,$R$2-($Q$2+A187))-E187)*0.5*Dashboard!$B$18+MAX(0,M187-E187*POWER(1+$A$2,$R$2-($Q$2+A187))*POWER(1+$C$2,$S$2-$R$2))*MAX(Dashboard!$C$18,Dashboard!$B$18)))))</f>
        <v>56.924216184153728</v>
      </c>
    </row>
    <row r="188" spans="1:14" x14ac:dyDescent="0.2">
      <c r="A188" s="22">
        <f t="shared" si="30"/>
        <v>183</v>
      </c>
      <c r="B188" s="23">
        <f t="shared" si="31"/>
        <v>33.30479452054778</v>
      </c>
      <c r="C188" t="str">
        <f t="shared" si="22"/>
        <v>33 y 3.66 m</v>
      </c>
      <c r="D188" s="24">
        <f>IF(A188&gt;=$E$2,IF(A188&lt;$E$2+$H$2,$P$2,0),IF(B188&lt;Dashboard!$I$6,0,IF(A188&gt;=$F$2,Dashboard!$C$22*POWER(1+$C$2,A188-$F$2),Dashboard!$C$22)))</f>
        <v>6000</v>
      </c>
      <c r="E188" s="24">
        <f>IF(A188&gt;=$F$2,0,IF(A188=0,Dashboard!$G$10,IF(B188&lt;Dashboard!$I$6,IF($J$2&lt;=Dashboard!$H$10,Dashboard!$H$10,MAX(Dashboard!$H$10,MIN($J$2,Dashboard!$H$10*POWER($J$2/Dashboard!$H$10,A188/$D$2)))),$I$2-D188-Dashboard!$I$10-Dashboard!$J$10-Dashboard!$F$10*$I$2)))</f>
        <v>881.8</v>
      </c>
      <c r="F188" s="24">
        <f t="shared" si="23"/>
        <v>0</v>
      </c>
      <c r="G188" s="24">
        <f t="shared" si="24"/>
        <v>0</v>
      </c>
      <c r="H188" s="24">
        <f t="shared" si="25"/>
        <v>0</v>
      </c>
      <c r="I188" s="24">
        <f t="shared" si="26"/>
        <v>881.8</v>
      </c>
      <c r="J188" s="25">
        <f t="shared" si="27"/>
        <v>7.9741404289037643E-3</v>
      </c>
      <c r="K188" s="24">
        <f t="shared" si="32"/>
        <v>737274.00138669158</v>
      </c>
      <c r="L188" s="24" t="str">
        <f t="shared" si="28"/>
        <v/>
      </c>
      <c r="M188" s="24">
        <f t="shared" si="29"/>
        <v>1033.6128576188776</v>
      </c>
      <c r="N188" s="24">
        <f>IF(M188&lt;=0,0,IF($E$2-A188&lt;12,(M188-E188)*Dashboard!$B$18,IF($Q$2+A188&gt;=$R$2,MAX(0,M188-E188*POWER(1+$C$2,$E$2-A188))*MAX(Dashboard!$C$18,Dashboard!$B$18),IF($S$2&lt;$R$2,(M188-E188)*0.5*Dashboard!$B$18,(E188*POWER(1+$A$2,$R$2-($Q$2+A188))-E188)*0.5*Dashboard!$B$18+MAX(0,M188-E188*POWER(1+$A$2,$R$2-($Q$2+A188))*POWER(1+$C$2,$S$2-$R$2))*MAX(Dashboard!$C$18,Dashboard!$B$18)))))</f>
        <v>53.939951329354926</v>
      </c>
    </row>
    <row r="189" spans="1:14" x14ac:dyDescent="0.2">
      <c r="A189" s="22">
        <f t="shared" si="30"/>
        <v>184</v>
      </c>
      <c r="B189" s="23">
        <f t="shared" si="31"/>
        <v>33.388127853881116</v>
      </c>
      <c r="C189" t="str">
        <f t="shared" si="22"/>
        <v>33 y 4.66 m</v>
      </c>
      <c r="D189" s="24">
        <f>IF(A189&gt;=$E$2,IF(A189&lt;$E$2+$H$2,$P$2,0),IF(B189&lt;Dashboard!$I$6,0,IF(A189&gt;=$F$2,Dashboard!$C$22*POWER(1+$C$2,A189-$F$2),Dashboard!$C$22)))</f>
        <v>6000</v>
      </c>
      <c r="E189" s="24">
        <f>IF(A189&gt;=$F$2,0,IF(A189=0,Dashboard!$G$10,IF(B189&lt;Dashboard!$I$6,IF($J$2&lt;=Dashboard!$H$10,Dashboard!$H$10,MAX(Dashboard!$H$10,MIN($J$2,Dashboard!$H$10*POWER($J$2/Dashboard!$H$10,A189/$D$2)))),$I$2-D189-Dashboard!$I$10-Dashboard!$J$10-Dashboard!$F$10*$I$2)))</f>
        <v>881.8</v>
      </c>
      <c r="F189" s="24">
        <f t="shared" si="23"/>
        <v>0</v>
      </c>
      <c r="G189" s="24">
        <f t="shared" si="24"/>
        <v>0</v>
      </c>
      <c r="H189" s="24">
        <f t="shared" si="25"/>
        <v>0</v>
      </c>
      <c r="I189" s="24">
        <f t="shared" si="26"/>
        <v>881.8</v>
      </c>
      <c r="J189" s="25">
        <f t="shared" si="27"/>
        <v>7.9741404289037643E-3</v>
      </c>
      <c r="K189" s="24">
        <f t="shared" si="32"/>
        <v>744041.95940535911</v>
      </c>
      <c r="L189" s="24" t="str">
        <f t="shared" si="28"/>
        <v/>
      </c>
      <c r="M189" s="24">
        <f t="shared" si="29"/>
        <v>1025.4358878483372</v>
      </c>
      <c r="N189" s="24">
        <f>IF(M189&lt;=0,0,IF($E$2-A189&lt;12,(M189-E189)*Dashboard!$B$18,IF($Q$2+A189&gt;=$R$2,MAX(0,M189-E189*POWER(1+$C$2,$E$2-A189))*MAX(Dashboard!$C$18,Dashboard!$B$18),IF($S$2&lt;$R$2,(M189-E189)*0.5*Dashboard!$B$18,(E189*POWER(1+$A$2,$R$2-($Q$2+A189))-E189)*0.5*Dashboard!$B$18+MAX(0,M189-E189*POWER(1+$A$2,$R$2-($Q$2+A189))*POWER(1+$C$2,$S$2-$R$2))*MAX(Dashboard!$C$18,Dashboard!$B$18)))))</f>
        <v>50.984503922889246</v>
      </c>
    </row>
    <row r="190" spans="1:14" x14ac:dyDescent="0.2">
      <c r="A190" s="22">
        <f t="shared" si="30"/>
        <v>185</v>
      </c>
      <c r="B190" s="23">
        <f t="shared" si="31"/>
        <v>33.471461187214452</v>
      </c>
      <c r="C190" t="str">
        <f t="shared" si="22"/>
        <v>33 y 5.66 m</v>
      </c>
      <c r="D190" s="24">
        <f>IF(A190&gt;=$E$2,IF(A190&lt;$E$2+$H$2,$P$2,0),IF(B190&lt;Dashboard!$I$6,0,IF(A190&gt;=$F$2,Dashboard!$C$22*POWER(1+$C$2,A190-$F$2),Dashboard!$C$22)))</f>
        <v>6000</v>
      </c>
      <c r="E190" s="24">
        <f>IF(A190&gt;=$F$2,0,IF(A190=0,Dashboard!$G$10,IF(B190&lt;Dashboard!$I$6,IF($J$2&lt;=Dashboard!$H$10,Dashboard!$H$10,MAX(Dashboard!$H$10,MIN($J$2,Dashboard!$H$10*POWER($J$2/Dashboard!$H$10,A190/$D$2)))),$I$2-D190-Dashboard!$I$10-Dashboard!$J$10-Dashboard!$F$10*$I$2)))</f>
        <v>881.8</v>
      </c>
      <c r="F190" s="24">
        <f t="shared" si="23"/>
        <v>0</v>
      </c>
      <c r="G190" s="24">
        <f t="shared" si="24"/>
        <v>0</v>
      </c>
      <c r="H190" s="24">
        <f t="shared" si="25"/>
        <v>0</v>
      </c>
      <c r="I190" s="24">
        <f t="shared" si="26"/>
        <v>881.8</v>
      </c>
      <c r="J190" s="25">
        <f t="shared" si="27"/>
        <v>7.9741404289037643E-3</v>
      </c>
      <c r="K190" s="24">
        <f t="shared" si="32"/>
        <v>750863.88607168442</v>
      </c>
      <c r="L190" s="24" t="str">
        <f t="shared" si="28"/>
        <v/>
      </c>
      <c r="M190" s="24">
        <f t="shared" si="29"/>
        <v>1017.3236065480842</v>
      </c>
      <c r="N190" s="24">
        <f>IF(M190&lt;=0,0,IF($E$2-A190&lt;12,(M190-E190)*Dashboard!$B$18,IF($Q$2+A190&gt;=$R$2,MAX(0,M190-E190*POWER(1+$C$2,$E$2-A190))*MAX(Dashboard!$C$18,Dashboard!$B$18),IF($S$2&lt;$R$2,(M190-E190)*0.5*Dashboard!$B$18,(E190*POWER(1+$A$2,$R$2-($Q$2+A190))-E190)*0.5*Dashboard!$B$18+MAX(0,M190-E190*POWER(1+$A$2,$R$2-($Q$2+A190))*POWER(1+$C$2,$S$2-$R$2))*MAX(Dashboard!$C$18,Dashboard!$B$18)))))</f>
        <v>48.057635281154731</v>
      </c>
    </row>
    <row r="191" spans="1:14" x14ac:dyDescent="0.2">
      <c r="A191" s="22">
        <f t="shared" si="30"/>
        <v>186</v>
      </c>
      <c r="B191" s="23">
        <f t="shared" si="31"/>
        <v>33.554794520547787</v>
      </c>
      <c r="C191" t="str">
        <f t="shared" si="22"/>
        <v>33 y 6.66 m</v>
      </c>
      <c r="D191" s="24">
        <f>IF(A191&gt;=$E$2,IF(A191&lt;$E$2+$H$2,$P$2,0),IF(B191&lt;Dashboard!$I$6,0,IF(A191&gt;=$F$2,Dashboard!$C$22*POWER(1+$C$2,A191-$F$2),Dashboard!$C$22)))</f>
        <v>6000</v>
      </c>
      <c r="E191" s="24">
        <f>IF(A191&gt;=$F$2,0,IF(A191=0,Dashboard!$G$10,IF(B191&lt;Dashboard!$I$6,IF($J$2&lt;=Dashboard!$H$10,Dashboard!$H$10,MAX(Dashboard!$H$10,MIN($J$2,Dashboard!$H$10*POWER($J$2/Dashboard!$H$10,A191/$D$2)))),$I$2-D191-Dashboard!$I$10-Dashboard!$J$10-Dashboard!$F$10*$I$2)))</f>
        <v>881.8</v>
      </c>
      <c r="F191" s="24">
        <f t="shared" si="23"/>
        <v>0</v>
      </c>
      <c r="G191" s="24">
        <f t="shared" si="24"/>
        <v>0</v>
      </c>
      <c r="H191" s="24">
        <f t="shared" si="25"/>
        <v>0</v>
      </c>
      <c r="I191" s="24">
        <f t="shared" si="26"/>
        <v>881.8</v>
      </c>
      <c r="J191" s="25">
        <f t="shared" si="27"/>
        <v>7.9741404289037643E-3</v>
      </c>
      <c r="K191" s="24">
        <f t="shared" si="32"/>
        <v>757740.21173924266</v>
      </c>
      <c r="L191" s="24" t="str">
        <f t="shared" si="28"/>
        <v/>
      </c>
      <c r="M191" s="24">
        <f t="shared" si="29"/>
        <v>1009.275501963971</v>
      </c>
      <c r="N191" s="24">
        <f>IF(M191&lt;=0,0,IF($E$2-A191&lt;12,(M191-E191)*Dashboard!$B$18,IF($Q$2+A191&gt;=$R$2,MAX(0,M191-E191*POWER(1+$C$2,$E$2-A191))*MAX(Dashboard!$C$18,Dashboard!$B$18),IF($S$2&lt;$R$2,(M191-E191)*0.5*Dashboard!$B$18,(E191*POWER(1+$A$2,$R$2-($Q$2+A191))-E191)*0.5*Dashboard!$B$18+MAX(0,M191-E191*POWER(1+$A$2,$R$2-($Q$2+A191))*POWER(1+$C$2,$S$2-$R$2))*MAX(Dashboard!$C$18,Dashboard!$B$18)))))</f>
        <v>45.159108630798308</v>
      </c>
    </row>
    <row r="192" spans="1:14" x14ac:dyDescent="0.2">
      <c r="A192" s="22">
        <f t="shared" si="30"/>
        <v>187</v>
      </c>
      <c r="B192" s="23">
        <f t="shared" si="31"/>
        <v>33.638127853881123</v>
      </c>
      <c r="C192" t="str">
        <f t="shared" si="22"/>
        <v>33 y 7.66 m</v>
      </c>
      <c r="D192" s="24">
        <f>IF(A192&gt;=$E$2,IF(A192&lt;$E$2+$H$2,$P$2,0),IF(B192&lt;Dashboard!$I$6,0,IF(A192&gt;=$F$2,Dashboard!$C$22*POWER(1+$C$2,A192-$F$2),Dashboard!$C$22)))</f>
        <v>6000</v>
      </c>
      <c r="E192" s="24">
        <f>IF(A192&gt;=$F$2,0,IF(A192=0,Dashboard!$G$10,IF(B192&lt;Dashboard!$I$6,IF($J$2&lt;=Dashboard!$H$10,Dashboard!$H$10,MAX(Dashboard!$H$10,MIN($J$2,Dashboard!$H$10*POWER($J$2/Dashboard!$H$10,A192/$D$2)))),$I$2-D192-Dashboard!$I$10-Dashboard!$J$10-Dashboard!$F$10*$I$2)))</f>
        <v>881.8</v>
      </c>
      <c r="F192" s="24">
        <f t="shared" si="23"/>
        <v>0</v>
      </c>
      <c r="G192" s="24">
        <f t="shared" si="24"/>
        <v>0</v>
      </c>
      <c r="H192" s="24">
        <f t="shared" si="25"/>
        <v>0</v>
      </c>
      <c r="I192" s="24">
        <f t="shared" si="26"/>
        <v>881.8</v>
      </c>
      <c r="J192" s="25">
        <f t="shared" si="27"/>
        <v>7.9741404289037643E-3</v>
      </c>
      <c r="K192" s="24">
        <f t="shared" si="32"/>
        <v>764671.37019330892</v>
      </c>
      <c r="L192" s="24" t="str">
        <f t="shared" si="28"/>
        <v/>
      </c>
      <c r="M192" s="24">
        <f t="shared" si="29"/>
        <v>1001.2910663903674</v>
      </c>
      <c r="N192" s="24">
        <f>IF(M192&lt;=0,0,IF($E$2-A192&lt;12,(M192-E192)*Dashboard!$B$18,IF($Q$2+A192&gt;=$R$2,MAX(0,M192-E192*POWER(1+$C$2,$E$2-A192))*MAX(Dashboard!$C$18,Dashboard!$B$18),IF($S$2&lt;$R$2,(M192-E192)*0.5*Dashboard!$B$18,(E192*POWER(1+$A$2,$R$2-($Q$2+A192))-E192)*0.5*Dashboard!$B$18+MAX(0,M192-E192*POWER(1+$A$2,$R$2-($Q$2+A192))*POWER(1+$C$2,$S$2-$R$2))*MAX(Dashboard!$C$18,Dashboard!$B$18)))))</f>
        <v>42.288689093559235</v>
      </c>
    </row>
    <row r="193" spans="1:14" x14ac:dyDescent="0.2">
      <c r="A193" s="22">
        <f t="shared" si="30"/>
        <v>188</v>
      </c>
      <c r="B193" s="23">
        <f t="shared" si="31"/>
        <v>33.721461187214459</v>
      </c>
      <c r="C193" t="str">
        <f t="shared" si="22"/>
        <v>33 y 8.66 m</v>
      </c>
      <c r="D193" s="24">
        <f>IF(A193&gt;=$E$2,IF(A193&lt;$E$2+$H$2,$P$2,0),IF(B193&lt;Dashboard!$I$6,0,IF(A193&gt;=$F$2,Dashboard!$C$22*POWER(1+$C$2,A193-$F$2),Dashboard!$C$22)))</f>
        <v>6000</v>
      </c>
      <c r="E193" s="24">
        <f>IF(A193&gt;=$F$2,0,IF(A193=0,Dashboard!$G$10,IF(B193&lt;Dashboard!$I$6,IF($J$2&lt;=Dashboard!$H$10,Dashboard!$H$10,MAX(Dashboard!$H$10,MIN($J$2,Dashboard!$H$10*POWER($J$2/Dashboard!$H$10,A193/$D$2)))),$I$2-D193-Dashboard!$I$10-Dashboard!$J$10-Dashboard!$F$10*$I$2)))</f>
        <v>881.8</v>
      </c>
      <c r="F193" s="24">
        <f t="shared" si="23"/>
        <v>0</v>
      </c>
      <c r="G193" s="24">
        <f t="shared" si="24"/>
        <v>0</v>
      </c>
      <c r="H193" s="24">
        <f t="shared" si="25"/>
        <v>0</v>
      </c>
      <c r="I193" s="24">
        <f t="shared" si="26"/>
        <v>881.8</v>
      </c>
      <c r="J193" s="25">
        <f t="shared" si="27"/>
        <v>7.9741404289037643E-3</v>
      </c>
      <c r="K193" s="24">
        <f t="shared" si="32"/>
        <v>771657.79867822293</v>
      </c>
      <c r="L193" s="24" t="str">
        <f t="shared" si="28"/>
        <v/>
      </c>
      <c r="M193" s="24">
        <f t="shared" si="29"/>
        <v>993.36979613813014</v>
      </c>
      <c r="N193" s="24">
        <f>IF(M193&lt;=0,0,IF($E$2-A193&lt;12,(M193-E193)*Dashboard!$B$18,IF($Q$2+A193&gt;=$R$2,MAX(0,M193-E193*POWER(1+$C$2,$E$2-A193))*MAX(Dashboard!$C$18,Dashboard!$B$18),IF($S$2&lt;$R$2,(M193-E193)*0.5*Dashboard!$B$18,(E193*POWER(1+$A$2,$R$2-($Q$2+A193))-E193)*0.5*Dashboard!$B$18+MAX(0,M193-E193*POWER(1+$A$2,$R$2-($Q$2+A193))*POWER(1+$C$2,$S$2-$R$2))*MAX(Dashboard!$C$18,Dashboard!$B$18)))))</f>
        <v>39.446143671230544</v>
      </c>
    </row>
    <row r="194" spans="1:14" x14ac:dyDescent="0.2">
      <c r="A194" s="22">
        <f t="shared" si="30"/>
        <v>189</v>
      </c>
      <c r="B194" s="23">
        <f t="shared" si="31"/>
        <v>33.804794520547794</v>
      </c>
      <c r="C194" t="str">
        <f t="shared" si="22"/>
        <v>33 y 9.66 m</v>
      </c>
      <c r="D194" s="24">
        <f>IF(A194&gt;=$E$2,IF(A194&lt;$E$2+$H$2,$P$2,0),IF(B194&lt;Dashboard!$I$6,0,IF(A194&gt;=$F$2,Dashboard!$C$22*POWER(1+$C$2,A194-$F$2),Dashboard!$C$22)))</f>
        <v>6000</v>
      </c>
      <c r="E194" s="24">
        <f>IF(A194&gt;=$F$2,0,IF(A194=0,Dashboard!$G$10,IF(B194&lt;Dashboard!$I$6,IF($J$2&lt;=Dashboard!$H$10,Dashboard!$H$10,MAX(Dashboard!$H$10,MIN($J$2,Dashboard!$H$10*POWER($J$2/Dashboard!$H$10,A194/$D$2)))),$I$2-D194-Dashboard!$I$10-Dashboard!$J$10-Dashboard!$F$10*$I$2)))</f>
        <v>881.8</v>
      </c>
      <c r="F194" s="24">
        <f t="shared" si="23"/>
        <v>0</v>
      </c>
      <c r="G194" s="24">
        <f t="shared" si="24"/>
        <v>0</v>
      </c>
      <c r="H194" s="24">
        <f t="shared" si="25"/>
        <v>0</v>
      </c>
      <c r="I194" s="24">
        <f t="shared" si="26"/>
        <v>881.8</v>
      </c>
      <c r="J194" s="25">
        <f t="shared" si="27"/>
        <v>7.9741404289037643E-3</v>
      </c>
      <c r="K194" s="24">
        <f t="shared" si="32"/>
        <v>778699.93792497204</v>
      </c>
      <c r="L194" s="24" t="str">
        <f t="shared" si="28"/>
        <v/>
      </c>
      <c r="M194" s="24">
        <f t="shared" si="29"/>
        <v>985.51119150283046</v>
      </c>
      <c r="N194" s="24">
        <f>IF(M194&lt;=0,0,IF($E$2-A194&lt;12,(M194-E194)*Dashboard!$B$18,IF($Q$2+A194&gt;=$R$2,MAX(0,M194-E194*POWER(1+$C$2,$E$2-A194))*MAX(Dashboard!$C$18,Dashboard!$B$18),IF($S$2&lt;$R$2,(M194-E194)*0.5*Dashboard!$B$18,(E194*POWER(1+$A$2,$R$2-($Q$2+A194))-E194)*0.5*Dashboard!$B$18+MAX(0,M194-E194*POWER(1+$A$2,$R$2-($Q$2+A194))*POWER(1+$C$2,$S$2-$R$2))*MAX(Dashboard!$C$18,Dashboard!$B$18)))))</f>
        <v>36.631241230742198</v>
      </c>
    </row>
    <row r="195" spans="1:14" x14ac:dyDescent="0.2">
      <c r="A195" s="22">
        <f t="shared" si="30"/>
        <v>190</v>
      </c>
      <c r="B195" s="23">
        <f t="shared" si="31"/>
        <v>33.88812785388113</v>
      </c>
      <c r="C195" t="str">
        <f t="shared" si="22"/>
        <v>33 y 10.66 m</v>
      </c>
      <c r="D195" s="24">
        <f>IF(A195&gt;=$E$2,IF(A195&lt;$E$2+$H$2,$P$2,0),IF(B195&lt;Dashboard!$I$6,0,IF(A195&gt;=$F$2,Dashboard!$C$22*POWER(1+$C$2,A195-$F$2),Dashboard!$C$22)))</f>
        <v>6000</v>
      </c>
      <c r="E195" s="24">
        <f>IF(A195&gt;=$F$2,0,IF(A195=0,Dashboard!$G$10,IF(B195&lt;Dashboard!$I$6,IF($J$2&lt;=Dashboard!$H$10,Dashboard!$H$10,MAX(Dashboard!$H$10,MIN($J$2,Dashboard!$H$10*POWER($J$2/Dashboard!$H$10,A195/$D$2)))),$I$2-D195-Dashboard!$I$10-Dashboard!$J$10-Dashboard!$F$10*$I$2)))</f>
        <v>881.8</v>
      </c>
      <c r="F195" s="24">
        <f t="shared" si="23"/>
        <v>0</v>
      </c>
      <c r="G195" s="24">
        <f t="shared" si="24"/>
        <v>0</v>
      </c>
      <c r="H195" s="24">
        <f t="shared" si="25"/>
        <v>0</v>
      </c>
      <c r="I195" s="24">
        <f t="shared" si="26"/>
        <v>881.8</v>
      </c>
      <c r="J195" s="25">
        <f t="shared" si="27"/>
        <v>7.9741404289037643E-3</v>
      </c>
      <c r="K195" s="24">
        <f t="shared" si="32"/>
        <v>785798.23217899469</v>
      </c>
      <c r="L195" s="24" t="str">
        <f t="shared" si="28"/>
        <v/>
      </c>
      <c r="M195" s="24">
        <f t="shared" si="29"/>
        <v>977.71475673322823</v>
      </c>
      <c r="N195" s="24">
        <f>IF(M195&lt;=0,0,IF($E$2-A195&lt;12,(M195-E195)*Dashboard!$B$18,IF($Q$2+A195&gt;=$R$2,MAX(0,M195-E195*POWER(1+$C$2,$E$2-A195))*MAX(Dashboard!$C$18,Dashboard!$B$18),IF($S$2&lt;$R$2,(M195-E195)*0.5*Dashboard!$B$18,(E195*POWER(1+$A$2,$R$2-($Q$2+A195))-E195)*0.5*Dashboard!$B$18+MAX(0,M195-E195*POWER(1+$A$2,$R$2-($Q$2+A195))*POWER(1+$C$2,$S$2-$R$2))*MAX(Dashboard!$C$18,Dashboard!$B$18)))))</f>
        <v>33.843752489359431</v>
      </c>
    </row>
    <row r="196" spans="1:14" x14ac:dyDescent="0.2">
      <c r="A196" s="22">
        <f t="shared" si="30"/>
        <v>191</v>
      </c>
      <c r="B196" s="23">
        <f t="shared" si="31"/>
        <v>33.971461187214466</v>
      </c>
      <c r="C196" t="str">
        <f t="shared" si="22"/>
        <v>33 y 11.66 m</v>
      </c>
      <c r="D196" s="24">
        <f>IF(A196&gt;=$E$2,IF(A196&lt;$E$2+$H$2,$P$2,0),IF(B196&lt;Dashboard!$I$6,0,IF(A196&gt;=$F$2,Dashboard!$C$22*POWER(1+$C$2,A196-$F$2),Dashboard!$C$22)))</f>
        <v>6000</v>
      </c>
      <c r="E196" s="24">
        <f>IF(A196&gt;=$F$2,0,IF(A196=0,Dashboard!$G$10,IF(B196&lt;Dashboard!$I$6,IF($J$2&lt;=Dashboard!$H$10,Dashboard!$H$10,MAX(Dashboard!$H$10,MIN($J$2,Dashboard!$H$10*POWER($J$2/Dashboard!$H$10,A196/$D$2)))),$I$2-D196-Dashboard!$I$10-Dashboard!$J$10-Dashboard!$F$10*$I$2)))</f>
        <v>881.8</v>
      </c>
      <c r="F196" s="24">
        <f t="shared" si="23"/>
        <v>0</v>
      </c>
      <c r="G196" s="24">
        <f t="shared" si="24"/>
        <v>0</v>
      </c>
      <c r="H196" s="24">
        <f t="shared" si="25"/>
        <v>0</v>
      </c>
      <c r="I196" s="24">
        <f t="shared" si="26"/>
        <v>881.8</v>
      </c>
      <c r="J196" s="25">
        <f t="shared" si="27"/>
        <v>7.9741404289037643E-3</v>
      </c>
      <c r="K196" s="24">
        <f t="shared" si="32"/>
        <v>792953.12922820461</v>
      </c>
      <c r="L196" s="24" t="str">
        <f t="shared" si="28"/>
        <v/>
      </c>
      <c r="M196" s="24">
        <f t="shared" si="29"/>
        <v>969.98000000000025</v>
      </c>
      <c r="N196" s="24">
        <f>IF(M196&lt;=0,0,IF($E$2-A196&lt;12,(M196-E196)*Dashboard!$B$18,IF($Q$2+A196&gt;=$R$2,MAX(0,M196-E196*POWER(1+$C$2,$E$2-A196))*MAX(Dashboard!$C$18,Dashboard!$B$18),IF($S$2&lt;$R$2,(M196-E196)*0.5*Dashboard!$B$18,(E196*POWER(1+$A$2,$R$2-($Q$2+A196))-E196)*0.5*Dashboard!$B$18+MAX(0,M196-E196*POWER(1+$A$2,$R$2-($Q$2+A196))*POWER(1+$C$2,$S$2-$R$2))*MAX(Dashboard!$C$18,Dashboard!$B$18)))))</f>
        <v>31.083450000000742</v>
      </c>
    </row>
    <row r="197" spans="1:14" x14ac:dyDescent="0.2">
      <c r="A197" s="22">
        <f t="shared" si="30"/>
        <v>192</v>
      </c>
      <c r="B197" s="23">
        <f t="shared" si="31"/>
        <v>34.054794520547802</v>
      </c>
      <c r="C197" t="str">
        <f t="shared" ref="C197:C260" si="33">INT(B197)&amp;" y "&amp;ROUND((B197-INT(B197))*12,2)&amp;" m"</f>
        <v>34 y 0.66 m</v>
      </c>
      <c r="D197" s="24">
        <f>IF(A197&gt;=$E$2,IF(A197&lt;$E$2+$H$2,$P$2,0),IF(B197&lt;Dashboard!$I$6,0,IF(A197&gt;=$F$2,Dashboard!$C$22*POWER(1+$C$2,A197-$F$2),Dashboard!$C$22)))</f>
        <v>6000</v>
      </c>
      <c r="E197" s="24">
        <f>IF(A197&gt;=$F$2,0,IF(A197=0,Dashboard!$G$10,IF(B197&lt;Dashboard!$I$6,IF($J$2&lt;=Dashboard!$H$10,Dashboard!$H$10,MAX(Dashboard!$H$10,MIN($J$2,Dashboard!$H$10*POWER($J$2/Dashboard!$H$10,A197/$D$2)))),$I$2-D197-Dashboard!$I$10-Dashboard!$J$10-Dashboard!$F$10*$I$2)))</f>
        <v>881.8</v>
      </c>
      <c r="F197" s="24">
        <f t="shared" ref="F197:F260" si="34">IF(A197&gt;=$F$2,$X$2*POWER(1+$C$2,A197-$F$2)+D197,0)</f>
        <v>0</v>
      </c>
      <c r="G197" s="24">
        <f t="shared" ref="G197:G260" si="35">IF(F197&lt;=0,0,IF(F197*12&lt;=18200,F197,IF(F197*12&lt;=40712,(18200+(F197*12-18200)/0.84)/12,IF(F197*12&lt;=103712,(45000+(F197*12-40712)/0.7)/12,IF(F197*12&lt;=138362,(135000+(F197*12-103712)/0.63)/12,(190000+(F197*12-138362)/0.55)/12)))))</f>
        <v>0</v>
      </c>
      <c r="H197" s="24">
        <f t="shared" ref="H197:H260" si="36">IF(A197=$E$2,$W$2,0)</f>
        <v>0</v>
      </c>
      <c r="I197" s="24">
        <f t="shared" ref="I197:I260" si="37">E197-G197-H197</f>
        <v>881.8</v>
      </c>
      <c r="J197" s="25">
        <f t="shared" ref="J197:J260" si="38">IF(A197&gt;=$F$2,$B$2,$A$2)</f>
        <v>7.9741404289037643E-3</v>
      </c>
      <c r="K197" s="24">
        <f t="shared" si="32"/>
        <v>800165.08043123921</v>
      </c>
      <c r="L197" s="24" t="str">
        <f t="shared" ref="L197:L260" si="39">IF(A197&gt;=$F$2,K197,"")</f>
        <v/>
      </c>
      <c r="M197" s="24">
        <f t="shared" ref="M197:M260" si="40">IF(AND(A197&lt;$E$2,E197&gt;0),E197*POWER(1+$A$2,$E$2-A197),0)</f>
        <v>962.30643336471235</v>
      </c>
      <c r="N197" s="24">
        <f>IF(M197&lt;=0,0,IF($E$2-A197&lt;12,(M197-E197)*Dashboard!$B$18,IF($Q$2+A197&gt;=$R$2,MAX(0,M197-E197*POWER(1+$C$2,$E$2-A197))*MAX(Dashboard!$C$18,Dashboard!$B$18),IF($S$2&lt;$R$2,(M197-E197)*0.5*Dashboard!$B$18,(E197*POWER(1+$A$2,$R$2-($Q$2+A197))-E197)*0.5*Dashboard!$B$18+MAX(0,M197-E197*POWER(1+$A$2,$R$2-($Q$2+A197))*POWER(1+$C$2,$S$2-$R$2))*MAX(Dashboard!$C$18,Dashboard!$B$18)))))</f>
        <v>37.838023681414825</v>
      </c>
    </row>
    <row r="198" spans="1:14" x14ac:dyDescent="0.2">
      <c r="A198" s="22">
        <f t="shared" ref="A198:A261" si="41">A197+1</f>
        <v>193</v>
      </c>
      <c r="B198" s="23">
        <f t="shared" ref="B198:B261" si="42">B197+1/12</f>
        <v>34.138127853881137</v>
      </c>
      <c r="C198" t="str">
        <f t="shared" si="33"/>
        <v>34 y 1.66 m</v>
      </c>
      <c r="D198" s="24">
        <f>IF(A198&gt;=$E$2,IF(A198&lt;$E$2+$H$2,$P$2,0),IF(B198&lt;Dashboard!$I$6,0,IF(A198&gt;=$F$2,Dashboard!$C$22*POWER(1+$C$2,A198-$F$2),Dashboard!$C$22)))</f>
        <v>6000</v>
      </c>
      <c r="E198" s="24">
        <f>IF(A198&gt;=$F$2,0,IF(A198=0,Dashboard!$G$10,IF(B198&lt;Dashboard!$I$6,IF($J$2&lt;=Dashboard!$H$10,Dashboard!$H$10,MAX(Dashboard!$H$10,MIN($J$2,Dashboard!$H$10*POWER($J$2/Dashboard!$H$10,A198/$D$2)))),$I$2-D198-Dashboard!$I$10-Dashboard!$J$10-Dashboard!$F$10*$I$2)))</f>
        <v>881.8</v>
      </c>
      <c r="F198" s="24">
        <f t="shared" si="34"/>
        <v>0</v>
      </c>
      <c r="G198" s="24">
        <f t="shared" si="35"/>
        <v>0</v>
      </c>
      <c r="H198" s="24">
        <f t="shared" si="36"/>
        <v>0</v>
      </c>
      <c r="I198" s="24">
        <f t="shared" si="37"/>
        <v>881.8</v>
      </c>
      <c r="J198" s="25">
        <f t="shared" si="38"/>
        <v>7.9741404289037643E-3</v>
      </c>
      <c r="K198" s="24">
        <f t="shared" ref="K198:K261" si="43">(K197+I198)*(1+J198)</f>
        <v>807434.54074593319</v>
      </c>
      <c r="L198" s="24" t="str">
        <f t="shared" si="39"/>
        <v/>
      </c>
      <c r="M198" s="24">
        <f t="shared" si="40"/>
        <v>954.69357274903984</v>
      </c>
      <c r="N198" s="24">
        <f>IF(M198&lt;=0,0,IF($E$2-A198&lt;12,(M198-E198)*Dashboard!$B$18,IF($Q$2+A198&gt;=$R$2,MAX(0,M198-E198*POWER(1+$C$2,$E$2-A198))*MAX(Dashboard!$C$18,Dashboard!$B$18),IF($S$2&lt;$R$2,(M198-E198)*0.5*Dashboard!$B$18,(E198*POWER(1+$A$2,$R$2-($Q$2+A198))-E198)*0.5*Dashboard!$B$18+MAX(0,M198-E198*POWER(1+$A$2,$R$2-($Q$2+A198))*POWER(1+$C$2,$S$2-$R$2))*MAX(Dashboard!$C$18,Dashboard!$B$18)))))</f>
        <v>34.259979192048746</v>
      </c>
    </row>
    <row r="199" spans="1:14" x14ac:dyDescent="0.2">
      <c r="A199" s="22">
        <f t="shared" si="41"/>
        <v>194</v>
      </c>
      <c r="B199" s="23">
        <f t="shared" si="42"/>
        <v>34.221461187214473</v>
      </c>
      <c r="C199" t="str">
        <f t="shared" si="33"/>
        <v>34 y 2.66 m</v>
      </c>
      <c r="D199" s="24">
        <f>IF(A199&gt;=$E$2,IF(A199&lt;$E$2+$H$2,$P$2,0),IF(B199&lt;Dashboard!$I$6,0,IF(A199&gt;=$F$2,Dashboard!$C$22*POWER(1+$C$2,A199-$F$2),Dashboard!$C$22)))</f>
        <v>6000</v>
      </c>
      <c r="E199" s="24">
        <f>IF(A199&gt;=$F$2,0,IF(A199=0,Dashboard!$G$10,IF(B199&lt;Dashboard!$I$6,IF($J$2&lt;=Dashboard!$H$10,Dashboard!$H$10,MAX(Dashboard!$H$10,MIN($J$2,Dashboard!$H$10*POWER($J$2/Dashboard!$H$10,A199/$D$2)))),$I$2-D199-Dashboard!$I$10-Dashboard!$J$10-Dashboard!$F$10*$I$2)))</f>
        <v>881.8</v>
      </c>
      <c r="F199" s="24">
        <f t="shared" si="34"/>
        <v>0</v>
      </c>
      <c r="G199" s="24">
        <f t="shared" si="35"/>
        <v>0</v>
      </c>
      <c r="H199" s="24">
        <f t="shared" si="36"/>
        <v>0</v>
      </c>
      <c r="I199" s="24">
        <f t="shared" si="37"/>
        <v>881.8</v>
      </c>
      <c r="J199" s="25">
        <f t="shared" si="38"/>
        <v>7.9741404289037643E-3</v>
      </c>
      <c r="K199" s="24">
        <f t="shared" si="43"/>
        <v>814761.96875801892</v>
      </c>
      <c r="L199" s="24" t="str">
        <f t="shared" si="39"/>
        <v/>
      </c>
      <c r="M199" s="24">
        <f t="shared" si="40"/>
        <v>947.14093790422783</v>
      </c>
      <c r="N199" s="24">
        <f>IF(M199&lt;=0,0,IF($E$2-A199&lt;12,(M199-E199)*Dashboard!$B$18,IF($Q$2+A199&gt;=$R$2,MAX(0,M199-E199*POWER(1+$C$2,$E$2-A199))*MAX(Dashboard!$C$18,Dashboard!$B$18),IF($S$2&lt;$R$2,(M199-E199)*0.5*Dashboard!$B$18,(E199*POWER(1+$A$2,$R$2-($Q$2+A199))-E199)*0.5*Dashboard!$B$18+MAX(0,M199-E199*POWER(1+$A$2,$R$2-($Q$2+A199))*POWER(1+$C$2,$S$2-$R$2))*MAX(Dashboard!$C$18,Dashboard!$B$18)))))</f>
        <v>30.710240814987099</v>
      </c>
    </row>
    <row r="200" spans="1:14" x14ac:dyDescent="0.2">
      <c r="A200" s="22">
        <f t="shared" si="41"/>
        <v>195</v>
      </c>
      <c r="B200" s="23">
        <f t="shared" si="42"/>
        <v>34.304794520547809</v>
      </c>
      <c r="C200" t="str">
        <f t="shared" si="33"/>
        <v>34 y 3.66 m</v>
      </c>
      <c r="D200" s="24">
        <f>IF(A200&gt;=$E$2,IF(A200&lt;$E$2+$H$2,$P$2,0),IF(B200&lt;Dashboard!$I$6,0,IF(A200&gt;=$F$2,Dashboard!$C$22*POWER(1+$C$2,A200-$F$2),Dashboard!$C$22)))</f>
        <v>6000</v>
      </c>
      <c r="E200" s="24">
        <f>IF(A200&gt;=$F$2,0,IF(A200=0,Dashboard!$G$10,IF(B200&lt;Dashboard!$I$6,IF($J$2&lt;=Dashboard!$H$10,Dashboard!$H$10,MAX(Dashboard!$H$10,MIN($J$2,Dashboard!$H$10*POWER($J$2/Dashboard!$H$10,A200/$D$2)))),$I$2-D200-Dashboard!$I$10-Dashboard!$J$10-Dashboard!$F$10*$I$2)))</f>
        <v>881.8</v>
      </c>
      <c r="F200" s="24">
        <f t="shared" si="34"/>
        <v>0</v>
      </c>
      <c r="G200" s="24">
        <f t="shared" si="35"/>
        <v>0</v>
      </c>
      <c r="H200" s="24">
        <f t="shared" si="36"/>
        <v>0</v>
      </c>
      <c r="I200" s="24">
        <f t="shared" si="37"/>
        <v>881.8</v>
      </c>
      <c r="J200" s="25">
        <f t="shared" si="38"/>
        <v>7.9741404289037643E-3</v>
      </c>
      <c r="K200" s="24">
        <f t="shared" si="43"/>
        <v>822147.8267100557</v>
      </c>
      <c r="L200" s="24" t="str">
        <f t="shared" si="39"/>
        <v/>
      </c>
      <c r="M200" s="24">
        <f t="shared" si="40"/>
        <v>939.64805238079748</v>
      </c>
      <c r="N200" s="24">
        <f>IF(M200&lt;=0,0,IF($E$2-A200&lt;12,(M200-E200)*Dashboard!$B$18,IF($Q$2+A200&gt;=$R$2,MAX(0,M200-E200*POWER(1+$C$2,$E$2-A200))*MAX(Dashboard!$C$18,Dashboard!$B$18),IF($S$2&lt;$R$2,(M200-E200)*0.5*Dashboard!$B$18,(E200*POWER(1+$A$2,$R$2-($Q$2+A200))-E200)*0.5*Dashboard!$B$18+MAX(0,M200-E200*POWER(1+$A$2,$R$2-($Q$2+A200))*POWER(1+$C$2,$S$2-$R$2))*MAX(Dashboard!$C$18,Dashboard!$B$18)))))</f>
        <v>27.188584618974836</v>
      </c>
    </row>
    <row r="201" spans="1:14" x14ac:dyDescent="0.2">
      <c r="A201" s="22">
        <f t="shared" si="41"/>
        <v>196</v>
      </c>
      <c r="B201" s="23">
        <f t="shared" si="42"/>
        <v>34.388127853881144</v>
      </c>
      <c r="C201" t="str">
        <f t="shared" si="33"/>
        <v>34 y 4.66 m</v>
      </c>
      <c r="D201" s="24">
        <f>IF(A201&gt;=$E$2,IF(A201&lt;$E$2+$H$2,$P$2,0),IF(B201&lt;Dashboard!$I$6,0,IF(A201&gt;=$F$2,Dashboard!$C$22*POWER(1+$C$2,A201-$F$2),Dashboard!$C$22)))</f>
        <v>6000</v>
      </c>
      <c r="E201" s="24">
        <f>IF(A201&gt;=$F$2,0,IF(A201=0,Dashboard!$G$10,IF(B201&lt;Dashboard!$I$6,IF($J$2&lt;=Dashboard!$H$10,Dashboard!$H$10,MAX(Dashboard!$H$10,MIN($J$2,Dashboard!$H$10*POWER($J$2/Dashboard!$H$10,A201/$D$2)))),$I$2-D201-Dashboard!$I$10-Dashboard!$J$10-Dashboard!$F$10*$I$2)))</f>
        <v>881.8</v>
      </c>
      <c r="F201" s="24">
        <f t="shared" si="34"/>
        <v>0</v>
      </c>
      <c r="G201" s="24">
        <f t="shared" si="35"/>
        <v>0</v>
      </c>
      <c r="H201" s="24">
        <f t="shared" si="36"/>
        <v>0</v>
      </c>
      <c r="I201" s="24">
        <f t="shared" si="37"/>
        <v>881.8</v>
      </c>
      <c r="J201" s="25">
        <f t="shared" si="38"/>
        <v>7.9741404289037643E-3</v>
      </c>
      <c r="K201" s="24">
        <f t="shared" si="43"/>
        <v>829592.58053059003</v>
      </c>
      <c r="L201" s="24" t="str">
        <f t="shared" si="39"/>
        <v/>
      </c>
      <c r="M201" s="24">
        <f t="shared" si="40"/>
        <v>932.21444349848798</v>
      </c>
      <c r="N201" s="24">
        <f>IF(M201&lt;=0,0,IF($E$2-A201&lt;12,(M201-E201)*Dashboard!$B$18,IF($Q$2+A201&gt;=$R$2,MAX(0,M201-E201*POWER(1+$C$2,$E$2-A201))*MAX(Dashboard!$C$18,Dashboard!$B$18),IF($S$2&lt;$R$2,(M201-E201)*0.5*Dashboard!$B$18,(E201*POWER(1+$A$2,$R$2-($Q$2+A201))-E201)*0.5*Dashboard!$B$18+MAX(0,M201-E201*POWER(1+$A$2,$R$2-($Q$2+A201))*POWER(1+$C$2,$S$2-$R$2))*MAX(Dashboard!$C$18,Dashboard!$B$18)))))</f>
        <v>23.694788444289372</v>
      </c>
    </row>
    <row r="202" spans="1:14" x14ac:dyDescent="0.2">
      <c r="A202" s="22">
        <f t="shared" si="41"/>
        <v>197</v>
      </c>
      <c r="B202" s="23">
        <f t="shared" si="42"/>
        <v>34.47146118721448</v>
      </c>
      <c r="C202" t="str">
        <f t="shared" si="33"/>
        <v>34 y 5.66 m</v>
      </c>
      <c r="D202" s="24">
        <f>IF(A202&gt;=$E$2,IF(A202&lt;$E$2+$H$2,$P$2,0),IF(B202&lt;Dashboard!$I$6,0,IF(A202&gt;=$F$2,Dashboard!$C$22*POWER(1+$C$2,A202-$F$2),Dashboard!$C$22)))</f>
        <v>6000</v>
      </c>
      <c r="E202" s="24">
        <f>IF(A202&gt;=$F$2,0,IF(A202=0,Dashboard!$G$10,IF(B202&lt;Dashboard!$I$6,IF($J$2&lt;=Dashboard!$H$10,Dashboard!$H$10,MAX(Dashboard!$H$10,MIN($J$2,Dashboard!$H$10*POWER($J$2/Dashboard!$H$10,A202/$D$2)))),$I$2-D202-Dashboard!$I$10-Dashboard!$J$10-Dashboard!$F$10*$I$2)))</f>
        <v>881.8</v>
      </c>
      <c r="F202" s="24">
        <f t="shared" si="34"/>
        <v>0</v>
      </c>
      <c r="G202" s="24">
        <f t="shared" si="35"/>
        <v>0</v>
      </c>
      <c r="H202" s="24">
        <f t="shared" si="36"/>
        <v>0</v>
      </c>
      <c r="I202" s="24">
        <f t="shared" si="37"/>
        <v>881.8</v>
      </c>
      <c r="J202" s="25">
        <f t="shared" si="38"/>
        <v>7.9741404289037643E-3</v>
      </c>
      <c r="K202" s="24">
        <f t="shared" si="43"/>
        <v>837096.69986354781</v>
      </c>
      <c r="L202" s="24" t="str">
        <f t="shared" si="39"/>
        <v/>
      </c>
      <c r="M202" s="24">
        <f t="shared" si="40"/>
        <v>924.83964231643961</v>
      </c>
      <c r="N202" s="24">
        <f>IF(M202&lt;=0,0,IF($E$2-A202&lt;12,(M202-E202)*Dashboard!$B$18,IF($Q$2+A202&gt;=$R$2,MAX(0,M202-E202*POWER(1+$C$2,$E$2-A202))*MAX(Dashboard!$C$18,Dashboard!$B$18),IF($S$2&lt;$R$2,(M202-E202)*0.5*Dashboard!$B$18,(E202*POWER(1+$A$2,$R$2-($Q$2+A202))-E202)*0.5*Dashboard!$B$18+MAX(0,M202-E202*POWER(1+$A$2,$R$2-($Q$2+A202))*POWER(1+$C$2,$S$2-$R$2))*MAX(Dashboard!$C$18,Dashboard!$B$18)))))</f>
        <v>20.228631888726635</v>
      </c>
    </row>
    <row r="203" spans="1:14" x14ac:dyDescent="0.2">
      <c r="A203" s="22">
        <f t="shared" si="41"/>
        <v>198</v>
      </c>
      <c r="B203" s="23">
        <f t="shared" si="42"/>
        <v>34.554794520547816</v>
      </c>
      <c r="C203" t="str">
        <f t="shared" si="33"/>
        <v>34 y 6.66 m</v>
      </c>
      <c r="D203" s="24">
        <f>IF(A203&gt;=$E$2,IF(A203&lt;$E$2+$H$2,$P$2,0),IF(B203&lt;Dashboard!$I$6,0,IF(A203&gt;=$F$2,Dashboard!$C$22*POWER(1+$C$2,A203-$F$2),Dashboard!$C$22)))</f>
        <v>6000</v>
      </c>
      <c r="E203" s="24">
        <f>IF(A203&gt;=$F$2,0,IF(A203=0,Dashboard!$G$10,IF(B203&lt;Dashboard!$I$6,IF($J$2&lt;=Dashboard!$H$10,Dashboard!$H$10,MAX(Dashboard!$H$10,MIN($J$2,Dashboard!$H$10*POWER($J$2/Dashboard!$H$10,A203/$D$2)))),$I$2-D203-Dashboard!$I$10-Dashboard!$J$10-Dashboard!$F$10*$I$2)))</f>
        <v>881.8</v>
      </c>
      <c r="F203" s="24">
        <f t="shared" si="34"/>
        <v>0</v>
      </c>
      <c r="G203" s="24">
        <f t="shared" si="35"/>
        <v>0</v>
      </c>
      <c r="H203" s="24">
        <f t="shared" si="36"/>
        <v>0</v>
      </c>
      <c r="I203" s="24">
        <f t="shared" si="37"/>
        <v>881.8</v>
      </c>
      <c r="J203" s="25">
        <f t="shared" si="38"/>
        <v>7.9741404289037643E-3</v>
      </c>
      <c r="K203" s="24">
        <f t="shared" si="43"/>
        <v>844660.65809786192</v>
      </c>
      <c r="L203" s="24" t="str">
        <f t="shared" si="39"/>
        <v/>
      </c>
      <c r="M203" s="24">
        <f t="shared" si="40"/>
        <v>917.52318360360971</v>
      </c>
      <c r="N203" s="24">
        <f>IF(M203&lt;=0,0,IF($E$2-A203&lt;12,(M203-E203)*Dashboard!$B$18,IF($Q$2+A203&gt;=$R$2,MAX(0,M203-E203*POWER(1+$C$2,$E$2-A203))*MAX(Dashboard!$C$18,Dashboard!$B$18),IF($S$2&lt;$R$2,(M203-E203)*0.5*Dashboard!$B$18,(E203*POWER(1+$A$2,$R$2-($Q$2+A203))-E203)*0.5*Dashboard!$B$18+MAX(0,M203-E203*POWER(1+$A$2,$R$2-($Q$2+A203))*POWER(1+$C$2,$S$2-$R$2))*MAX(Dashboard!$C$18,Dashboard!$B$18)))))</f>
        <v>16.789896293696582</v>
      </c>
    </row>
    <row r="204" spans="1:14" x14ac:dyDescent="0.2">
      <c r="A204" s="22">
        <f t="shared" si="41"/>
        <v>199</v>
      </c>
      <c r="B204" s="23">
        <f t="shared" si="42"/>
        <v>34.638127853881151</v>
      </c>
      <c r="C204" t="str">
        <f t="shared" si="33"/>
        <v>34 y 7.66 m</v>
      </c>
      <c r="D204" s="24">
        <f>IF(A204&gt;=$E$2,IF(A204&lt;$E$2+$H$2,$P$2,0),IF(B204&lt;Dashboard!$I$6,0,IF(A204&gt;=$F$2,Dashboard!$C$22*POWER(1+$C$2,A204-$F$2),Dashboard!$C$22)))</f>
        <v>6000</v>
      </c>
      <c r="E204" s="24">
        <f>IF(A204&gt;=$F$2,0,IF(A204=0,Dashboard!$G$10,IF(B204&lt;Dashboard!$I$6,IF($J$2&lt;=Dashboard!$H$10,Dashboard!$H$10,MAX(Dashboard!$H$10,MIN($J$2,Dashboard!$H$10*POWER($J$2/Dashboard!$H$10,A204/$D$2)))),$I$2-D204-Dashboard!$I$10-Dashboard!$J$10-Dashboard!$F$10*$I$2)))</f>
        <v>881.8</v>
      </c>
      <c r="F204" s="24">
        <f t="shared" si="34"/>
        <v>0</v>
      </c>
      <c r="G204" s="24">
        <f t="shared" si="35"/>
        <v>0</v>
      </c>
      <c r="H204" s="24">
        <f t="shared" si="36"/>
        <v>0</v>
      </c>
      <c r="I204" s="24">
        <f t="shared" si="37"/>
        <v>881.8</v>
      </c>
      <c r="J204" s="25">
        <f t="shared" si="38"/>
        <v>7.9741404289037643E-3</v>
      </c>
      <c r="K204" s="24">
        <f t="shared" si="43"/>
        <v>852284.93239733484</v>
      </c>
      <c r="L204" s="24" t="str">
        <f t="shared" si="39"/>
        <v/>
      </c>
      <c r="M204" s="24">
        <f t="shared" si="40"/>
        <v>910.26460580942455</v>
      </c>
      <c r="N204" s="24">
        <f>IF(M204&lt;=0,0,IF($E$2-A204&lt;12,(M204-E204)*Dashboard!$B$18,IF($Q$2+A204&gt;=$R$2,MAX(0,M204-E204*POWER(1+$C$2,$E$2-A204))*MAX(Dashboard!$C$18,Dashboard!$B$18),IF($S$2&lt;$R$2,(M204-E204)*0.5*Dashboard!$B$18,(E204*POWER(1+$A$2,$R$2-($Q$2+A204))-E204)*0.5*Dashboard!$B$18+MAX(0,M204-E204*POWER(1+$A$2,$R$2-($Q$2+A204))*POWER(1+$C$2,$S$2-$R$2))*MAX(Dashboard!$C$18,Dashboard!$B$18)))))</f>
        <v>13.37836473042956</v>
      </c>
    </row>
    <row r="205" spans="1:14" x14ac:dyDescent="0.2">
      <c r="A205" s="22">
        <f t="shared" si="41"/>
        <v>200</v>
      </c>
      <c r="B205" s="23">
        <f t="shared" si="42"/>
        <v>34.721461187214487</v>
      </c>
      <c r="C205" t="str">
        <f t="shared" si="33"/>
        <v>34 y 8.66 m</v>
      </c>
      <c r="D205" s="24">
        <f>IF(A205&gt;=$E$2,IF(A205&lt;$E$2+$H$2,$P$2,0),IF(B205&lt;Dashboard!$I$6,0,IF(A205&gt;=$F$2,Dashboard!$C$22*POWER(1+$C$2,A205-$F$2),Dashboard!$C$22)))</f>
        <v>6000</v>
      </c>
      <c r="E205" s="24">
        <f>IF(A205&gt;=$F$2,0,IF(A205=0,Dashboard!$G$10,IF(B205&lt;Dashboard!$I$6,IF($J$2&lt;=Dashboard!$H$10,Dashboard!$H$10,MAX(Dashboard!$H$10,MIN($J$2,Dashboard!$H$10*POWER($J$2/Dashboard!$H$10,A205/$D$2)))),$I$2-D205-Dashboard!$I$10-Dashboard!$J$10-Dashboard!$F$10*$I$2)))</f>
        <v>881.8</v>
      </c>
      <c r="F205" s="24">
        <f t="shared" si="34"/>
        <v>0</v>
      </c>
      <c r="G205" s="24">
        <f t="shared" si="35"/>
        <v>0</v>
      </c>
      <c r="H205" s="24">
        <f t="shared" si="36"/>
        <v>0</v>
      </c>
      <c r="I205" s="24">
        <f t="shared" si="37"/>
        <v>881.8</v>
      </c>
      <c r="J205" s="25">
        <f t="shared" si="38"/>
        <v>7.9741404289037643E-3</v>
      </c>
      <c r="K205" s="24">
        <f t="shared" si="43"/>
        <v>859970.00373074017</v>
      </c>
      <c r="L205" s="24" t="str">
        <f t="shared" si="39"/>
        <v/>
      </c>
      <c r="M205" s="24">
        <f t="shared" si="40"/>
        <v>903.06345103466367</v>
      </c>
      <c r="N205" s="24">
        <f>IF(M205&lt;=0,0,IF($E$2-A205&lt;12,(M205-E205)*Dashboard!$B$18,IF($Q$2+A205&gt;=$R$2,MAX(0,M205-E205*POWER(1+$C$2,$E$2-A205))*MAX(Dashboard!$C$18,Dashboard!$B$18),IF($S$2&lt;$R$2,(M205-E205)*0.5*Dashboard!$B$18,(E205*POWER(1+$A$2,$R$2-($Q$2+A205))-E205)*0.5*Dashboard!$B$18+MAX(0,M205-E205*POWER(1+$A$2,$R$2-($Q$2+A205))*POWER(1+$C$2,$S$2-$R$2))*MAX(Dashboard!$C$18,Dashboard!$B$18)))))</f>
        <v>9.9938219862919464</v>
      </c>
    </row>
    <row r="206" spans="1:14" x14ac:dyDescent="0.2">
      <c r="A206" s="22">
        <f t="shared" si="41"/>
        <v>201</v>
      </c>
      <c r="B206" s="23">
        <f t="shared" si="42"/>
        <v>34.804794520547823</v>
      </c>
      <c r="C206" t="str">
        <f t="shared" si="33"/>
        <v>34 y 9.66 m</v>
      </c>
      <c r="D206" s="24">
        <f>IF(A206&gt;=$E$2,IF(A206&lt;$E$2+$H$2,$P$2,0),IF(B206&lt;Dashboard!$I$6,0,IF(A206&gt;=$F$2,Dashboard!$C$22*POWER(1+$C$2,A206-$F$2),Dashboard!$C$22)))</f>
        <v>6000</v>
      </c>
      <c r="E206" s="24">
        <f>IF(A206&gt;=$F$2,0,IF(A206=0,Dashboard!$G$10,IF(B206&lt;Dashboard!$I$6,IF($J$2&lt;=Dashboard!$H$10,Dashboard!$H$10,MAX(Dashboard!$H$10,MIN($J$2,Dashboard!$H$10*POWER($J$2/Dashboard!$H$10,A206/$D$2)))),$I$2-D206-Dashboard!$I$10-Dashboard!$J$10-Dashboard!$F$10*$I$2)))</f>
        <v>881.8</v>
      </c>
      <c r="F206" s="24">
        <f t="shared" si="34"/>
        <v>0</v>
      </c>
      <c r="G206" s="24">
        <f t="shared" si="35"/>
        <v>0</v>
      </c>
      <c r="H206" s="24">
        <f t="shared" si="36"/>
        <v>0</v>
      </c>
      <c r="I206" s="24">
        <f t="shared" si="37"/>
        <v>881.8</v>
      </c>
      <c r="J206" s="25">
        <f t="shared" si="38"/>
        <v>7.9741404289037643E-3</v>
      </c>
      <c r="K206" s="24">
        <f t="shared" si="43"/>
        <v>867716.35690216429</v>
      </c>
      <c r="L206" s="24" t="str">
        <f t="shared" si="39"/>
        <v/>
      </c>
      <c r="M206" s="24">
        <f t="shared" si="40"/>
        <v>895.91926500257296</v>
      </c>
      <c r="N206" s="24">
        <f>IF(M206&lt;=0,0,IF($E$2-A206&lt;12,(M206-E206)*Dashboard!$B$18,IF($Q$2+A206&gt;=$R$2,MAX(0,M206-E206*POWER(1+$C$2,$E$2-A206))*MAX(Dashboard!$C$18,Dashboard!$B$18),IF($S$2&lt;$R$2,(M206-E206)*0.5*Dashboard!$B$18,(E206*POWER(1+$A$2,$R$2-($Q$2+A206))-E206)*0.5*Dashboard!$B$18+MAX(0,M206-E206*POWER(1+$A$2,$R$2-($Q$2+A206))*POWER(1+$C$2,$S$2-$R$2))*MAX(Dashboard!$C$18,Dashboard!$B$18)))))</f>
        <v>6.6360545512093108</v>
      </c>
    </row>
    <row r="207" spans="1:14" x14ac:dyDescent="0.2">
      <c r="A207" s="22">
        <f t="shared" si="41"/>
        <v>202</v>
      </c>
      <c r="B207" s="23">
        <f t="shared" si="42"/>
        <v>34.888127853881159</v>
      </c>
      <c r="C207" t="str">
        <f t="shared" si="33"/>
        <v>34 y 10.66 m</v>
      </c>
      <c r="D207" s="24">
        <f>IF(A207&gt;=$E$2,IF(A207&lt;$E$2+$H$2,$P$2,0),IF(B207&lt;Dashboard!$I$6,0,IF(A207&gt;=$F$2,Dashboard!$C$22*POWER(1+$C$2,A207-$F$2),Dashboard!$C$22)))</f>
        <v>6000</v>
      </c>
      <c r="E207" s="24">
        <f>IF(A207&gt;=$F$2,0,IF(A207=0,Dashboard!$G$10,IF(B207&lt;Dashboard!$I$6,IF($J$2&lt;=Dashboard!$H$10,Dashboard!$H$10,MAX(Dashboard!$H$10,MIN($J$2,Dashboard!$H$10*POWER($J$2/Dashboard!$H$10,A207/$D$2)))),$I$2-D207-Dashboard!$I$10-Dashboard!$J$10-Dashboard!$F$10*$I$2)))</f>
        <v>881.8</v>
      </c>
      <c r="F207" s="24">
        <f t="shared" si="34"/>
        <v>0</v>
      </c>
      <c r="G207" s="24">
        <f t="shared" si="35"/>
        <v>0</v>
      </c>
      <c r="H207" s="24">
        <f t="shared" si="36"/>
        <v>0</v>
      </c>
      <c r="I207" s="24">
        <f t="shared" si="37"/>
        <v>881.8</v>
      </c>
      <c r="J207" s="25">
        <f t="shared" si="38"/>
        <v>7.9741404289037643E-3</v>
      </c>
      <c r="K207" s="24">
        <f t="shared" si="43"/>
        <v>875524.48058158916</v>
      </c>
      <c r="L207" s="24" t="str">
        <f t="shared" si="39"/>
        <v/>
      </c>
      <c r="M207" s="24">
        <f t="shared" si="40"/>
        <v>888.83159703020726</v>
      </c>
      <c r="N207" s="24">
        <f>IF(M207&lt;=0,0,IF($E$2-A207&lt;12,(M207-E207)*Dashboard!$B$18,IF($Q$2+A207&gt;=$R$2,MAX(0,M207-E207*POWER(1+$C$2,$E$2-A207))*MAX(Dashboard!$C$18,Dashboard!$B$18),IF($S$2&lt;$R$2,(M207-E207)*0.5*Dashboard!$B$18,(E207*POWER(1+$A$2,$R$2-($Q$2+A207))-E207)*0.5*Dashboard!$B$18+MAX(0,M207-E207*POWER(1+$A$2,$R$2-($Q$2+A207))*POWER(1+$C$2,$S$2-$R$2))*MAX(Dashboard!$C$18,Dashboard!$B$18)))))</f>
        <v>3.3048506041974348</v>
      </c>
    </row>
    <row r="208" spans="1:14" x14ac:dyDescent="0.2">
      <c r="A208" s="22">
        <f t="shared" si="41"/>
        <v>203</v>
      </c>
      <c r="B208" s="23">
        <f t="shared" si="42"/>
        <v>34.971461187214494</v>
      </c>
      <c r="C208" t="str">
        <f t="shared" si="33"/>
        <v>34 y 11.66 m</v>
      </c>
      <c r="D208" s="24">
        <f>IF(A208&gt;=$E$2,IF(A208&lt;$E$2+$H$2,$P$2,0),IF(B208&lt;Dashboard!$I$6,0,IF(A208&gt;=$F$2,Dashboard!$C$22*POWER(1+$C$2,A208-$F$2),Dashboard!$C$22)))</f>
        <v>0</v>
      </c>
      <c r="E208" s="24">
        <f>IF(A208&gt;=$F$2,0,IF(A208=0,Dashboard!$G$10,IF(B208&lt;Dashboard!$I$6,IF($J$2&lt;=Dashboard!$H$10,Dashboard!$H$10,MAX(Dashboard!$H$10,MIN($J$2,Dashboard!$H$10*POWER($J$2/Dashboard!$H$10,A208/$D$2)))),$I$2-D208-Dashboard!$I$10-Dashboard!$J$10-Dashboard!$F$10*$I$2)))</f>
        <v>6881.8</v>
      </c>
      <c r="F208" s="24">
        <f t="shared" si="34"/>
        <v>0</v>
      </c>
      <c r="G208" s="24">
        <f t="shared" si="35"/>
        <v>0</v>
      </c>
      <c r="H208" s="24">
        <f t="shared" si="36"/>
        <v>414318.53118035448</v>
      </c>
      <c r="I208" s="24">
        <f t="shared" si="37"/>
        <v>-407436.73118035449</v>
      </c>
      <c r="J208" s="25">
        <f t="shared" si="38"/>
        <v>7.9741404289037643E-3</v>
      </c>
      <c r="K208" s="24">
        <f t="shared" si="43"/>
        <v>471820.34684800962</v>
      </c>
      <c r="L208" s="24" t="str">
        <f t="shared" si="39"/>
        <v/>
      </c>
      <c r="M208" s="24">
        <f t="shared" si="40"/>
        <v>0</v>
      </c>
      <c r="N208" s="24">
        <f>IF(M208&lt;=0,0,IF($E$2-A208&lt;12,(M208-E208)*Dashboard!$B$18,IF($Q$2+A208&gt;=$R$2,MAX(0,M208-E208*POWER(1+$C$2,$E$2-A208))*MAX(Dashboard!$C$18,Dashboard!$B$18),IF($S$2&lt;$R$2,(M208-E208)*0.5*Dashboard!$B$18,(E208*POWER(1+$A$2,$R$2-($Q$2+A208))-E208)*0.5*Dashboard!$B$18+MAX(0,M208-E208*POWER(1+$A$2,$R$2-($Q$2+A208))*POWER(1+$C$2,$S$2-$R$2))*MAX(Dashboard!$C$18,Dashboard!$B$18)))))</f>
        <v>0</v>
      </c>
    </row>
    <row r="209" spans="1:14" x14ac:dyDescent="0.2">
      <c r="A209" s="22">
        <f t="shared" si="41"/>
        <v>204</v>
      </c>
      <c r="B209" s="23">
        <f t="shared" si="42"/>
        <v>35.05479452054783</v>
      </c>
      <c r="C209" t="str">
        <f t="shared" si="33"/>
        <v>35 y 0.66 m</v>
      </c>
      <c r="D209" s="24">
        <f>IF(A209&gt;=$E$2,IF(A209&lt;$E$2+$H$2,$P$2,0),IF(B209&lt;Dashboard!$I$6,0,IF(A209&gt;=$F$2,Dashboard!$C$22*POWER(1+$C$2,A209-$F$2),Dashboard!$C$22)))</f>
        <v>0</v>
      </c>
      <c r="E209" s="24">
        <f>IF(A209&gt;=$F$2,0,IF(A209=0,Dashboard!$G$10,IF(B209&lt;Dashboard!$I$6,IF($J$2&lt;=Dashboard!$H$10,Dashboard!$H$10,MAX(Dashboard!$H$10,MIN($J$2,Dashboard!$H$10*POWER($J$2/Dashboard!$H$10,A209/$D$2)))),$I$2-D209-Dashboard!$I$10-Dashboard!$J$10-Dashboard!$F$10*$I$2)))</f>
        <v>6881.8</v>
      </c>
      <c r="F209" s="24">
        <f t="shared" si="34"/>
        <v>0</v>
      </c>
      <c r="G209" s="24">
        <f t="shared" si="35"/>
        <v>0</v>
      </c>
      <c r="H209" s="24">
        <f t="shared" si="36"/>
        <v>0</v>
      </c>
      <c r="I209" s="24">
        <f t="shared" si="37"/>
        <v>6881.8</v>
      </c>
      <c r="J209" s="25">
        <f t="shared" si="38"/>
        <v>7.9741404289037643E-3</v>
      </c>
      <c r="K209" s="24">
        <f t="shared" si="43"/>
        <v>482519.38499059336</v>
      </c>
      <c r="L209" s="24" t="str">
        <f t="shared" si="39"/>
        <v/>
      </c>
      <c r="M209" s="24">
        <f t="shared" si="40"/>
        <v>0</v>
      </c>
      <c r="N209" s="24">
        <f>IF(M209&lt;=0,0,IF($E$2-A209&lt;12,(M209-E209)*Dashboard!$B$18,IF($Q$2+A209&gt;=$R$2,MAX(0,M209-E209*POWER(1+$C$2,$E$2-A209))*MAX(Dashboard!$C$18,Dashboard!$B$18),IF($S$2&lt;$R$2,(M209-E209)*0.5*Dashboard!$B$18,(E209*POWER(1+$A$2,$R$2-($Q$2+A209))-E209)*0.5*Dashboard!$B$18+MAX(0,M209-E209*POWER(1+$A$2,$R$2-($Q$2+A209))*POWER(1+$C$2,$S$2-$R$2))*MAX(Dashboard!$C$18,Dashboard!$B$18)))))</f>
        <v>0</v>
      </c>
    </row>
    <row r="210" spans="1:14" x14ac:dyDescent="0.2">
      <c r="A210" s="22">
        <f t="shared" si="41"/>
        <v>205</v>
      </c>
      <c r="B210" s="23">
        <f t="shared" si="42"/>
        <v>35.138127853881166</v>
      </c>
      <c r="C210" t="str">
        <f t="shared" si="33"/>
        <v>35 y 1.66 m</v>
      </c>
      <c r="D210" s="24">
        <f>IF(A210&gt;=$E$2,IF(A210&lt;$E$2+$H$2,$P$2,0),IF(B210&lt;Dashboard!$I$6,0,IF(A210&gt;=$F$2,Dashboard!$C$22*POWER(1+$C$2,A210-$F$2),Dashboard!$C$22)))</f>
        <v>0</v>
      </c>
      <c r="E210" s="24">
        <f>IF(A210&gt;=$F$2,0,IF(A210=0,Dashboard!$G$10,IF(B210&lt;Dashboard!$I$6,IF($J$2&lt;=Dashboard!$H$10,Dashboard!$H$10,MAX(Dashboard!$H$10,MIN($J$2,Dashboard!$H$10*POWER($J$2/Dashboard!$H$10,A210/$D$2)))),$I$2-D210-Dashboard!$I$10-Dashboard!$J$10-Dashboard!$F$10*$I$2)))</f>
        <v>6881.8</v>
      </c>
      <c r="F210" s="24">
        <f t="shared" si="34"/>
        <v>0</v>
      </c>
      <c r="G210" s="24">
        <f t="shared" si="35"/>
        <v>0</v>
      </c>
      <c r="H210" s="24">
        <f t="shared" si="36"/>
        <v>0</v>
      </c>
      <c r="I210" s="24">
        <f t="shared" si="37"/>
        <v>6881.8</v>
      </c>
      <c r="J210" s="25">
        <f t="shared" si="38"/>
        <v>7.9741404289037643E-3</v>
      </c>
      <c r="K210" s="24">
        <f t="shared" si="43"/>
        <v>493303.73876578023</v>
      </c>
      <c r="L210" s="24" t="str">
        <f t="shared" si="39"/>
        <v/>
      </c>
      <c r="M210" s="24">
        <f t="shared" si="40"/>
        <v>0</v>
      </c>
      <c r="N210" s="24">
        <f>IF(M210&lt;=0,0,IF($E$2-A210&lt;12,(M210-E210)*Dashboard!$B$18,IF($Q$2+A210&gt;=$R$2,MAX(0,M210-E210*POWER(1+$C$2,$E$2-A210))*MAX(Dashboard!$C$18,Dashboard!$B$18),IF($S$2&lt;$R$2,(M210-E210)*0.5*Dashboard!$B$18,(E210*POWER(1+$A$2,$R$2-($Q$2+A210))-E210)*0.5*Dashboard!$B$18+MAX(0,M210-E210*POWER(1+$A$2,$R$2-($Q$2+A210))*POWER(1+$C$2,$S$2-$R$2))*MAX(Dashboard!$C$18,Dashboard!$B$18)))))</f>
        <v>0</v>
      </c>
    </row>
    <row r="211" spans="1:14" x14ac:dyDescent="0.2">
      <c r="A211" s="22">
        <f t="shared" si="41"/>
        <v>206</v>
      </c>
      <c r="B211" s="23">
        <f t="shared" si="42"/>
        <v>35.221461187214501</v>
      </c>
      <c r="C211" t="str">
        <f t="shared" si="33"/>
        <v>35 y 2.66 m</v>
      </c>
      <c r="D211" s="24">
        <f>IF(A211&gt;=$E$2,IF(A211&lt;$E$2+$H$2,$P$2,0),IF(B211&lt;Dashboard!$I$6,0,IF(A211&gt;=$F$2,Dashboard!$C$22*POWER(1+$C$2,A211-$F$2),Dashboard!$C$22)))</f>
        <v>0</v>
      </c>
      <c r="E211" s="24">
        <f>IF(A211&gt;=$F$2,0,IF(A211=0,Dashboard!$G$10,IF(B211&lt;Dashboard!$I$6,IF($J$2&lt;=Dashboard!$H$10,Dashboard!$H$10,MAX(Dashboard!$H$10,MIN($J$2,Dashboard!$H$10*POWER($J$2/Dashboard!$H$10,A211/$D$2)))),$I$2-D211-Dashboard!$I$10-Dashboard!$J$10-Dashboard!$F$10*$I$2)))</f>
        <v>6881.8</v>
      </c>
      <c r="F211" s="24">
        <f t="shared" si="34"/>
        <v>0</v>
      </c>
      <c r="G211" s="24">
        <f t="shared" si="35"/>
        <v>0</v>
      </c>
      <c r="H211" s="24">
        <f t="shared" si="36"/>
        <v>0</v>
      </c>
      <c r="I211" s="24">
        <f t="shared" si="37"/>
        <v>6881.8</v>
      </c>
      <c r="J211" s="25">
        <f t="shared" si="38"/>
        <v>7.9741404289037643E-3</v>
      </c>
      <c r="K211" s="24">
        <f t="shared" si="43"/>
        <v>504174.08849240543</v>
      </c>
      <c r="L211" s="24" t="str">
        <f t="shared" si="39"/>
        <v/>
      </c>
      <c r="M211" s="24">
        <f t="shared" si="40"/>
        <v>0</v>
      </c>
      <c r="N211" s="24">
        <f>IF(M211&lt;=0,0,IF($E$2-A211&lt;12,(M211-E211)*Dashboard!$B$18,IF($Q$2+A211&gt;=$R$2,MAX(0,M211-E211*POWER(1+$C$2,$E$2-A211))*MAX(Dashboard!$C$18,Dashboard!$B$18),IF($S$2&lt;$R$2,(M211-E211)*0.5*Dashboard!$B$18,(E211*POWER(1+$A$2,$R$2-($Q$2+A211))-E211)*0.5*Dashboard!$B$18+MAX(0,M211-E211*POWER(1+$A$2,$R$2-($Q$2+A211))*POWER(1+$C$2,$S$2-$R$2))*MAX(Dashboard!$C$18,Dashboard!$B$18)))))</f>
        <v>0</v>
      </c>
    </row>
    <row r="212" spans="1:14" x14ac:dyDescent="0.2">
      <c r="A212" s="22">
        <f t="shared" si="41"/>
        <v>207</v>
      </c>
      <c r="B212" s="23">
        <f t="shared" si="42"/>
        <v>35.304794520547837</v>
      </c>
      <c r="C212" t="str">
        <f t="shared" si="33"/>
        <v>35 y 3.66 m</v>
      </c>
      <c r="D212" s="24">
        <f>IF(A212&gt;=$E$2,IF(A212&lt;$E$2+$H$2,$P$2,0),IF(B212&lt;Dashboard!$I$6,0,IF(A212&gt;=$F$2,Dashboard!$C$22*POWER(1+$C$2,A212-$F$2),Dashboard!$C$22)))</f>
        <v>0</v>
      </c>
      <c r="E212" s="24">
        <f>IF(A212&gt;=$F$2,0,IF(A212=0,Dashboard!$G$10,IF(B212&lt;Dashboard!$I$6,IF($J$2&lt;=Dashboard!$H$10,Dashboard!$H$10,MAX(Dashboard!$H$10,MIN($J$2,Dashboard!$H$10*POWER($J$2/Dashboard!$H$10,A212/$D$2)))),$I$2-D212-Dashboard!$I$10-Dashboard!$J$10-Dashboard!$F$10*$I$2)))</f>
        <v>6881.8</v>
      </c>
      <c r="F212" s="24">
        <f t="shared" si="34"/>
        <v>0</v>
      </c>
      <c r="G212" s="24">
        <f t="shared" si="35"/>
        <v>0</v>
      </c>
      <c r="H212" s="24">
        <f t="shared" si="36"/>
        <v>0</v>
      </c>
      <c r="I212" s="24">
        <f t="shared" si="37"/>
        <v>6881.8</v>
      </c>
      <c r="J212" s="25">
        <f t="shared" si="38"/>
        <v>7.9741404289037643E-3</v>
      </c>
      <c r="K212" s="24">
        <f t="shared" si="43"/>
        <v>515131.11991426203</v>
      </c>
      <c r="L212" s="24" t="str">
        <f t="shared" si="39"/>
        <v/>
      </c>
      <c r="M212" s="24">
        <f t="shared" si="40"/>
        <v>0</v>
      </c>
      <c r="N212" s="24">
        <f>IF(M212&lt;=0,0,IF($E$2-A212&lt;12,(M212-E212)*Dashboard!$B$18,IF($Q$2+A212&gt;=$R$2,MAX(0,M212-E212*POWER(1+$C$2,$E$2-A212))*MAX(Dashboard!$C$18,Dashboard!$B$18),IF($S$2&lt;$R$2,(M212-E212)*0.5*Dashboard!$B$18,(E212*POWER(1+$A$2,$R$2-($Q$2+A212))-E212)*0.5*Dashboard!$B$18+MAX(0,M212-E212*POWER(1+$A$2,$R$2-($Q$2+A212))*POWER(1+$C$2,$S$2-$R$2))*MAX(Dashboard!$C$18,Dashboard!$B$18)))))</f>
        <v>0</v>
      </c>
    </row>
    <row r="213" spans="1:14" x14ac:dyDescent="0.2">
      <c r="A213" s="22">
        <f t="shared" si="41"/>
        <v>208</v>
      </c>
      <c r="B213" s="23">
        <f t="shared" si="42"/>
        <v>35.388127853881173</v>
      </c>
      <c r="C213" t="str">
        <f t="shared" si="33"/>
        <v>35 y 4.66 m</v>
      </c>
      <c r="D213" s="24">
        <f>IF(A213&gt;=$E$2,IF(A213&lt;$E$2+$H$2,$P$2,0),IF(B213&lt;Dashboard!$I$6,0,IF(A213&gt;=$F$2,Dashboard!$C$22*POWER(1+$C$2,A213-$F$2),Dashboard!$C$22)))</f>
        <v>0</v>
      </c>
      <c r="E213" s="24">
        <f>IF(A213&gt;=$F$2,0,IF(A213=0,Dashboard!$G$10,IF(B213&lt;Dashboard!$I$6,IF($J$2&lt;=Dashboard!$H$10,Dashboard!$H$10,MAX(Dashboard!$H$10,MIN($J$2,Dashboard!$H$10*POWER($J$2/Dashboard!$H$10,A213/$D$2)))),$I$2-D213-Dashboard!$I$10-Dashboard!$J$10-Dashboard!$F$10*$I$2)))</f>
        <v>6881.8</v>
      </c>
      <c r="F213" s="24">
        <f t="shared" si="34"/>
        <v>0</v>
      </c>
      <c r="G213" s="24">
        <f t="shared" si="35"/>
        <v>0</v>
      </c>
      <c r="H213" s="24">
        <f t="shared" si="36"/>
        <v>0</v>
      </c>
      <c r="I213" s="24">
        <f t="shared" si="37"/>
        <v>6881.8</v>
      </c>
      <c r="J213" s="25">
        <f t="shared" si="38"/>
        <v>7.9741404289037643E-3</v>
      </c>
      <c r="K213" s="24">
        <f t="shared" si="43"/>
        <v>526175.52424336039</v>
      </c>
      <c r="L213" s="24" t="str">
        <f t="shared" si="39"/>
        <v/>
      </c>
      <c r="M213" s="24">
        <f t="shared" si="40"/>
        <v>0</v>
      </c>
      <c r="N213" s="24">
        <f>IF(M213&lt;=0,0,IF($E$2-A213&lt;12,(M213-E213)*Dashboard!$B$18,IF($Q$2+A213&gt;=$R$2,MAX(0,M213-E213*POWER(1+$C$2,$E$2-A213))*MAX(Dashboard!$C$18,Dashboard!$B$18),IF($S$2&lt;$R$2,(M213-E213)*0.5*Dashboard!$B$18,(E213*POWER(1+$A$2,$R$2-($Q$2+A213))-E213)*0.5*Dashboard!$B$18+MAX(0,M213-E213*POWER(1+$A$2,$R$2-($Q$2+A213))*POWER(1+$C$2,$S$2-$R$2))*MAX(Dashboard!$C$18,Dashboard!$B$18)))))</f>
        <v>0</v>
      </c>
    </row>
    <row r="214" spans="1:14" x14ac:dyDescent="0.2">
      <c r="A214" s="22">
        <f t="shared" si="41"/>
        <v>209</v>
      </c>
      <c r="B214" s="23">
        <f t="shared" si="42"/>
        <v>35.471461187214508</v>
      </c>
      <c r="C214" t="str">
        <f t="shared" si="33"/>
        <v>35 y 5.66 m</v>
      </c>
      <c r="D214" s="24">
        <f>IF(A214&gt;=$E$2,IF(A214&lt;$E$2+$H$2,$P$2,0),IF(B214&lt;Dashboard!$I$6,0,IF(A214&gt;=$F$2,Dashboard!$C$22*POWER(1+$C$2,A214-$F$2),Dashboard!$C$22)))</f>
        <v>0</v>
      </c>
      <c r="E214" s="24">
        <f>IF(A214&gt;=$F$2,0,IF(A214=0,Dashboard!$G$10,IF(B214&lt;Dashboard!$I$6,IF($J$2&lt;=Dashboard!$H$10,Dashboard!$H$10,MAX(Dashboard!$H$10,MIN($J$2,Dashboard!$H$10*POWER($J$2/Dashboard!$H$10,A214/$D$2)))),$I$2-D214-Dashboard!$I$10-Dashboard!$J$10-Dashboard!$F$10*$I$2)))</f>
        <v>6881.8</v>
      </c>
      <c r="F214" s="24">
        <f t="shared" si="34"/>
        <v>0</v>
      </c>
      <c r="G214" s="24">
        <f t="shared" si="35"/>
        <v>0</v>
      </c>
      <c r="H214" s="24">
        <f t="shared" si="36"/>
        <v>0</v>
      </c>
      <c r="I214" s="24">
        <f t="shared" si="37"/>
        <v>6881.8</v>
      </c>
      <c r="J214" s="25">
        <f t="shared" si="38"/>
        <v>7.9741404289037643E-3</v>
      </c>
      <c r="K214" s="24">
        <f t="shared" si="43"/>
        <v>537307.99820353265</v>
      </c>
      <c r="L214" s="24" t="str">
        <f t="shared" si="39"/>
        <v/>
      </c>
      <c r="M214" s="24">
        <f t="shared" si="40"/>
        <v>0</v>
      </c>
      <c r="N214" s="24">
        <f>IF(M214&lt;=0,0,IF($E$2-A214&lt;12,(M214-E214)*Dashboard!$B$18,IF($Q$2+A214&gt;=$R$2,MAX(0,M214-E214*POWER(1+$C$2,$E$2-A214))*MAX(Dashboard!$C$18,Dashboard!$B$18),IF($S$2&lt;$R$2,(M214-E214)*0.5*Dashboard!$B$18,(E214*POWER(1+$A$2,$R$2-($Q$2+A214))-E214)*0.5*Dashboard!$B$18+MAX(0,M214-E214*POWER(1+$A$2,$R$2-($Q$2+A214))*POWER(1+$C$2,$S$2-$R$2))*MAX(Dashboard!$C$18,Dashboard!$B$18)))))</f>
        <v>0</v>
      </c>
    </row>
    <row r="215" spans="1:14" x14ac:dyDescent="0.2">
      <c r="A215" s="22">
        <f t="shared" si="41"/>
        <v>210</v>
      </c>
      <c r="B215" s="23">
        <f t="shared" si="42"/>
        <v>35.554794520547844</v>
      </c>
      <c r="C215" t="str">
        <f t="shared" si="33"/>
        <v>35 y 6.66 m</v>
      </c>
      <c r="D215" s="24">
        <f>IF(A215&gt;=$E$2,IF(A215&lt;$E$2+$H$2,$P$2,0),IF(B215&lt;Dashboard!$I$6,0,IF(A215&gt;=$F$2,Dashboard!$C$22*POWER(1+$C$2,A215-$F$2),Dashboard!$C$22)))</f>
        <v>0</v>
      </c>
      <c r="E215" s="24">
        <f>IF(A215&gt;=$F$2,0,IF(A215=0,Dashboard!$G$10,IF(B215&lt;Dashboard!$I$6,IF($J$2&lt;=Dashboard!$H$10,Dashboard!$H$10,MAX(Dashboard!$H$10,MIN($J$2,Dashboard!$H$10*POWER($J$2/Dashboard!$H$10,A215/$D$2)))),$I$2-D215-Dashboard!$I$10-Dashboard!$J$10-Dashboard!$F$10*$I$2)))</f>
        <v>6881.8</v>
      </c>
      <c r="F215" s="24">
        <f t="shared" si="34"/>
        <v>0</v>
      </c>
      <c r="G215" s="24">
        <f t="shared" si="35"/>
        <v>0</v>
      </c>
      <c r="H215" s="24">
        <f t="shared" si="36"/>
        <v>0</v>
      </c>
      <c r="I215" s="24">
        <f t="shared" si="37"/>
        <v>6881.8</v>
      </c>
      <c r="J215" s="25">
        <f t="shared" si="38"/>
        <v>7.9741404289037643E-3</v>
      </c>
      <c r="K215" s="24">
        <f t="shared" si="43"/>
        <v>548529.24407438445</v>
      </c>
      <c r="L215" s="24" t="str">
        <f t="shared" si="39"/>
        <v/>
      </c>
      <c r="M215" s="24">
        <f t="shared" si="40"/>
        <v>0</v>
      </c>
      <c r="N215" s="24">
        <f>IF(M215&lt;=0,0,IF($E$2-A215&lt;12,(M215-E215)*Dashboard!$B$18,IF($Q$2+A215&gt;=$R$2,MAX(0,M215-E215*POWER(1+$C$2,$E$2-A215))*MAX(Dashboard!$C$18,Dashboard!$B$18),IF($S$2&lt;$R$2,(M215-E215)*0.5*Dashboard!$B$18,(E215*POWER(1+$A$2,$R$2-($Q$2+A215))-E215)*0.5*Dashboard!$B$18+MAX(0,M215-E215*POWER(1+$A$2,$R$2-($Q$2+A215))*POWER(1+$C$2,$S$2-$R$2))*MAX(Dashboard!$C$18,Dashboard!$B$18)))))</f>
        <v>0</v>
      </c>
    </row>
    <row r="216" spans="1:14" x14ac:dyDescent="0.2">
      <c r="A216" s="22">
        <f t="shared" si="41"/>
        <v>211</v>
      </c>
      <c r="B216" s="23">
        <f t="shared" si="42"/>
        <v>35.63812785388118</v>
      </c>
      <c r="C216" t="str">
        <f t="shared" si="33"/>
        <v>35 y 7.66 m</v>
      </c>
      <c r="D216" s="24">
        <f>IF(A216&gt;=$E$2,IF(A216&lt;$E$2+$H$2,$P$2,0),IF(B216&lt;Dashboard!$I$6,0,IF(A216&gt;=$F$2,Dashboard!$C$22*POWER(1+$C$2,A216-$F$2),Dashboard!$C$22)))</f>
        <v>0</v>
      </c>
      <c r="E216" s="24">
        <f>IF(A216&gt;=$F$2,0,IF(A216=0,Dashboard!$G$10,IF(B216&lt;Dashboard!$I$6,IF($J$2&lt;=Dashboard!$H$10,Dashboard!$H$10,MAX(Dashboard!$H$10,MIN($J$2,Dashboard!$H$10*POWER($J$2/Dashboard!$H$10,A216/$D$2)))),$I$2-D216-Dashboard!$I$10-Dashboard!$J$10-Dashboard!$F$10*$I$2)))</f>
        <v>6881.8</v>
      </c>
      <c r="F216" s="24">
        <f t="shared" si="34"/>
        <v>0</v>
      </c>
      <c r="G216" s="24">
        <f t="shared" si="35"/>
        <v>0</v>
      </c>
      <c r="H216" s="24">
        <f t="shared" si="36"/>
        <v>0</v>
      </c>
      <c r="I216" s="24">
        <f t="shared" si="37"/>
        <v>6881.8</v>
      </c>
      <c r="J216" s="25">
        <f t="shared" si="38"/>
        <v>7.9741404289037643E-3</v>
      </c>
      <c r="K216" s="24">
        <f t="shared" si="43"/>
        <v>559839.96973559773</v>
      </c>
      <c r="L216" s="24" t="str">
        <f t="shared" si="39"/>
        <v/>
      </c>
      <c r="M216" s="24">
        <f t="shared" si="40"/>
        <v>0</v>
      </c>
      <c r="N216" s="24">
        <f>IF(M216&lt;=0,0,IF($E$2-A216&lt;12,(M216-E216)*Dashboard!$B$18,IF($Q$2+A216&gt;=$R$2,MAX(0,M216-E216*POWER(1+$C$2,$E$2-A216))*MAX(Dashboard!$C$18,Dashboard!$B$18),IF($S$2&lt;$R$2,(M216-E216)*0.5*Dashboard!$B$18,(E216*POWER(1+$A$2,$R$2-($Q$2+A216))-E216)*0.5*Dashboard!$B$18+MAX(0,M216-E216*POWER(1+$A$2,$R$2-($Q$2+A216))*POWER(1+$C$2,$S$2-$R$2))*MAX(Dashboard!$C$18,Dashboard!$B$18)))))</f>
        <v>0</v>
      </c>
    </row>
    <row r="217" spans="1:14" x14ac:dyDescent="0.2">
      <c r="A217" s="22">
        <f t="shared" si="41"/>
        <v>212</v>
      </c>
      <c r="B217" s="23">
        <f t="shared" si="42"/>
        <v>35.721461187214516</v>
      </c>
      <c r="C217" t="str">
        <f t="shared" si="33"/>
        <v>35 y 8.66 m</v>
      </c>
      <c r="D217" s="24">
        <f>IF(A217&gt;=$E$2,IF(A217&lt;$E$2+$H$2,$P$2,0),IF(B217&lt;Dashboard!$I$6,0,IF(A217&gt;=$F$2,Dashboard!$C$22*POWER(1+$C$2,A217-$F$2),Dashboard!$C$22)))</f>
        <v>0</v>
      </c>
      <c r="E217" s="24">
        <f>IF(A217&gt;=$F$2,0,IF(A217=0,Dashboard!$G$10,IF(B217&lt;Dashboard!$I$6,IF($J$2&lt;=Dashboard!$H$10,Dashboard!$H$10,MAX(Dashboard!$H$10,MIN($J$2,Dashboard!$H$10*POWER($J$2/Dashboard!$H$10,A217/$D$2)))),$I$2-D217-Dashboard!$I$10-Dashboard!$J$10-Dashboard!$F$10*$I$2)))</f>
        <v>6881.8</v>
      </c>
      <c r="F217" s="24">
        <f t="shared" si="34"/>
        <v>0</v>
      </c>
      <c r="G217" s="24">
        <f t="shared" si="35"/>
        <v>0</v>
      </c>
      <c r="H217" s="24">
        <f t="shared" si="36"/>
        <v>0</v>
      </c>
      <c r="I217" s="24">
        <f t="shared" si="37"/>
        <v>6881.8</v>
      </c>
      <c r="J217" s="25">
        <f t="shared" si="38"/>
        <v>7.9741404289037643E-3</v>
      </c>
      <c r="K217" s="24">
        <f t="shared" si="43"/>
        <v>571240.88871158625</v>
      </c>
      <c r="L217" s="24" t="str">
        <f t="shared" si="39"/>
        <v/>
      </c>
      <c r="M217" s="24">
        <f t="shared" si="40"/>
        <v>0</v>
      </c>
      <c r="N217" s="24">
        <f>IF(M217&lt;=0,0,IF($E$2-A217&lt;12,(M217-E217)*Dashboard!$B$18,IF($Q$2+A217&gt;=$R$2,MAX(0,M217-E217*POWER(1+$C$2,$E$2-A217))*MAX(Dashboard!$C$18,Dashboard!$B$18),IF($S$2&lt;$R$2,(M217-E217)*0.5*Dashboard!$B$18,(E217*POWER(1+$A$2,$R$2-($Q$2+A217))-E217)*0.5*Dashboard!$B$18+MAX(0,M217-E217*POWER(1+$A$2,$R$2-($Q$2+A217))*POWER(1+$C$2,$S$2-$R$2))*MAX(Dashboard!$C$18,Dashboard!$B$18)))))</f>
        <v>0</v>
      </c>
    </row>
    <row r="218" spans="1:14" x14ac:dyDescent="0.2">
      <c r="A218" s="22">
        <f t="shared" si="41"/>
        <v>213</v>
      </c>
      <c r="B218" s="23">
        <f t="shared" si="42"/>
        <v>35.804794520547851</v>
      </c>
      <c r="C218" t="str">
        <f t="shared" si="33"/>
        <v>35 y 9.66 m</v>
      </c>
      <c r="D218" s="24">
        <f>IF(A218&gt;=$E$2,IF(A218&lt;$E$2+$H$2,$P$2,0),IF(B218&lt;Dashboard!$I$6,0,IF(A218&gt;=$F$2,Dashboard!$C$22*POWER(1+$C$2,A218-$F$2),Dashboard!$C$22)))</f>
        <v>0</v>
      </c>
      <c r="E218" s="24">
        <f>IF(A218&gt;=$F$2,0,IF(A218=0,Dashboard!$G$10,IF(B218&lt;Dashboard!$I$6,IF($J$2&lt;=Dashboard!$H$10,Dashboard!$H$10,MAX(Dashboard!$H$10,MIN($J$2,Dashboard!$H$10*POWER($J$2/Dashboard!$H$10,A218/$D$2)))),$I$2-D218-Dashboard!$I$10-Dashboard!$J$10-Dashboard!$F$10*$I$2)))</f>
        <v>6881.8</v>
      </c>
      <c r="F218" s="24">
        <f t="shared" si="34"/>
        <v>0</v>
      </c>
      <c r="G218" s="24">
        <f t="shared" si="35"/>
        <v>0</v>
      </c>
      <c r="H218" s="24">
        <f t="shared" si="36"/>
        <v>0</v>
      </c>
      <c r="I218" s="24">
        <f t="shared" si="37"/>
        <v>6881.8</v>
      </c>
      <c r="J218" s="25">
        <f t="shared" si="38"/>
        <v>7.9741404289037643E-3</v>
      </c>
      <c r="K218" s="24">
        <f t="shared" si="43"/>
        <v>582732.72021650791</v>
      </c>
      <c r="L218" s="24" t="str">
        <f t="shared" si="39"/>
        <v/>
      </c>
      <c r="M218" s="24">
        <f t="shared" si="40"/>
        <v>0</v>
      </c>
      <c r="N218" s="24">
        <f>IF(M218&lt;=0,0,IF($E$2-A218&lt;12,(M218-E218)*Dashboard!$B$18,IF($Q$2+A218&gt;=$R$2,MAX(0,M218-E218*POWER(1+$C$2,$E$2-A218))*MAX(Dashboard!$C$18,Dashboard!$B$18),IF($S$2&lt;$R$2,(M218-E218)*0.5*Dashboard!$B$18,(E218*POWER(1+$A$2,$R$2-($Q$2+A218))-E218)*0.5*Dashboard!$B$18+MAX(0,M218-E218*POWER(1+$A$2,$R$2-($Q$2+A218))*POWER(1+$C$2,$S$2-$R$2))*MAX(Dashboard!$C$18,Dashboard!$B$18)))))</f>
        <v>0</v>
      </c>
    </row>
    <row r="219" spans="1:14" x14ac:dyDescent="0.2">
      <c r="A219" s="22">
        <f t="shared" si="41"/>
        <v>214</v>
      </c>
      <c r="B219" s="23">
        <f t="shared" si="42"/>
        <v>35.888127853881187</v>
      </c>
      <c r="C219" t="str">
        <f t="shared" si="33"/>
        <v>35 y 10.66 m</v>
      </c>
      <c r="D219" s="24">
        <f>IF(A219&gt;=$E$2,IF(A219&lt;$E$2+$H$2,$P$2,0),IF(B219&lt;Dashboard!$I$6,0,IF(A219&gt;=$F$2,Dashboard!$C$22*POWER(1+$C$2,A219-$F$2),Dashboard!$C$22)))</f>
        <v>0</v>
      </c>
      <c r="E219" s="24">
        <f>IF(A219&gt;=$F$2,0,IF(A219=0,Dashboard!$G$10,IF(B219&lt;Dashboard!$I$6,IF($J$2&lt;=Dashboard!$H$10,Dashboard!$H$10,MAX(Dashboard!$H$10,MIN($J$2,Dashboard!$H$10*POWER($J$2/Dashboard!$H$10,A219/$D$2)))),$I$2-D219-Dashboard!$I$10-Dashboard!$J$10-Dashboard!$F$10*$I$2)))</f>
        <v>6881.8</v>
      </c>
      <c r="F219" s="24">
        <f t="shared" si="34"/>
        <v>0</v>
      </c>
      <c r="G219" s="24">
        <f t="shared" si="35"/>
        <v>0</v>
      </c>
      <c r="H219" s="24">
        <f t="shared" si="36"/>
        <v>0</v>
      </c>
      <c r="I219" s="24">
        <f t="shared" si="37"/>
        <v>6881.8</v>
      </c>
      <c r="J219" s="25">
        <f t="shared" si="38"/>
        <v>7.9741404289037643E-3</v>
      </c>
      <c r="K219" s="24">
        <f t="shared" si="43"/>
        <v>594316.18919963506</v>
      </c>
      <c r="L219" s="24" t="str">
        <f t="shared" si="39"/>
        <v/>
      </c>
      <c r="M219" s="24">
        <f t="shared" si="40"/>
        <v>0</v>
      </c>
      <c r="N219" s="24">
        <f>IF(M219&lt;=0,0,IF($E$2-A219&lt;12,(M219-E219)*Dashboard!$B$18,IF($Q$2+A219&gt;=$R$2,MAX(0,M219-E219*POWER(1+$C$2,$E$2-A219))*MAX(Dashboard!$C$18,Dashboard!$B$18),IF($S$2&lt;$R$2,(M219-E219)*0.5*Dashboard!$B$18,(E219*POWER(1+$A$2,$R$2-($Q$2+A219))-E219)*0.5*Dashboard!$B$18+MAX(0,M219-E219*POWER(1+$A$2,$R$2-($Q$2+A219))*POWER(1+$C$2,$S$2-$R$2))*MAX(Dashboard!$C$18,Dashboard!$B$18)))))</f>
        <v>0</v>
      </c>
    </row>
    <row r="220" spans="1:14" x14ac:dyDescent="0.2">
      <c r="A220" s="22">
        <f t="shared" si="41"/>
        <v>215</v>
      </c>
      <c r="B220" s="23">
        <f t="shared" si="42"/>
        <v>35.971461187214523</v>
      </c>
      <c r="C220" t="str">
        <f t="shared" si="33"/>
        <v>35 y 11.66 m</v>
      </c>
      <c r="D220" s="24">
        <f>IF(A220&gt;=$E$2,IF(A220&lt;$E$2+$H$2,$P$2,0),IF(B220&lt;Dashboard!$I$6,0,IF(A220&gt;=$F$2,Dashboard!$C$22*POWER(1+$C$2,A220-$F$2),Dashboard!$C$22)))</f>
        <v>0</v>
      </c>
      <c r="E220" s="24">
        <f>IF(A220&gt;=$F$2,0,IF(A220=0,Dashboard!$G$10,IF(B220&lt;Dashboard!$I$6,IF($J$2&lt;=Dashboard!$H$10,Dashboard!$H$10,MAX(Dashboard!$H$10,MIN($J$2,Dashboard!$H$10*POWER($J$2/Dashboard!$H$10,A220/$D$2)))),$I$2-D220-Dashboard!$I$10-Dashboard!$J$10-Dashboard!$F$10*$I$2)))</f>
        <v>6881.8</v>
      </c>
      <c r="F220" s="24">
        <f t="shared" si="34"/>
        <v>0</v>
      </c>
      <c r="G220" s="24">
        <f t="shared" si="35"/>
        <v>0</v>
      </c>
      <c r="H220" s="24">
        <f t="shared" si="36"/>
        <v>0</v>
      </c>
      <c r="I220" s="24">
        <f t="shared" si="37"/>
        <v>6881.8</v>
      </c>
      <c r="J220" s="25">
        <f t="shared" si="38"/>
        <v>7.9741404289037643E-3</v>
      </c>
      <c r="K220" s="24">
        <f t="shared" si="43"/>
        <v>605992.02639108757</v>
      </c>
      <c r="L220" s="24" t="str">
        <f t="shared" si="39"/>
        <v/>
      </c>
      <c r="M220" s="24">
        <f t="shared" si="40"/>
        <v>0</v>
      </c>
      <c r="N220" s="24">
        <f>IF(M220&lt;=0,0,IF($E$2-A220&lt;12,(M220-E220)*Dashboard!$B$18,IF($Q$2+A220&gt;=$R$2,MAX(0,M220-E220*POWER(1+$C$2,$E$2-A220))*MAX(Dashboard!$C$18,Dashboard!$B$18),IF($S$2&lt;$R$2,(M220-E220)*0.5*Dashboard!$B$18,(E220*POWER(1+$A$2,$R$2-($Q$2+A220))-E220)*0.5*Dashboard!$B$18+MAX(0,M220-E220*POWER(1+$A$2,$R$2-($Q$2+A220))*POWER(1+$C$2,$S$2-$R$2))*MAX(Dashboard!$C$18,Dashboard!$B$18)))))</f>
        <v>0</v>
      </c>
    </row>
    <row r="221" spans="1:14" x14ac:dyDescent="0.2">
      <c r="A221" s="22">
        <f t="shared" si="41"/>
        <v>216</v>
      </c>
      <c r="B221" s="23">
        <f t="shared" si="42"/>
        <v>36.054794520547858</v>
      </c>
      <c r="C221" t="str">
        <f t="shared" si="33"/>
        <v>36 y 0.66 m</v>
      </c>
      <c r="D221" s="24">
        <f>IF(A221&gt;=$E$2,IF(A221&lt;$E$2+$H$2,$P$2,0),IF(B221&lt;Dashboard!$I$6,0,IF(A221&gt;=$F$2,Dashboard!$C$22*POWER(1+$C$2,A221-$F$2),Dashboard!$C$22)))</f>
        <v>0</v>
      </c>
      <c r="E221" s="24">
        <f>IF(A221&gt;=$F$2,0,IF(A221=0,Dashboard!$G$10,IF(B221&lt;Dashboard!$I$6,IF($J$2&lt;=Dashboard!$H$10,Dashboard!$H$10,MAX(Dashboard!$H$10,MIN($J$2,Dashboard!$H$10*POWER($J$2/Dashboard!$H$10,A221/$D$2)))),$I$2-D221-Dashboard!$I$10-Dashboard!$J$10-Dashboard!$F$10*$I$2)))</f>
        <v>6881.8</v>
      </c>
      <c r="F221" s="24">
        <f t="shared" si="34"/>
        <v>0</v>
      </c>
      <c r="G221" s="24">
        <f t="shared" si="35"/>
        <v>0</v>
      </c>
      <c r="H221" s="24">
        <f t="shared" si="36"/>
        <v>0</v>
      </c>
      <c r="I221" s="24">
        <f t="shared" si="37"/>
        <v>6881.8</v>
      </c>
      <c r="J221" s="25">
        <f t="shared" si="38"/>
        <v>7.9741404289037643E-3</v>
      </c>
      <c r="K221" s="24">
        <f t="shared" si="43"/>
        <v>617760.96834792977</v>
      </c>
      <c r="L221" s="24" t="str">
        <f t="shared" si="39"/>
        <v/>
      </c>
      <c r="M221" s="24">
        <f t="shared" si="40"/>
        <v>0</v>
      </c>
      <c r="N221" s="24">
        <f>IF(M221&lt;=0,0,IF($E$2-A221&lt;12,(M221-E221)*Dashboard!$B$18,IF($Q$2+A221&gt;=$R$2,MAX(0,M221-E221*POWER(1+$C$2,$E$2-A221))*MAX(Dashboard!$C$18,Dashboard!$B$18),IF($S$2&lt;$R$2,(M221-E221)*0.5*Dashboard!$B$18,(E221*POWER(1+$A$2,$R$2-($Q$2+A221))-E221)*0.5*Dashboard!$B$18+MAX(0,M221-E221*POWER(1+$A$2,$R$2-($Q$2+A221))*POWER(1+$C$2,$S$2-$R$2))*MAX(Dashboard!$C$18,Dashboard!$B$18)))))</f>
        <v>0</v>
      </c>
    </row>
    <row r="222" spans="1:14" x14ac:dyDescent="0.2">
      <c r="A222" s="22">
        <f t="shared" si="41"/>
        <v>217</v>
      </c>
      <c r="B222" s="23">
        <f t="shared" si="42"/>
        <v>36.138127853881194</v>
      </c>
      <c r="C222" t="str">
        <f t="shared" si="33"/>
        <v>36 y 1.66 m</v>
      </c>
      <c r="D222" s="24">
        <f>IF(A222&gt;=$E$2,IF(A222&lt;$E$2+$H$2,$P$2,0),IF(B222&lt;Dashboard!$I$6,0,IF(A222&gt;=$F$2,Dashboard!$C$22*POWER(1+$C$2,A222-$F$2),Dashboard!$C$22)))</f>
        <v>0</v>
      </c>
      <c r="E222" s="24">
        <f>IF(A222&gt;=$F$2,0,IF(A222=0,Dashboard!$G$10,IF(B222&lt;Dashboard!$I$6,IF($J$2&lt;=Dashboard!$H$10,Dashboard!$H$10,MAX(Dashboard!$H$10,MIN($J$2,Dashboard!$H$10*POWER($J$2/Dashboard!$H$10,A222/$D$2)))),$I$2-D222-Dashboard!$I$10-Dashboard!$J$10-Dashboard!$F$10*$I$2)))</f>
        <v>6881.8</v>
      </c>
      <c r="F222" s="24">
        <f t="shared" si="34"/>
        <v>0</v>
      </c>
      <c r="G222" s="24">
        <f t="shared" si="35"/>
        <v>0</v>
      </c>
      <c r="H222" s="24">
        <f t="shared" si="36"/>
        <v>0</v>
      </c>
      <c r="I222" s="24">
        <f t="shared" si="37"/>
        <v>6881.8</v>
      </c>
      <c r="J222" s="25">
        <f t="shared" si="38"/>
        <v>7.9741404289037643E-3</v>
      </c>
      <c r="K222" s="24">
        <f t="shared" si="43"/>
        <v>629623.75750063546</v>
      </c>
      <c r="L222" s="24" t="str">
        <f t="shared" si="39"/>
        <v/>
      </c>
      <c r="M222" s="24">
        <f t="shared" si="40"/>
        <v>0</v>
      </c>
      <c r="N222" s="24">
        <f>IF(M222&lt;=0,0,IF($E$2-A222&lt;12,(M222-E222)*Dashboard!$B$18,IF($Q$2+A222&gt;=$R$2,MAX(0,M222-E222*POWER(1+$C$2,$E$2-A222))*MAX(Dashboard!$C$18,Dashboard!$B$18),IF($S$2&lt;$R$2,(M222-E222)*0.5*Dashboard!$B$18,(E222*POWER(1+$A$2,$R$2-($Q$2+A222))-E222)*0.5*Dashboard!$B$18+MAX(0,M222-E222*POWER(1+$A$2,$R$2-($Q$2+A222))*POWER(1+$C$2,$S$2-$R$2))*MAX(Dashboard!$C$18,Dashboard!$B$18)))))</f>
        <v>0</v>
      </c>
    </row>
    <row r="223" spans="1:14" x14ac:dyDescent="0.2">
      <c r="A223" s="22">
        <f t="shared" si="41"/>
        <v>218</v>
      </c>
      <c r="B223" s="23">
        <f t="shared" si="42"/>
        <v>36.22146118721453</v>
      </c>
      <c r="C223" t="str">
        <f t="shared" si="33"/>
        <v>36 y 2.66 m</v>
      </c>
      <c r="D223" s="24">
        <f>IF(A223&gt;=$E$2,IF(A223&lt;$E$2+$H$2,$P$2,0),IF(B223&lt;Dashboard!$I$6,0,IF(A223&gt;=$F$2,Dashboard!$C$22*POWER(1+$C$2,A223-$F$2),Dashboard!$C$22)))</f>
        <v>0</v>
      </c>
      <c r="E223" s="24">
        <f>IF(A223&gt;=$F$2,0,IF(A223=0,Dashboard!$G$10,IF(B223&lt;Dashboard!$I$6,IF($J$2&lt;=Dashboard!$H$10,Dashboard!$H$10,MAX(Dashboard!$H$10,MIN($J$2,Dashboard!$H$10*POWER($J$2/Dashboard!$H$10,A223/$D$2)))),$I$2-D223-Dashboard!$I$10-Dashboard!$J$10-Dashboard!$F$10*$I$2)))</f>
        <v>6881.8</v>
      </c>
      <c r="F223" s="24">
        <f t="shared" si="34"/>
        <v>0</v>
      </c>
      <c r="G223" s="24">
        <f t="shared" si="35"/>
        <v>0</v>
      </c>
      <c r="H223" s="24">
        <f t="shared" si="36"/>
        <v>0</v>
      </c>
      <c r="I223" s="24">
        <f t="shared" si="37"/>
        <v>6881.8</v>
      </c>
      <c r="J223" s="25">
        <f t="shared" si="38"/>
        <v>7.9741404289037643E-3</v>
      </c>
      <c r="K223" s="24">
        <f t="shared" si="43"/>
        <v>641581.14219992328</v>
      </c>
      <c r="L223" s="24" t="str">
        <f t="shared" si="39"/>
        <v/>
      </c>
      <c r="M223" s="24">
        <f t="shared" si="40"/>
        <v>0</v>
      </c>
      <c r="N223" s="24">
        <f>IF(M223&lt;=0,0,IF($E$2-A223&lt;12,(M223-E223)*Dashboard!$B$18,IF($Q$2+A223&gt;=$R$2,MAX(0,M223-E223*POWER(1+$C$2,$E$2-A223))*MAX(Dashboard!$C$18,Dashboard!$B$18),IF($S$2&lt;$R$2,(M223-E223)*0.5*Dashboard!$B$18,(E223*POWER(1+$A$2,$R$2-($Q$2+A223))-E223)*0.5*Dashboard!$B$18+MAX(0,M223-E223*POWER(1+$A$2,$R$2-($Q$2+A223))*POWER(1+$C$2,$S$2-$R$2))*MAX(Dashboard!$C$18,Dashboard!$B$18)))))</f>
        <v>0</v>
      </c>
    </row>
    <row r="224" spans="1:14" x14ac:dyDescent="0.2">
      <c r="A224" s="22">
        <f t="shared" si="41"/>
        <v>219</v>
      </c>
      <c r="B224" s="23">
        <f t="shared" si="42"/>
        <v>36.304794520547865</v>
      </c>
      <c r="C224" t="str">
        <f t="shared" si="33"/>
        <v>36 y 3.66 m</v>
      </c>
      <c r="D224" s="24">
        <f>IF(A224&gt;=$E$2,IF(A224&lt;$E$2+$H$2,$P$2,0),IF(B224&lt;Dashboard!$I$6,0,IF(A224&gt;=$F$2,Dashboard!$C$22*POWER(1+$C$2,A224-$F$2),Dashboard!$C$22)))</f>
        <v>0</v>
      </c>
      <c r="E224" s="24">
        <f>IF(A224&gt;=$F$2,0,IF(A224=0,Dashboard!$G$10,IF(B224&lt;Dashboard!$I$6,IF($J$2&lt;=Dashboard!$H$10,Dashboard!$H$10,MAX(Dashboard!$H$10,MIN($J$2,Dashboard!$H$10*POWER($J$2/Dashboard!$H$10,A224/$D$2)))),$I$2-D224-Dashboard!$I$10-Dashboard!$J$10-Dashboard!$F$10*$I$2)))</f>
        <v>6881.8</v>
      </c>
      <c r="F224" s="24">
        <f t="shared" si="34"/>
        <v>0</v>
      </c>
      <c r="G224" s="24">
        <f t="shared" si="35"/>
        <v>0</v>
      </c>
      <c r="H224" s="24">
        <f t="shared" si="36"/>
        <v>0</v>
      </c>
      <c r="I224" s="24">
        <f t="shared" si="37"/>
        <v>6881.8</v>
      </c>
      <c r="J224" s="25">
        <f t="shared" si="38"/>
        <v>7.9741404289037643E-3</v>
      </c>
      <c r="K224" s="24">
        <f t="shared" si="43"/>
        <v>653633.87676396559</v>
      </c>
      <c r="L224" s="24" t="str">
        <f t="shared" si="39"/>
        <v/>
      </c>
      <c r="M224" s="24">
        <f t="shared" si="40"/>
        <v>0</v>
      </c>
      <c r="N224" s="24">
        <f>IF(M224&lt;=0,0,IF($E$2-A224&lt;12,(M224-E224)*Dashboard!$B$18,IF($Q$2+A224&gt;=$R$2,MAX(0,M224-E224*POWER(1+$C$2,$E$2-A224))*MAX(Dashboard!$C$18,Dashboard!$B$18),IF($S$2&lt;$R$2,(M224-E224)*0.5*Dashboard!$B$18,(E224*POWER(1+$A$2,$R$2-($Q$2+A224))-E224)*0.5*Dashboard!$B$18+MAX(0,M224-E224*POWER(1+$A$2,$R$2-($Q$2+A224))*POWER(1+$C$2,$S$2-$R$2))*MAX(Dashboard!$C$18,Dashboard!$B$18)))))</f>
        <v>0</v>
      </c>
    </row>
    <row r="225" spans="1:14" x14ac:dyDescent="0.2">
      <c r="A225" s="22">
        <f t="shared" si="41"/>
        <v>220</v>
      </c>
      <c r="B225" s="23">
        <f t="shared" si="42"/>
        <v>36.388127853881201</v>
      </c>
      <c r="C225" t="str">
        <f t="shared" si="33"/>
        <v>36 y 4.66 m</v>
      </c>
      <c r="D225" s="24">
        <f>IF(A225&gt;=$E$2,IF(A225&lt;$E$2+$H$2,$P$2,0),IF(B225&lt;Dashboard!$I$6,0,IF(A225&gt;=$F$2,Dashboard!$C$22*POWER(1+$C$2,A225-$F$2),Dashboard!$C$22)))</f>
        <v>0</v>
      </c>
      <c r="E225" s="24">
        <f>IF(A225&gt;=$F$2,0,IF(A225=0,Dashboard!$G$10,IF(B225&lt;Dashboard!$I$6,IF($J$2&lt;=Dashboard!$H$10,Dashboard!$H$10,MAX(Dashboard!$H$10,MIN($J$2,Dashboard!$H$10*POWER($J$2/Dashboard!$H$10,A225/$D$2)))),$I$2-D225-Dashboard!$I$10-Dashboard!$J$10-Dashboard!$F$10*$I$2)))</f>
        <v>6881.8</v>
      </c>
      <c r="F225" s="24">
        <f t="shared" si="34"/>
        <v>0</v>
      </c>
      <c r="G225" s="24">
        <f t="shared" si="35"/>
        <v>0</v>
      </c>
      <c r="H225" s="24">
        <f t="shared" si="36"/>
        <v>0</v>
      </c>
      <c r="I225" s="24">
        <f t="shared" si="37"/>
        <v>6881.8</v>
      </c>
      <c r="J225" s="25">
        <f t="shared" si="38"/>
        <v>7.9741404289037643E-3</v>
      </c>
      <c r="K225" s="24">
        <f t="shared" si="43"/>
        <v>665782.72152597387</v>
      </c>
      <c r="L225" s="24" t="str">
        <f t="shared" si="39"/>
        <v/>
      </c>
      <c r="M225" s="24">
        <f t="shared" si="40"/>
        <v>0</v>
      </c>
      <c r="N225" s="24">
        <f>IF(M225&lt;=0,0,IF($E$2-A225&lt;12,(M225-E225)*Dashboard!$B$18,IF($Q$2+A225&gt;=$R$2,MAX(0,M225-E225*POWER(1+$C$2,$E$2-A225))*MAX(Dashboard!$C$18,Dashboard!$B$18),IF($S$2&lt;$R$2,(M225-E225)*0.5*Dashboard!$B$18,(E225*POWER(1+$A$2,$R$2-($Q$2+A225))-E225)*0.5*Dashboard!$B$18+MAX(0,M225-E225*POWER(1+$A$2,$R$2-($Q$2+A225))*POWER(1+$C$2,$S$2-$R$2))*MAX(Dashboard!$C$18,Dashboard!$B$18)))))</f>
        <v>0</v>
      </c>
    </row>
    <row r="226" spans="1:14" x14ac:dyDescent="0.2">
      <c r="A226" s="22">
        <f t="shared" si="41"/>
        <v>221</v>
      </c>
      <c r="B226" s="23">
        <f t="shared" si="42"/>
        <v>36.471461187214537</v>
      </c>
      <c r="C226" t="str">
        <f t="shared" si="33"/>
        <v>36 y 5.66 m</v>
      </c>
      <c r="D226" s="24">
        <f>IF(A226&gt;=$E$2,IF(A226&lt;$E$2+$H$2,$P$2,0),IF(B226&lt;Dashboard!$I$6,0,IF(A226&gt;=$F$2,Dashboard!$C$22*POWER(1+$C$2,A226-$F$2),Dashboard!$C$22)))</f>
        <v>0</v>
      </c>
      <c r="E226" s="24">
        <f>IF(A226&gt;=$F$2,0,IF(A226=0,Dashboard!$G$10,IF(B226&lt;Dashboard!$I$6,IF($J$2&lt;=Dashboard!$H$10,Dashboard!$H$10,MAX(Dashboard!$H$10,MIN($J$2,Dashboard!$H$10*POWER($J$2/Dashboard!$H$10,A226/$D$2)))),$I$2-D226-Dashboard!$I$10-Dashboard!$J$10-Dashboard!$F$10*$I$2)))</f>
        <v>6881.8</v>
      </c>
      <c r="F226" s="24">
        <f t="shared" si="34"/>
        <v>0</v>
      </c>
      <c r="G226" s="24">
        <f t="shared" si="35"/>
        <v>0</v>
      </c>
      <c r="H226" s="24">
        <f t="shared" si="36"/>
        <v>0</v>
      </c>
      <c r="I226" s="24">
        <f t="shared" si="37"/>
        <v>6881.8</v>
      </c>
      <c r="J226" s="25">
        <f t="shared" si="38"/>
        <v>7.9741404289037643E-3</v>
      </c>
      <c r="K226" s="24">
        <f t="shared" si="43"/>
        <v>678028.44288216345</v>
      </c>
      <c r="L226" s="24" t="str">
        <f t="shared" si="39"/>
        <v/>
      </c>
      <c r="M226" s="24">
        <f t="shared" si="40"/>
        <v>0</v>
      </c>
      <c r="N226" s="24">
        <f>IF(M226&lt;=0,0,IF($E$2-A226&lt;12,(M226-E226)*Dashboard!$B$18,IF($Q$2+A226&gt;=$R$2,MAX(0,M226-E226*POWER(1+$C$2,$E$2-A226))*MAX(Dashboard!$C$18,Dashboard!$B$18),IF($S$2&lt;$R$2,(M226-E226)*0.5*Dashboard!$B$18,(E226*POWER(1+$A$2,$R$2-($Q$2+A226))-E226)*0.5*Dashboard!$B$18+MAX(0,M226-E226*POWER(1+$A$2,$R$2-($Q$2+A226))*POWER(1+$C$2,$S$2-$R$2))*MAX(Dashboard!$C$18,Dashboard!$B$18)))))</f>
        <v>0</v>
      </c>
    </row>
    <row r="227" spans="1:14" x14ac:dyDescent="0.2">
      <c r="A227" s="22">
        <f t="shared" si="41"/>
        <v>222</v>
      </c>
      <c r="B227" s="23">
        <f t="shared" si="42"/>
        <v>36.554794520547873</v>
      </c>
      <c r="C227" t="str">
        <f t="shared" si="33"/>
        <v>36 y 6.66 m</v>
      </c>
      <c r="D227" s="24">
        <f>IF(A227&gt;=$E$2,IF(A227&lt;$E$2+$H$2,$P$2,0),IF(B227&lt;Dashboard!$I$6,0,IF(A227&gt;=$F$2,Dashboard!$C$22*POWER(1+$C$2,A227-$F$2),Dashboard!$C$22)))</f>
        <v>0</v>
      </c>
      <c r="E227" s="24">
        <f>IF(A227&gt;=$F$2,0,IF(A227=0,Dashboard!$G$10,IF(B227&lt;Dashboard!$I$6,IF($J$2&lt;=Dashboard!$H$10,Dashboard!$H$10,MAX(Dashboard!$H$10,MIN($J$2,Dashboard!$H$10*POWER($J$2/Dashboard!$H$10,A227/$D$2)))),$I$2-D227-Dashboard!$I$10-Dashboard!$J$10-Dashboard!$F$10*$I$2)))</f>
        <v>6881.8</v>
      </c>
      <c r="F227" s="24">
        <f t="shared" si="34"/>
        <v>0</v>
      </c>
      <c r="G227" s="24">
        <f t="shared" si="35"/>
        <v>0</v>
      </c>
      <c r="H227" s="24">
        <f t="shared" si="36"/>
        <v>0</v>
      </c>
      <c r="I227" s="24">
        <f t="shared" si="37"/>
        <v>6881.8</v>
      </c>
      <c r="J227" s="25">
        <f t="shared" si="38"/>
        <v>7.9741404289037643E-3</v>
      </c>
      <c r="K227" s="24">
        <f t="shared" si="43"/>
        <v>690371.81334010046</v>
      </c>
      <c r="L227" s="24" t="str">
        <f t="shared" si="39"/>
        <v/>
      </c>
      <c r="M227" s="24">
        <f t="shared" si="40"/>
        <v>0</v>
      </c>
      <c r="N227" s="24">
        <f>IF(M227&lt;=0,0,IF($E$2-A227&lt;12,(M227-E227)*Dashboard!$B$18,IF($Q$2+A227&gt;=$R$2,MAX(0,M227-E227*POWER(1+$C$2,$E$2-A227))*MAX(Dashboard!$C$18,Dashboard!$B$18),IF($S$2&lt;$R$2,(M227-E227)*0.5*Dashboard!$B$18,(E227*POWER(1+$A$2,$R$2-($Q$2+A227))-E227)*0.5*Dashboard!$B$18+MAX(0,M227-E227*POWER(1+$A$2,$R$2-($Q$2+A227))*POWER(1+$C$2,$S$2-$R$2))*MAX(Dashboard!$C$18,Dashboard!$B$18)))))</f>
        <v>0</v>
      </c>
    </row>
    <row r="228" spans="1:14" x14ac:dyDescent="0.2">
      <c r="A228" s="22">
        <f t="shared" si="41"/>
        <v>223</v>
      </c>
      <c r="B228" s="23">
        <f t="shared" si="42"/>
        <v>36.638127853881208</v>
      </c>
      <c r="C228" t="str">
        <f t="shared" si="33"/>
        <v>36 y 7.66 m</v>
      </c>
      <c r="D228" s="24">
        <f>IF(A228&gt;=$E$2,IF(A228&lt;$E$2+$H$2,$P$2,0),IF(B228&lt;Dashboard!$I$6,0,IF(A228&gt;=$F$2,Dashboard!$C$22*POWER(1+$C$2,A228-$F$2),Dashboard!$C$22)))</f>
        <v>0</v>
      </c>
      <c r="E228" s="24">
        <f>IF(A228&gt;=$F$2,0,IF(A228=0,Dashboard!$G$10,IF(B228&lt;Dashboard!$I$6,IF($J$2&lt;=Dashboard!$H$10,Dashboard!$H$10,MAX(Dashboard!$H$10,MIN($J$2,Dashboard!$H$10*POWER($J$2/Dashboard!$H$10,A228/$D$2)))),$I$2-D228-Dashboard!$I$10-Dashboard!$J$10-Dashboard!$F$10*$I$2)))</f>
        <v>6881.8</v>
      </c>
      <c r="F228" s="24">
        <f t="shared" si="34"/>
        <v>0</v>
      </c>
      <c r="G228" s="24">
        <f t="shared" si="35"/>
        <v>0</v>
      </c>
      <c r="H228" s="24">
        <f t="shared" si="36"/>
        <v>0</v>
      </c>
      <c r="I228" s="24">
        <f t="shared" si="37"/>
        <v>6881.8</v>
      </c>
      <c r="J228" s="25">
        <f t="shared" si="38"/>
        <v>7.9741404289037643E-3</v>
      </c>
      <c r="K228" s="24">
        <f t="shared" si="43"/>
        <v>702813.61156743509</v>
      </c>
      <c r="L228" s="24" t="str">
        <f t="shared" si="39"/>
        <v/>
      </c>
      <c r="M228" s="24">
        <f t="shared" si="40"/>
        <v>0</v>
      </c>
      <c r="N228" s="24">
        <f>IF(M228&lt;=0,0,IF($E$2-A228&lt;12,(M228-E228)*Dashboard!$B$18,IF($Q$2+A228&gt;=$R$2,MAX(0,M228-E228*POWER(1+$C$2,$E$2-A228))*MAX(Dashboard!$C$18,Dashboard!$B$18),IF($S$2&lt;$R$2,(M228-E228)*0.5*Dashboard!$B$18,(E228*POWER(1+$A$2,$R$2-($Q$2+A228))-E228)*0.5*Dashboard!$B$18+MAX(0,M228-E228*POWER(1+$A$2,$R$2-($Q$2+A228))*POWER(1+$C$2,$S$2-$R$2))*MAX(Dashboard!$C$18,Dashboard!$B$18)))))</f>
        <v>0</v>
      </c>
    </row>
    <row r="229" spans="1:14" x14ac:dyDescent="0.2">
      <c r="A229" s="22">
        <f t="shared" si="41"/>
        <v>224</v>
      </c>
      <c r="B229" s="23">
        <f t="shared" si="42"/>
        <v>36.721461187214544</v>
      </c>
      <c r="C229" t="str">
        <f t="shared" si="33"/>
        <v>36 y 8.66 m</v>
      </c>
      <c r="D229" s="24">
        <f>IF(A229&gt;=$E$2,IF(A229&lt;$E$2+$H$2,$P$2,0),IF(B229&lt;Dashboard!$I$6,0,IF(A229&gt;=$F$2,Dashboard!$C$22*POWER(1+$C$2,A229-$F$2),Dashboard!$C$22)))</f>
        <v>0</v>
      </c>
      <c r="E229" s="24">
        <f>IF(A229&gt;=$F$2,0,IF(A229=0,Dashboard!$G$10,IF(B229&lt;Dashboard!$I$6,IF($J$2&lt;=Dashboard!$H$10,Dashboard!$H$10,MAX(Dashboard!$H$10,MIN($J$2,Dashboard!$H$10*POWER($J$2/Dashboard!$H$10,A229/$D$2)))),$I$2-D229-Dashboard!$I$10-Dashboard!$J$10-Dashboard!$F$10*$I$2)))</f>
        <v>6881.8</v>
      </c>
      <c r="F229" s="24">
        <f t="shared" si="34"/>
        <v>0</v>
      </c>
      <c r="G229" s="24">
        <f t="shared" si="35"/>
        <v>0</v>
      </c>
      <c r="H229" s="24">
        <f t="shared" si="36"/>
        <v>0</v>
      </c>
      <c r="I229" s="24">
        <f t="shared" si="37"/>
        <v>6881.8</v>
      </c>
      <c r="J229" s="25">
        <f t="shared" si="38"/>
        <v>7.9741404289037643E-3</v>
      </c>
      <c r="K229" s="24">
        <f t="shared" si="43"/>
        <v>715354.62244102254</v>
      </c>
      <c r="L229" s="24" t="str">
        <f t="shared" si="39"/>
        <v/>
      </c>
      <c r="M229" s="24">
        <f t="shared" si="40"/>
        <v>0</v>
      </c>
      <c r="N229" s="24">
        <f>IF(M229&lt;=0,0,IF($E$2-A229&lt;12,(M229-E229)*Dashboard!$B$18,IF($Q$2+A229&gt;=$R$2,MAX(0,M229-E229*POWER(1+$C$2,$E$2-A229))*MAX(Dashboard!$C$18,Dashboard!$B$18),IF($S$2&lt;$R$2,(M229-E229)*0.5*Dashboard!$B$18,(E229*POWER(1+$A$2,$R$2-($Q$2+A229))-E229)*0.5*Dashboard!$B$18+MAX(0,M229-E229*POWER(1+$A$2,$R$2-($Q$2+A229))*POWER(1+$C$2,$S$2-$R$2))*MAX(Dashboard!$C$18,Dashboard!$B$18)))))</f>
        <v>0</v>
      </c>
    </row>
    <row r="230" spans="1:14" x14ac:dyDescent="0.2">
      <c r="A230" s="22">
        <f t="shared" si="41"/>
        <v>225</v>
      </c>
      <c r="B230" s="23">
        <f t="shared" si="42"/>
        <v>36.80479452054788</v>
      </c>
      <c r="C230" t="str">
        <f t="shared" si="33"/>
        <v>36 y 9.66 m</v>
      </c>
      <c r="D230" s="24">
        <f>IF(A230&gt;=$E$2,IF(A230&lt;$E$2+$H$2,$P$2,0),IF(B230&lt;Dashboard!$I$6,0,IF(A230&gt;=$F$2,Dashboard!$C$22*POWER(1+$C$2,A230-$F$2),Dashboard!$C$22)))</f>
        <v>0</v>
      </c>
      <c r="E230" s="24">
        <f>IF(A230&gt;=$F$2,0,IF(A230=0,Dashboard!$G$10,IF(B230&lt;Dashboard!$I$6,IF($J$2&lt;=Dashboard!$H$10,Dashboard!$H$10,MAX(Dashboard!$H$10,MIN($J$2,Dashboard!$H$10*POWER($J$2/Dashboard!$H$10,A230/$D$2)))),$I$2-D230-Dashboard!$I$10-Dashboard!$J$10-Dashboard!$F$10*$I$2)))</f>
        <v>6881.8</v>
      </c>
      <c r="F230" s="24">
        <f t="shared" si="34"/>
        <v>0</v>
      </c>
      <c r="G230" s="24">
        <f t="shared" si="35"/>
        <v>0</v>
      </c>
      <c r="H230" s="24">
        <f t="shared" si="36"/>
        <v>0</v>
      </c>
      <c r="I230" s="24">
        <f t="shared" si="37"/>
        <v>6881.8</v>
      </c>
      <c r="J230" s="25">
        <f t="shared" si="38"/>
        <v>7.9741404289037643E-3</v>
      </c>
      <c r="K230" s="24">
        <f t="shared" si="43"/>
        <v>727995.63709643635</v>
      </c>
      <c r="L230" s="24" t="str">
        <f t="shared" si="39"/>
        <v/>
      </c>
      <c r="M230" s="24">
        <f t="shared" si="40"/>
        <v>0</v>
      </c>
      <c r="N230" s="24">
        <f>IF(M230&lt;=0,0,IF($E$2-A230&lt;12,(M230-E230)*Dashboard!$B$18,IF($Q$2+A230&gt;=$R$2,MAX(0,M230-E230*POWER(1+$C$2,$E$2-A230))*MAX(Dashboard!$C$18,Dashboard!$B$18),IF($S$2&lt;$R$2,(M230-E230)*0.5*Dashboard!$B$18,(E230*POWER(1+$A$2,$R$2-($Q$2+A230))-E230)*0.5*Dashboard!$B$18+MAX(0,M230-E230*POWER(1+$A$2,$R$2-($Q$2+A230))*POWER(1+$C$2,$S$2-$R$2))*MAX(Dashboard!$C$18,Dashboard!$B$18)))))</f>
        <v>0</v>
      </c>
    </row>
    <row r="231" spans="1:14" x14ac:dyDescent="0.2">
      <c r="A231" s="22">
        <f t="shared" si="41"/>
        <v>226</v>
      </c>
      <c r="B231" s="23">
        <f t="shared" si="42"/>
        <v>36.888127853881215</v>
      </c>
      <c r="C231" t="str">
        <f t="shared" si="33"/>
        <v>36 y 10.66 m</v>
      </c>
      <c r="D231" s="24">
        <f>IF(A231&gt;=$E$2,IF(A231&lt;$E$2+$H$2,$P$2,0),IF(B231&lt;Dashboard!$I$6,0,IF(A231&gt;=$F$2,Dashboard!$C$22*POWER(1+$C$2,A231-$F$2),Dashboard!$C$22)))</f>
        <v>0</v>
      </c>
      <c r="E231" s="24">
        <f>IF(A231&gt;=$F$2,0,IF(A231=0,Dashboard!$G$10,IF(B231&lt;Dashboard!$I$6,IF($J$2&lt;=Dashboard!$H$10,Dashboard!$H$10,MAX(Dashboard!$H$10,MIN($J$2,Dashboard!$H$10*POWER($J$2/Dashboard!$H$10,A231/$D$2)))),$I$2-D231-Dashboard!$I$10-Dashboard!$J$10-Dashboard!$F$10*$I$2)))</f>
        <v>6881.8</v>
      </c>
      <c r="F231" s="24">
        <f t="shared" si="34"/>
        <v>0</v>
      </c>
      <c r="G231" s="24">
        <f t="shared" si="35"/>
        <v>0</v>
      </c>
      <c r="H231" s="24">
        <f t="shared" si="36"/>
        <v>0</v>
      </c>
      <c r="I231" s="24">
        <f t="shared" si="37"/>
        <v>6881.8</v>
      </c>
      <c r="J231" s="25">
        <f t="shared" si="38"/>
        <v>7.9741404289037643E-3</v>
      </c>
      <c r="K231" s="24">
        <f t="shared" si="43"/>
        <v>740737.4529778763</v>
      </c>
      <c r="L231" s="24" t="str">
        <f t="shared" si="39"/>
        <v/>
      </c>
      <c r="M231" s="24">
        <f t="shared" si="40"/>
        <v>0</v>
      </c>
      <c r="N231" s="24">
        <f>IF(M231&lt;=0,0,IF($E$2-A231&lt;12,(M231-E231)*Dashboard!$B$18,IF($Q$2+A231&gt;=$R$2,MAX(0,M231-E231*POWER(1+$C$2,$E$2-A231))*MAX(Dashboard!$C$18,Dashboard!$B$18),IF($S$2&lt;$R$2,(M231-E231)*0.5*Dashboard!$B$18,(E231*POWER(1+$A$2,$R$2-($Q$2+A231))-E231)*0.5*Dashboard!$B$18+MAX(0,M231-E231*POWER(1+$A$2,$R$2-($Q$2+A231))*POWER(1+$C$2,$S$2-$R$2))*MAX(Dashboard!$C$18,Dashboard!$B$18)))))</f>
        <v>0</v>
      </c>
    </row>
    <row r="232" spans="1:14" x14ac:dyDescent="0.2">
      <c r="A232" s="22">
        <f t="shared" si="41"/>
        <v>227</v>
      </c>
      <c r="B232" s="23">
        <f t="shared" si="42"/>
        <v>36.971461187214551</v>
      </c>
      <c r="C232" t="str">
        <f t="shared" si="33"/>
        <v>36 y 11.66 m</v>
      </c>
      <c r="D232" s="24">
        <f>IF(A232&gt;=$E$2,IF(A232&lt;$E$2+$H$2,$P$2,0),IF(B232&lt;Dashboard!$I$6,0,IF(A232&gt;=$F$2,Dashboard!$C$22*POWER(1+$C$2,A232-$F$2),Dashboard!$C$22)))</f>
        <v>0</v>
      </c>
      <c r="E232" s="24">
        <f>IF(A232&gt;=$F$2,0,IF(A232=0,Dashboard!$G$10,IF(B232&lt;Dashboard!$I$6,IF($J$2&lt;=Dashboard!$H$10,Dashboard!$H$10,MAX(Dashboard!$H$10,MIN($J$2,Dashboard!$H$10*POWER($J$2/Dashboard!$H$10,A232/$D$2)))),$I$2-D232-Dashboard!$I$10-Dashboard!$J$10-Dashboard!$F$10*$I$2)))</f>
        <v>6881.8</v>
      </c>
      <c r="F232" s="24">
        <f t="shared" si="34"/>
        <v>0</v>
      </c>
      <c r="G232" s="24">
        <f t="shared" si="35"/>
        <v>0</v>
      </c>
      <c r="H232" s="24">
        <f t="shared" si="36"/>
        <v>0</v>
      </c>
      <c r="I232" s="24">
        <f t="shared" si="37"/>
        <v>6881.8</v>
      </c>
      <c r="J232" s="25">
        <f t="shared" si="38"/>
        <v>7.9741404289037643E-3</v>
      </c>
      <c r="K232" s="24">
        <f t="shared" si="43"/>
        <v>753580.87388847407</v>
      </c>
      <c r="L232" s="24" t="str">
        <f t="shared" si="39"/>
        <v/>
      </c>
      <c r="M232" s="24">
        <f t="shared" si="40"/>
        <v>0</v>
      </c>
      <c r="N232" s="24">
        <f>IF(M232&lt;=0,0,IF($E$2-A232&lt;12,(M232-E232)*Dashboard!$B$18,IF($Q$2+A232&gt;=$R$2,MAX(0,M232-E232*POWER(1+$C$2,$E$2-A232))*MAX(Dashboard!$C$18,Dashboard!$B$18),IF($S$2&lt;$R$2,(M232-E232)*0.5*Dashboard!$B$18,(E232*POWER(1+$A$2,$R$2-($Q$2+A232))-E232)*0.5*Dashboard!$B$18+MAX(0,M232-E232*POWER(1+$A$2,$R$2-($Q$2+A232))*POWER(1+$C$2,$S$2-$R$2))*MAX(Dashboard!$C$18,Dashboard!$B$18)))))</f>
        <v>0</v>
      </c>
    </row>
    <row r="233" spans="1:14" x14ac:dyDescent="0.2">
      <c r="A233" s="22">
        <f t="shared" si="41"/>
        <v>228</v>
      </c>
      <c r="B233" s="23">
        <f t="shared" si="42"/>
        <v>37.054794520547887</v>
      </c>
      <c r="C233" t="str">
        <f t="shared" si="33"/>
        <v>37 y 0.66 m</v>
      </c>
      <c r="D233" s="24">
        <f>IF(A233&gt;=$E$2,IF(A233&lt;$E$2+$H$2,$P$2,0),IF(B233&lt;Dashboard!$I$6,0,IF(A233&gt;=$F$2,Dashboard!$C$22*POWER(1+$C$2,A233-$F$2),Dashboard!$C$22)))</f>
        <v>0</v>
      </c>
      <c r="E233" s="24">
        <f>IF(A233&gt;=$F$2,0,IF(A233=0,Dashboard!$G$10,IF(B233&lt;Dashboard!$I$6,IF($J$2&lt;=Dashboard!$H$10,Dashboard!$H$10,MAX(Dashboard!$H$10,MIN($J$2,Dashboard!$H$10*POWER($J$2/Dashboard!$H$10,A233/$D$2)))),$I$2-D233-Dashboard!$I$10-Dashboard!$J$10-Dashboard!$F$10*$I$2)))</f>
        <v>6881.8</v>
      </c>
      <c r="F233" s="24">
        <f t="shared" si="34"/>
        <v>0</v>
      </c>
      <c r="G233" s="24">
        <f t="shared" si="35"/>
        <v>0</v>
      </c>
      <c r="H233" s="24">
        <f t="shared" si="36"/>
        <v>0</v>
      </c>
      <c r="I233" s="24">
        <f t="shared" si="37"/>
        <v>6881.8</v>
      </c>
      <c r="J233" s="25">
        <f t="shared" si="38"/>
        <v>7.9741404289037643E-3</v>
      </c>
      <c r="K233" s="24">
        <f t="shared" si="43"/>
        <v>766526.71004100051</v>
      </c>
      <c r="L233" s="24" t="str">
        <f t="shared" si="39"/>
        <v/>
      </c>
      <c r="M233" s="24">
        <f t="shared" si="40"/>
        <v>0</v>
      </c>
      <c r="N233" s="24">
        <f>IF(M233&lt;=0,0,IF($E$2-A233&lt;12,(M233-E233)*Dashboard!$B$18,IF($Q$2+A233&gt;=$R$2,MAX(0,M233-E233*POWER(1+$C$2,$E$2-A233))*MAX(Dashboard!$C$18,Dashboard!$B$18),IF($S$2&lt;$R$2,(M233-E233)*0.5*Dashboard!$B$18,(E233*POWER(1+$A$2,$R$2-($Q$2+A233))-E233)*0.5*Dashboard!$B$18+MAX(0,M233-E233*POWER(1+$A$2,$R$2-($Q$2+A233))*POWER(1+$C$2,$S$2-$R$2))*MAX(Dashboard!$C$18,Dashboard!$B$18)))))</f>
        <v>0</v>
      </c>
    </row>
    <row r="234" spans="1:14" x14ac:dyDescent="0.2">
      <c r="A234" s="22">
        <f t="shared" si="41"/>
        <v>229</v>
      </c>
      <c r="B234" s="23">
        <f t="shared" si="42"/>
        <v>37.138127853881223</v>
      </c>
      <c r="C234" t="str">
        <f t="shared" si="33"/>
        <v>37 y 1.66 m</v>
      </c>
      <c r="D234" s="24">
        <f>IF(A234&gt;=$E$2,IF(A234&lt;$E$2+$H$2,$P$2,0),IF(B234&lt;Dashboard!$I$6,0,IF(A234&gt;=$F$2,Dashboard!$C$22*POWER(1+$C$2,A234-$F$2),Dashboard!$C$22)))</f>
        <v>0</v>
      </c>
      <c r="E234" s="24">
        <f>IF(A234&gt;=$F$2,0,IF(A234=0,Dashboard!$G$10,IF(B234&lt;Dashboard!$I$6,IF($J$2&lt;=Dashboard!$H$10,Dashboard!$H$10,MAX(Dashboard!$H$10,MIN($J$2,Dashboard!$H$10*POWER($J$2/Dashboard!$H$10,A234/$D$2)))),$I$2-D234-Dashboard!$I$10-Dashboard!$J$10-Dashboard!$F$10*$I$2)))</f>
        <v>6881.8</v>
      </c>
      <c r="F234" s="24">
        <f t="shared" si="34"/>
        <v>0</v>
      </c>
      <c r="G234" s="24">
        <f t="shared" si="35"/>
        <v>0</v>
      </c>
      <c r="H234" s="24">
        <f t="shared" si="36"/>
        <v>0</v>
      </c>
      <c r="I234" s="24">
        <f t="shared" si="37"/>
        <v>6881.8</v>
      </c>
      <c r="J234" s="25">
        <f t="shared" si="38"/>
        <v>7.9741404289037643E-3</v>
      </c>
      <c r="K234" s="24">
        <f t="shared" si="43"/>
        <v>779575.77810897666</v>
      </c>
      <c r="L234" s="24" t="str">
        <f t="shared" si="39"/>
        <v/>
      </c>
      <c r="M234" s="24">
        <f t="shared" si="40"/>
        <v>0</v>
      </c>
      <c r="N234" s="24">
        <f>IF(M234&lt;=0,0,IF($E$2-A234&lt;12,(M234-E234)*Dashboard!$B$18,IF($Q$2+A234&gt;=$R$2,MAX(0,M234-E234*POWER(1+$C$2,$E$2-A234))*MAX(Dashboard!$C$18,Dashboard!$B$18),IF($S$2&lt;$R$2,(M234-E234)*0.5*Dashboard!$B$18,(E234*POWER(1+$A$2,$R$2-($Q$2+A234))-E234)*0.5*Dashboard!$B$18+MAX(0,M234-E234*POWER(1+$A$2,$R$2-($Q$2+A234))*POWER(1+$C$2,$S$2-$R$2))*MAX(Dashboard!$C$18,Dashboard!$B$18)))))</f>
        <v>0</v>
      </c>
    </row>
    <row r="235" spans="1:14" x14ac:dyDescent="0.2">
      <c r="A235" s="22">
        <f t="shared" si="41"/>
        <v>230</v>
      </c>
      <c r="B235" s="23">
        <f t="shared" si="42"/>
        <v>37.221461187214558</v>
      </c>
      <c r="C235" t="str">
        <f t="shared" si="33"/>
        <v>37 y 2.66 m</v>
      </c>
      <c r="D235" s="24">
        <f>IF(A235&gt;=$E$2,IF(A235&lt;$E$2+$H$2,$P$2,0),IF(B235&lt;Dashboard!$I$6,0,IF(A235&gt;=$F$2,Dashboard!$C$22*POWER(1+$C$2,A235-$F$2),Dashboard!$C$22)))</f>
        <v>0</v>
      </c>
      <c r="E235" s="24">
        <f>IF(A235&gt;=$F$2,0,IF(A235=0,Dashboard!$G$10,IF(B235&lt;Dashboard!$I$6,IF($J$2&lt;=Dashboard!$H$10,Dashboard!$H$10,MAX(Dashboard!$H$10,MIN($J$2,Dashboard!$H$10*POWER($J$2/Dashboard!$H$10,A235/$D$2)))),$I$2-D235-Dashboard!$I$10-Dashboard!$J$10-Dashboard!$F$10*$I$2)))</f>
        <v>6881.8</v>
      </c>
      <c r="F235" s="24">
        <f t="shared" si="34"/>
        <v>0</v>
      </c>
      <c r="G235" s="24">
        <f t="shared" si="35"/>
        <v>0</v>
      </c>
      <c r="H235" s="24">
        <f t="shared" si="36"/>
        <v>0</v>
      </c>
      <c r="I235" s="24">
        <f t="shared" si="37"/>
        <v>6881.8</v>
      </c>
      <c r="J235" s="25">
        <f t="shared" si="38"/>
        <v>7.9741404289037643E-3</v>
      </c>
      <c r="K235" s="24">
        <f t="shared" si="43"/>
        <v>792728.90127819323</v>
      </c>
      <c r="L235" s="24" t="str">
        <f t="shared" si="39"/>
        <v/>
      </c>
      <c r="M235" s="24">
        <f t="shared" si="40"/>
        <v>0</v>
      </c>
      <c r="N235" s="24">
        <f>IF(M235&lt;=0,0,IF($E$2-A235&lt;12,(M235-E235)*Dashboard!$B$18,IF($Q$2+A235&gt;=$R$2,MAX(0,M235-E235*POWER(1+$C$2,$E$2-A235))*MAX(Dashboard!$C$18,Dashboard!$B$18),IF($S$2&lt;$R$2,(M235-E235)*0.5*Dashboard!$B$18,(E235*POWER(1+$A$2,$R$2-($Q$2+A235))-E235)*0.5*Dashboard!$B$18+MAX(0,M235-E235*POWER(1+$A$2,$R$2-($Q$2+A235))*POWER(1+$C$2,$S$2-$R$2))*MAX(Dashboard!$C$18,Dashboard!$B$18)))))</f>
        <v>0</v>
      </c>
    </row>
    <row r="236" spans="1:14" x14ac:dyDescent="0.2">
      <c r="A236" s="22">
        <f t="shared" si="41"/>
        <v>231</v>
      </c>
      <c r="B236" s="23">
        <f t="shared" si="42"/>
        <v>37.304794520547894</v>
      </c>
      <c r="C236" t="str">
        <f t="shared" si="33"/>
        <v>37 y 3.66 m</v>
      </c>
      <c r="D236" s="24">
        <f>IF(A236&gt;=$E$2,IF(A236&lt;$E$2+$H$2,$P$2,0),IF(B236&lt;Dashboard!$I$6,0,IF(A236&gt;=$F$2,Dashboard!$C$22*POWER(1+$C$2,A236-$F$2),Dashboard!$C$22)))</f>
        <v>0</v>
      </c>
      <c r="E236" s="24">
        <f>IF(A236&gt;=$F$2,0,IF(A236=0,Dashboard!$G$10,IF(B236&lt;Dashboard!$I$6,IF($J$2&lt;=Dashboard!$H$10,Dashboard!$H$10,MAX(Dashboard!$H$10,MIN($J$2,Dashboard!$H$10*POWER($J$2/Dashboard!$H$10,A236/$D$2)))),$I$2-D236-Dashboard!$I$10-Dashboard!$J$10-Dashboard!$F$10*$I$2)))</f>
        <v>6881.8</v>
      </c>
      <c r="F236" s="24">
        <f t="shared" si="34"/>
        <v>0</v>
      </c>
      <c r="G236" s="24">
        <f t="shared" si="35"/>
        <v>0</v>
      </c>
      <c r="H236" s="24">
        <f t="shared" si="36"/>
        <v>0</v>
      </c>
      <c r="I236" s="24">
        <f t="shared" si="37"/>
        <v>6881.8</v>
      </c>
      <c r="J236" s="25">
        <f t="shared" si="38"/>
        <v>7.9741404289037643E-3</v>
      </c>
      <c r="K236" s="24">
        <f t="shared" si="43"/>
        <v>805986.90929863986</v>
      </c>
      <c r="L236" s="24" t="str">
        <f t="shared" si="39"/>
        <v/>
      </c>
      <c r="M236" s="24">
        <f t="shared" si="40"/>
        <v>0</v>
      </c>
      <c r="N236" s="24">
        <f>IF(M236&lt;=0,0,IF($E$2-A236&lt;12,(M236-E236)*Dashboard!$B$18,IF($Q$2+A236&gt;=$R$2,MAX(0,M236-E236*POWER(1+$C$2,$E$2-A236))*MAX(Dashboard!$C$18,Dashboard!$B$18),IF($S$2&lt;$R$2,(M236-E236)*0.5*Dashboard!$B$18,(E236*POWER(1+$A$2,$R$2-($Q$2+A236))-E236)*0.5*Dashboard!$B$18+MAX(0,M236-E236*POWER(1+$A$2,$R$2-($Q$2+A236))*POWER(1+$C$2,$S$2-$R$2))*MAX(Dashboard!$C$18,Dashboard!$B$18)))))</f>
        <v>0</v>
      </c>
    </row>
    <row r="237" spans="1:14" x14ac:dyDescent="0.2">
      <c r="A237" s="22">
        <f t="shared" si="41"/>
        <v>232</v>
      </c>
      <c r="B237" s="23">
        <f t="shared" si="42"/>
        <v>37.38812785388123</v>
      </c>
      <c r="C237" t="str">
        <f t="shared" si="33"/>
        <v>37 y 4.66 m</v>
      </c>
      <c r="D237" s="24">
        <f>IF(A237&gt;=$E$2,IF(A237&lt;$E$2+$H$2,$P$2,0),IF(B237&lt;Dashboard!$I$6,0,IF(A237&gt;=$F$2,Dashboard!$C$22*POWER(1+$C$2,A237-$F$2),Dashboard!$C$22)))</f>
        <v>0</v>
      </c>
      <c r="E237" s="24">
        <f>IF(A237&gt;=$F$2,0,IF(A237=0,Dashboard!$G$10,IF(B237&lt;Dashboard!$I$6,IF($J$2&lt;=Dashboard!$H$10,Dashboard!$H$10,MAX(Dashboard!$H$10,MIN($J$2,Dashboard!$H$10*POWER($J$2/Dashboard!$H$10,A237/$D$2)))),$I$2-D237-Dashboard!$I$10-Dashboard!$J$10-Dashboard!$F$10*$I$2)))</f>
        <v>6881.8</v>
      </c>
      <c r="F237" s="24">
        <f t="shared" si="34"/>
        <v>0</v>
      </c>
      <c r="G237" s="24">
        <f t="shared" si="35"/>
        <v>0</v>
      </c>
      <c r="H237" s="24">
        <f t="shared" si="36"/>
        <v>0</v>
      </c>
      <c r="I237" s="24">
        <f t="shared" si="37"/>
        <v>6881.8</v>
      </c>
      <c r="J237" s="25">
        <f t="shared" si="38"/>
        <v>7.9741404289037643E-3</v>
      </c>
      <c r="K237" s="24">
        <f t="shared" si="43"/>
        <v>819350.63853684906</v>
      </c>
      <c r="L237" s="24" t="str">
        <f t="shared" si="39"/>
        <v/>
      </c>
      <c r="M237" s="24">
        <f t="shared" si="40"/>
        <v>0</v>
      </c>
      <c r="N237" s="24">
        <f>IF(M237&lt;=0,0,IF($E$2-A237&lt;12,(M237-E237)*Dashboard!$B$18,IF($Q$2+A237&gt;=$R$2,MAX(0,M237-E237*POWER(1+$C$2,$E$2-A237))*MAX(Dashboard!$C$18,Dashboard!$B$18),IF($S$2&lt;$R$2,(M237-E237)*0.5*Dashboard!$B$18,(E237*POWER(1+$A$2,$R$2-($Q$2+A237))-E237)*0.5*Dashboard!$B$18+MAX(0,M237-E237*POWER(1+$A$2,$R$2-($Q$2+A237))*POWER(1+$C$2,$S$2-$R$2))*MAX(Dashboard!$C$18,Dashboard!$B$18)))))</f>
        <v>0</v>
      </c>
    </row>
    <row r="238" spans="1:14" x14ac:dyDescent="0.2">
      <c r="A238" s="22">
        <f t="shared" si="41"/>
        <v>233</v>
      </c>
      <c r="B238" s="23">
        <f t="shared" si="42"/>
        <v>37.471461187214565</v>
      </c>
      <c r="C238" t="str">
        <f t="shared" si="33"/>
        <v>37 y 5.66 m</v>
      </c>
      <c r="D238" s="24">
        <f>IF(A238&gt;=$E$2,IF(A238&lt;$E$2+$H$2,$P$2,0),IF(B238&lt;Dashboard!$I$6,0,IF(A238&gt;=$F$2,Dashboard!$C$22*POWER(1+$C$2,A238-$F$2),Dashboard!$C$22)))</f>
        <v>0</v>
      </c>
      <c r="E238" s="24">
        <f>IF(A238&gt;=$F$2,0,IF(A238=0,Dashboard!$G$10,IF(B238&lt;Dashboard!$I$6,IF($J$2&lt;=Dashboard!$H$10,Dashboard!$H$10,MAX(Dashboard!$H$10,MIN($J$2,Dashboard!$H$10*POWER($J$2/Dashboard!$H$10,A238/$D$2)))),$I$2-D238-Dashboard!$I$10-Dashboard!$J$10-Dashboard!$F$10*$I$2)))</f>
        <v>6881.8</v>
      </c>
      <c r="F238" s="24">
        <f t="shared" si="34"/>
        <v>0</v>
      </c>
      <c r="G238" s="24">
        <f t="shared" si="35"/>
        <v>0</v>
      </c>
      <c r="H238" s="24">
        <f t="shared" si="36"/>
        <v>0</v>
      </c>
      <c r="I238" s="24">
        <f t="shared" si="37"/>
        <v>6881.8</v>
      </c>
      <c r="J238" s="25">
        <f t="shared" si="38"/>
        <v>7.9741404289037643E-3</v>
      </c>
      <c r="K238" s="24">
        <f t="shared" si="43"/>
        <v>832820.93202865752</v>
      </c>
      <c r="L238" s="24" t="str">
        <f t="shared" si="39"/>
        <v/>
      </c>
      <c r="M238" s="24">
        <f t="shared" si="40"/>
        <v>0</v>
      </c>
      <c r="N238" s="24">
        <f>IF(M238&lt;=0,0,IF($E$2-A238&lt;12,(M238-E238)*Dashboard!$B$18,IF($Q$2+A238&gt;=$R$2,MAX(0,M238-E238*POWER(1+$C$2,$E$2-A238))*MAX(Dashboard!$C$18,Dashboard!$B$18),IF($S$2&lt;$R$2,(M238-E238)*0.5*Dashboard!$B$18,(E238*POWER(1+$A$2,$R$2-($Q$2+A238))-E238)*0.5*Dashboard!$B$18+MAX(0,M238-E238*POWER(1+$A$2,$R$2-($Q$2+A238))*POWER(1+$C$2,$S$2-$R$2))*MAX(Dashboard!$C$18,Dashboard!$B$18)))))</f>
        <v>0</v>
      </c>
    </row>
    <row r="239" spans="1:14" x14ac:dyDescent="0.2">
      <c r="A239" s="22">
        <f t="shared" si="41"/>
        <v>234</v>
      </c>
      <c r="B239" s="23">
        <f t="shared" si="42"/>
        <v>37.554794520547901</v>
      </c>
      <c r="C239" t="str">
        <f t="shared" si="33"/>
        <v>37 y 6.66 m</v>
      </c>
      <c r="D239" s="24">
        <f>IF(A239&gt;=$E$2,IF(A239&lt;$E$2+$H$2,$P$2,0),IF(B239&lt;Dashboard!$I$6,0,IF(A239&gt;=$F$2,Dashboard!$C$22*POWER(1+$C$2,A239-$F$2),Dashboard!$C$22)))</f>
        <v>0</v>
      </c>
      <c r="E239" s="24">
        <f>IF(A239&gt;=$F$2,0,IF(A239=0,Dashboard!$G$10,IF(B239&lt;Dashboard!$I$6,IF($J$2&lt;=Dashboard!$H$10,Dashboard!$H$10,MAX(Dashboard!$H$10,MIN($J$2,Dashboard!$H$10*POWER($J$2/Dashboard!$H$10,A239/$D$2)))),$I$2-D239-Dashboard!$I$10-Dashboard!$J$10-Dashboard!$F$10*$I$2)))</f>
        <v>6881.8</v>
      </c>
      <c r="F239" s="24">
        <f t="shared" si="34"/>
        <v>0</v>
      </c>
      <c r="G239" s="24">
        <f t="shared" si="35"/>
        <v>0</v>
      </c>
      <c r="H239" s="24">
        <f t="shared" si="36"/>
        <v>0</v>
      </c>
      <c r="I239" s="24">
        <f t="shared" si="37"/>
        <v>6881.8</v>
      </c>
      <c r="J239" s="25">
        <f t="shared" si="38"/>
        <v>7.9741404289037643E-3</v>
      </c>
      <c r="K239" s="24">
        <f t="shared" si="43"/>
        <v>846398.63953238819</v>
      </c>
      <c r="L239" s="24" t="str">
        <f t="shared" si="39"/>
        <v/>
      </c>
      <c r="M239" s="24">
        <f t="shared" si="40"/>
        <v>0</v>
      </c>
      <c r="N239" s="24">
        <f>IF(M239&lt;=0,0,IF($E$2-A239&lt;12,(M239-E239)*Dashboard!$B$18,IF($Q$2+A239&gt;=$R$2,MAX(0,M239-E239*POWER(1+$C$2,$E$2-A239))*MAX(Dashboard!$C$18,Dashboard!$B$18),IF($S$2&lt;$R$2,(M239-E239)*0.5*Dashboard!$B$18,(E239*POWER(1+$A$2,$R$2-($Q$2+A239))-E239)*0.5*Dashboard!$B$18+MAX(0,M239-E239*POWER(1+$A$2,$R$2-($Q$2+A239))*POWER(1+$C$2,$S$2-$R$2))*MAX(Dashboard!$C$18,Dashboard!$B$18)))))</f>
        <v>0</v>
      </c>
    </row>
    <row r="240" spans="1:14" x14ac:dyDescent="0.2">
      <c r="A240" s="22">
        <f t="shared" si="41"/>
        <v>235</v>
      </c>
      <c r="B240" s="23">
        <f t="shared" si="42"/>
        <v>37.638127853881237</v>
      </c>
      <c r="C240" t="str">
        <f t="shared" si="33"/>
        <v>37 y 7.66 m</v>
      </c>
      <c r="D240" s="24">
        <f>IF(A240&gt;=$E$2,IF(A240&lt;$E$2+$H$2,$P$2,0),IF(B240&lt;Dashboard!$I$6,0,IF(A240&gt;=$F$2,Dashboard!$C$22*POWER(1+$C$2,A240-$F$2),Dashboard!$C$22)))</f>
        <v>0</v>
      </c>
      <c r="E240" s="24">
        <f>IF(A240&gt;=$F$2,0,IF(A240=0,Dashboard!$G$10,IF(B240&lt;Dashboard!$I$6,IF($J$2&lt;=Dashboard!$H$10,Dashboard!$H$10,MAX(Dashboard!$H$10,MIN($J$2,Dashboard!$H$10*POWER($J$2/Dashboard!$H$10,A240/$D$2)))),$I$2-D240-Dashboard!$I$10-Dashboard!$J$10-Dashboard!$F$10*$I$2)))</f>
        <v>6881.8</v>
      </c>
      <c r="F240" s="24">
        <f t="shared" si="34"/>
        <v>0</v>
      </c>
      <c r="G240" s="24">
        <f t="shared" si="35"/>
        <v>0</v>
      </c>
      <c r="H240" s="24">
        <f t="shared" si="36"/>
        <v>0</v>
      </c>
      <c r="I240" s="24">
        <f t="shared" si="37"/>
        <v>6881.8</v>
      </c>
      <c r="J240" s="25">
        <f t="shared" si="38"/>
        <v>7.9741404289037643E-3</v>
      </c>
      <c r="K240" s="24">
        <f t="shared" si="43"/>
        <v>860084.61758245621</v>
      </c>
      <c r="L240" s="24" t="str">
        <f t="shared" si="39"/>
        <v/>
      </c>
      <c r="M240" s="24">
        <f t="shared" si="40"/>
        <v>0</v>
      </c>
      <c r="N240" s="24">
        <f>IF(M240&lt;=0,0,IF($E$2-A240&lt;12,(M240-E240)*Dashboard!$B$18,IF($Q$2+A240&gt;=$R$2,MAX(0,M240-E240*POWER(1+$C$2,$E$2-A240))*MAX(Dashboard!$C$18,Dashboard!$B$18),IF($S$2&lt;$R$2,(M240-E240)*0.5*Dashboard!$B$18,(E240*POWER(1+$A$2,$R$2-($Q$2+A240))-E240)*0.5*Dashboard!$B$18+MAX(0,M240-E240*POWER(1+$A$2,$R$2-($Q$2+A240))*POWER(1+$C$2,$S$2-$R$2))*MAX(Dashboard!$C$18,Dashboard!$B$18)))))</f>
        <v>0</v>
      </c>
    </row>
    <row r="241" spans="1:14" x14ac:dyDescent="0.2">
      <c r="A241" s="22">
        <f t="shared" si="41"/>
        <v>236</v>
      </c>
      <c r="B241" s="23">
        <f t="shared" si="42"/>
        <v>37.721461187214572</v>
      </c>
      <c r="C241" t="str">
        <f t="shared" si="33"/>
        <v>37 y 8.66 m</v>
      </c>
      <c r="D241" s="24">
        <f>IF(A241&gt;=$E$2,IF(A241&lt;$E$2+$H$2,$P$2,0),IF(B241&lt;Dashboard!$I$6,0,IF(A241&gt;=$F$2,Dashboard!$C$22*POWER(1+$C$2,A241-$F$2),Dashboard!$C$22)))</f>
        <v>0</v>
      </c>
      <c r="E241" s="24">
        <f>IF(A241&gt;=$F$2,0,IF(A241=0,Dashboard!$G$10,IF(B241&lt;Dashboard!$I$6,IF($J$2&lt;=Dashboard!$H$10,Dashboard!$H$10,MAX(Dashboard!$H$10,MIN($J$2,Dashboard!$H$10*POWER($J$2/Dashboard!$H$10,A241/$D$2)))),$I$2-D241-Dashboard!$I$10-Dashboard!$J$10-Dashboard!$F$10*$I$2)))</f>
        <v>6881.8</v>
      </c>
      <c r="F241" s="24">
        <f t="shared" si="34"/>
        <v>0</v>
      </c>
      <c r="G241" s="24">
        <f t="shared" si="35"/>
        <v>0</v>
      </c>
      <c r="H241" s="24">
        <f t="shared" si="36"/>
        <v>0</v>
      </c>
      <c r="I241" s="24">
        <f t="shared" si="37"/>
        <v>6881.8</v>
      </c>
      <c r="J241" s="25">
        <f t="shared" si="38"/>
        <v>7.9741404289037643E-3</v>
      </c>
      <c r="K241" s="24">
        <f t="shared" si="43"/>
        <v>873879.72954340233</v>
      </c>
      <c r="L241" s="24" t="str">
        <f t="shared" si="39"/>
        <v/>
      </c>
      <c r="M241" s="24">
        <f t="shared" si="40"/>
        <v>0</v>
      </c>
      <c r="N241" s="24">
        <f>IF(M241&lt;=0,0,IF($E$2-A241&lt;12,(M241-E241)*Dashboard!$B$18,IF($Q$2+A241&gt;=$R$2,MAX(0,M241-E241*POWER(1+$C$2,$E$2-A241))*MAX(Dashboard!$C$18,Dashboard!$B$18),IF($S$2&lt;$R$2,(M241-E241)*0.5*Dashboard!$B$18,(E241*POWER(1+$A$2,$R$2-($Q$2+A241))-E241)*0.5*Dashboard!$B$18+MAX(0,M241-E241*POWER(1+$A$2,$R$2-($Q$2+A241))*POWER(1+$C$2,$S$2-$R$2))*MAX(Dashboard!$C$18,Dashboard!$B$18)))))</f>
        <v>0</v>
      </c>
    </row>
    <row r="242" spans="1:14" x14ac:dyDescent="0.2">
      <c r="A242" s="22">
        <f t="shared" si="41"/>
        <v>237</v>
      </c>
      <c r="B242" s="23">
        <f t="shared" si="42"/>
        <v>37.804794520547908</v>
      </c>
      <c r="C242" t="str">
        <f t="shared" si="33"/>
        <v>37 y 9.66 m</v>
      </c>
      <c r="D242" s="24">
        <f>IF(A242&gt;=$E$2,IF(A242&lt;$E$2+$H$2,$P$2,0),IF(B242&lt;Dashboard!$I$6,0,IF(A242&gt;=$F$2,Dashboard!$C$22*POWER(1+$C$2,A242-$F$2),Dashboard!$C$22)))</f>
        <v>0</v>
      </c>
      <c r="E242" s="24">
        <f>IF(A242&gt;=$F$2,0,IF(A242=0,Dashboard!$G$10,IF(B242&lt;Dashboard!$I$6,IF($J$2&lt;=Dashboard!$H$10,Dashboard!$H$10,MAX(Dashboard!$H$10,MIN($J$2,Dashboard!$H$10*POWER($J$2/Dashboard!$H$10,A242/$D$2)))),$I$2-D242-Dashboard!$I$10-Dashboard!$J$10-Dashboard!$F$10*$I$2)))</f>
        <v>6881.8</v>
      </c>
      <c r="F242" s="24">
        <f t="shared" si="34"/>
        <v>0</v>
      </c>
      <c r="G242" s="24">
        <f t="shared" si="35"/>
        <v>0</v>
      </c>
      <c r="H242" s="24">
        <f t="shared" si="36"/>
        <v>0</v>
      </c>
      <c r="I242" s="24">
        <f t="shared" si="37"/>
        <v>6881.8</v>
      </c>
      <c r="J242" s="25">
        <f t="shared" si="38"/>
        <v>7.9741404289037643E-3</v>
      </c>
      <c r="K242" s="24">
        <f t="shared" si="43"/>
        <v>887784.84566435753</v>
      </c>
      <c r="L242" s="24" t="str">
        <f t="shared" si="39"/>
        <v/>
      </c>
      <c r="M242" s="24">
        <f t="shared" si="40"/>
        <v>0</v>
      </c>
      <c r="N242" s="24">
        <f>IF(M242&lt;=0,0,IF($E$2-A242&lt;12,(M242-E242)*Dashboard!$B$18,IF($Q$2+A242&gt;=$R$2,MAX(0,M242-E242*POWER(1+$C$2,$E$2-A242))*MAX(Dashboard!$C$18,Dashboard!$B$18),IF($S$2&lt;$R$2,(M242-E242)*0.5*Dashboard!$B$18,(E242*POWER(1+$A$2,$R$2-($Q$2+A242))-E242)*0.5*Dashboard!$B$18+MAX(0,M242-E242*POWER(1+$A$2,$R$2-($Q$2+A242))*POWER(1+$C$2,$S$2-$R$2))*MAX(Dashboard!$C$18,Dashboard!$B$18)))))</f>
        <v>0</v>
      </c>
    </row>
    <row r="243" spans="1:14" x14ac:dyDescent="0.2">
      <c r="A243" s="22">
        <f t="shared" si="41"/>
        <v>238</v>
      </c>
      <c r="B243" s="23">
        <f t="shared" si="42"/>
        <v>37.888127853881244</v>
      </c>
      <c r="C243" t="str">
        <f t="shared" si="33"/>
        <v>37 y 10.66 m</v>
      </c>
      <c r="D243" s="24">
        <f>IF(A243&gt;=$E$2,IF(A243&lt;$E$2+$H$2,$P$2,0),IF(B243&lt;Dashboard!$I$6,0,IF(A243&gt;=$F$2,Dashboard!$C$22*POWER(1+$C$2,A243-$F$2),Dashboard!$C$22)))</f>
        <v>0</v>
      </c>
      <c r="E243" s="24">
        <f>IF(A243&gt;=$F$2,0,IF(A243=0,Dashboard!$G$10,IF(B243&lt;Dashboard!$I$6,IF($J$2&lt;=Dashboard!$H$10,Dashboard!$H$10,MAX(Dashboard!$H$10,MIN($J$2,Dashboard!$H$10*POWER($J$2/Dashboard!$H$10,A243/$D$2)))),$I$2-D243-Dashboard!$I$10-Dashboard!$J$10-Dashboard!$F$10*$I$2)))</f>
        <v>6881.8</v>
      </c>
      <c r="F243" s="24">
        <f t="shared" si="34"/>
        <v>0</v>
      </c>
      <c r="G243" s="24">
        <f t="shared" si="35"/>
        <v>0</v>
      </c>
      <c r="H243" s="24">
        <f t="shared" si="36"/>
        <v>0</v>
      </c>
      <c r="I243" s="24">
        <f t="shared" si="37"/>
        <v>6881.8</v>
      </c>
      <c r="J243" s="25">
        <f t="shared" si="38"/>
        <v>7.9741404289037643E-3</v>
      </c>
      <c r="K243" s="24">
        <f t="shared" si="43"/>
        <v>901800.84313394141</v>
      </c>
      <c r="L243" s="24" t="str">
        <f t="shared" si="39"/>
        <v/>
      </c>
      <c r="M243" s="24">
        <f t="shared" si="40"/>
        <v>0</v>
      </c>
      <c r="N243" s="24">
        <f>IF(M243&lt;=0,0,IF($E$2-A243&lt;12,(M243-E243)*Dashboard!$B$18,IF($Q$2+A243&gt;=$R$2,MAX(0,M243-E243*POWER(1+$C$2,$E$2-A243))*MAX(Dashboard!$C$18,Dashboard!$B$18),IF($S$2&lt;$R$2,(M243-E243)*0.5*Dashboard!$B$18,(E243*POWER(1+$A$2,$R$2-($Q$2+A243))-E243)*0.5*Dashboard!$B$18+MAX(0,M243-E243*POWER(1+$A$2,$R$2-($Q$2+A243))*POWER(1+$C$2,$S$2-$R$2))*MAX(Dashboard!$C$18,Dashboard!$B$18)))))</f>
        <v>0</v>
      </c>
    </row>
    <row r="244" spans="1:14" x14ac:dyDescent="0.2">
      <c r="A244" s="22">
        <f t="shared" si="41"/>
        <v>239</v>
      </c>
      <c r="B244" s="23">
        <f t="shared" si="42"/>
        <v>37.97146118721458</v>
      </c>
      <c r="C244" t="str">
        <f t="shared" si="33"/>
        <v>37 y 11.66 m</v>
      </c>
      <c r="D244" s="24">
        <f>IF(A244&gt;=$E$2,IF(A244&lt;$E$2+$H$2,$P$2,0),IF(B244&lt;Dashboard!$I$6,0,IF(A244&gt;=$F$2,Dashboard!$C$22*POWER(1+$C$2,A244-$F$2),Dashboard!$C$22)))</f>
        <v>0</v>
      </c>
      <c r="E244" s="24">
        <f>IF(A244&gt;=$F$2,0,IF(A244=0,Dashboard!$G$10,IF(B244&lt;Dashboard!$I$6,IF($J$2&lt;=Dashboard!$H$10,Dashboard!$H$10,MAX(Dashboard!$H$10,MIN($J$2,Dashboard!$H$10*POWER($J$2/Dashboard!$H$10,A244/$D$2)))),$I$2-D244-Dashboard!$I$10-Dashboard!$J$10-Dashboard!$F$10*$I$2)))</f>
        <v>6881.8</v>
      </c>
      <c r="F244" s="24">
        <f t="shared" si="34"/>
        <v>0</v>
      </c>
      <c r="G244" s="24">
        <f t="shared" si="35"/>
        <v>0</v>
      </c>
      <c r="H244" s="24">
        <f t="shared" si="36"/>
        <v>0</v>
      </c>
      <c r="I244" s="24">
        <f t="shared" si="37"/>
        <v>6881.8</v>
      </c>
      <c r="J244" s="25">
        <f t="shared" si="38"/>
        <v>7.9741404289037643E-3</v>
      </c>
      <c r="K244" s="24">
        <f t="shared" si="43"/>
        <v>915928.60613559897</v>
      </c>
      <c r="L244" s="24" t="str">
        <f t="shared" si="39"/>
        <v/>
      </c>
      <c r="M244" s="24">
        <f t="shared" si="40"/>
        <v>0</v>
      </c>
      <c r="N244" s="24">
        <f>IF(M244&lt;=0,0,IF($E$2-A244&lt;12,(M244-E244)*Dashboard!$B$18,IF($Q$2+A244&gt;=$R$2,MAX(0,M244-E244*POWER(1+$C$2,$E$2-A244))*MAX(Dashboard!$C$18,Dashboard!$B$18),IF($S$2&lt;$R$2,(M244-E244)*0.5*Dashboard!$B$18,(E244*POWER(1+$A$2,$R$2-($Q$2+A244))-E244)*0.5*Dashboard!$B$18+MAX(0,M244-E244*POWER(1+$A$2,$R$2-($Q$2+A244))*POWER(1+$C$2,$S$2-$R$2))*MAX(Dashboard!$C$18,Dashboard!$B$18)))))</f>
        <v>0</v>
      </c>
    </row>
    <row r="245" spans="1:14" x14ac:dyDescent="0.2">
      <c r="A245" s="22">
        <f t="shared" si="41"/>
        <v>240</v>
      </c>
      <c r="B245" s="23">
        <f t="shared" si="42"/>
        <v>38.054794520547915</v>
      </c>
      <c r="C245" t="str">
        <f t="shared" si="33"/>
        <v>38 y 0.66 m</v>
      </c>
      <c r="D245" s="24">
        <f>IF(A245&gt;=$E$2,IF(A245&lt;$E$2+$H$2,$P$2,0),IF(B245&lt;Dashboard!$I$6,0,IF(A245&gt;=$F$2,Dashboard!$C$22*POWER(1+$C$2,A245-$F$2),Dashboard!$C$22)))</f>
        <v>0</v>
      </c>
      <c r="E245" s="24">
        <f>IF(A245&gt;=$F$2,0,IF(A245=0,Dashboard!$G$10,IF(B245&lt;Dashboard!$I$6,IF($J$2&lt;=Dashboard!$H$10,Dashboard!$H$10,MAX(Dashboard!$H$10,MIN($J$2,Dashboard!$H$10*POWER($J$2/Dashboard!$H$10,A245/$D$2)))),$I$2-D245-Dashboard!$I$10-Dashboard!$J$10-Dashboard!$F$10*$I$2)))</f>
        <v>6881.8</v>
      </c>
      <c r="F245" s="24">
        <f t="shared" si="34"/>
        <v>0</v>
      </c>
      <c r="G245" s="24">
        <f t="shared" si="35"/>
        <v>0</v>
      </c>
      <c r="H245" s="24">
        <f t="shared" si="36"/>
        <v>0</v>
      </c>
      <c r="I245" s="24">
        <f t="shared" si="37"/>
        <v>6881.8</v>
      </c>
      <c r="J245" s="25">
        <f t="shared" si="38"/>
        <v>7.9741404289037643E-3</v>
      </c>
      <c r="K245" s="24">
        <f t="shared" si="43"/>
        <v>930169.02590337803</v>
      </c>
      <c r="L245" s="24" t="str">
        <f t="shared" si="39"/>
        <v/>
      </c>
      <c r="M245" s="24">
        <f t="shared" si="40"/>
        <v>0</v>
      </c>
      <c r="N245" s="24">
        <f>IF(M245&lt;=0,0,IF($E$2-A245&lt;12,(M245-E245)*Dashboard!$B$18,IF($Q$2+A245&gt;=$R$2,MAX(0,M245-E245*POWER(1+$C$2,$E$2-A245))*MAX(Dashboard!$C$18,Dashboard!$B$18),IF($S$2&lt;$R$2,(M245-E245)*0.5*Dashboard!$B$18,(E245*POWER(1+$A$2,$R$2-($Q$2+A245))-E245)*0.5*Dashboard!$B$18+MAX(0,M245-E245*POWER(1+$A$2,$R$2-($Q$2+A245))*POWER(1+$C$2,$S$2-$R$2))*MAX(Dashboard!$C$18,Dashboard!$B$18)))))</f>
        <v>0</v>
      </c>
    </row>
    <row r="246" spans="1:14" x14ac:dyDescent="0.2">
      <c r="A246" s="22">
        <f t="shared" si="41"/>
        <v>241</v>
      </c>
      <c r="B246" s="23">
        <f t="shared" si="42"/>
        <v>38.138127853881251</v>
      </c>
      <c r="C246" t="str">
        <f t="shared" si="33"/>
        <v>38 y 1.66 m</v>
      </c>
      <c r="D246" s="24">
        <f>IF(A246&gt;=$E$2,IF(A246&lt;$E$2+$H$2,$P$2,0),IF(B246&lt;Dashboard!$I$6,0,IF(A246&gt;=$F$2,Dashboard!$C$22*POWER(1+$C$2,A246-$F$2),Dashboard!$C$22)))</f>
        <v>0</v>
      </c>
      <c r="E246" s="24">
        <f>IF(A246&gt;=$F$2,0,IF(A246=0,Dashboard!$G$10,IF(B246&lt;Dashboard!$I$6,IF($J$2&lt;=Dashboard!$H$10,Dashboard!$H$10,MAX(Dashboard!$H$10,MIN($J$2,Dashboard!$H$10*POWER($J$2/Dashboard!$H$10,A246/$D$2)))),$I$2-D246-Dashboard!$I$10-Dashboard!$J$10-Dashboard!$F$10*$I$2)))</f>
        <v>6881.8</v>
      </c>
      <c r="F246" s="24">
        <f t="shared" si="34"/>
        <v>0</v>
      </c>
      <c r="G246" s="24">
        <f t="shared" si="35"/>
        <v>0</v>
      </c>
      <c r="H246" s="24">
        <f t="shared" si="36"/>
        <v>0</v>
      </c>
      <c r="I246" s="24">
        <f t="shared" si="37"/>
        <v>6881.8</v>
      </c>
      <c r="J246" s="25">
        <f t="shared" si="38"/>
        <v>7.9741404289037643E-3</v>
      </c>
      <c r="K246" s="24">
        <f t="shared" si="43"/>
        <v>944523.00077815191</v>
      </c>
      <c r="L246" s="24" t="str">
        <f t="shared" si="39"/>
        <v/>
      </c>
      <c r="M246" s="24">
        <f t="shared" si="40"/>
        <v>0</v>
      </c>
      <c r="N246" s="24">
        <f>IF(M246&lt;=0,0,IF($E$2-A246&lt;12,(M246-E246)*Dashboard!$B$18,IF($Q$2+A246&gt;=$R$2,MAX(0,M246-E246*POWER(1+$C$2,$E$2-A246))*MAX(Dashboard!$C$18,Dashboard!$B$18),IF($S$2&lt;$R$2,(M246-E246)*0.5*Dashboard!$B$18,(E246*POWER(1+$A$2,$R$2-($Q$2+A246))-E246)*0.5*Dashboard!$B$18+MAX(0,M246-E246*POWER(1+$A$2,$R$2-($Q$2+A246))*POWER(1+$C$2,$S$2-$R$2))*MAX(Dashboard!$C$18,Dashboard!$B$18)))))</f>
        <v>0</v>
      </c>
    </row>
    <row r="247" spans="1:14" x14ac:dyDescent="0.2">
      <c r="A247" s="22">
        <f t="shared" si="41"/>
        <v>242</v>
      </c>
      <c r="B247" s="23">
        <f t="shared" si="42"/>
        <v>38.221461187214587</v>
      </c>
      <c r="C247" t="str">
        <f t="shared" si="33"/>
        <v>38 y 2.66 m</v>
      </c>
      <c r="D247" s="24">
        <f>IF(A247&gt;=$E$2,IF(A247&lt;$E$2+$H$2,$P$2,0),IF(B247&lt;Dashboard!$I$6,0,IF(A247&gt;=$F$2,Dashboard!$C$22*POWER(1+$C$2,A247-$F$2),Dashboard!$C$22)))</f>
        <v>0</v>
      </c>
      <c r="E247" s="24">
        <f>IF(A247&gt;=$F$2,0,IF(A247=0,Dashboard!$G$10,IF(B247&lt;Dashboard!$I$6,IF($J$2&lt;=Dashboard!$H$10,Dashboard!$H$10,MAX(Dashboard!$H$10,MIN($J$2,Dashboard!$H$10*POWER($J$2/Dashboard!$H$10,A247/$D$2)))),$I$2-D247-Dashboard!$I$10-Dashboard!$J$10-Dashboard!$F$10*$I$2)))</f>
        <v>6881.8</v>
      </c>
      <c r="F247" s="24">
        <f t="shared" si="34"/>
        <v>0</v>
      </c>
      <c r="G247" s="24">
        <f t="shared" si="35"/>
        <v>0</v>
      </c>
      <c r="H247" s="24">
        <f t="shared" si="36"/>
        <v>0</v>
      </c>
      <c r="I247" s="24">
        <f t="shared" si="37"/>
        <v>6881.8</v>
      </c>
      <c r="J247" s="25">
        <f t="shared" si="38"/>
        <v>7.9741404289037643E-3</v>
      </c>
      <c r="K247" s="24">
        <f t="shared" si="43"/>
        <v>958991.43626429013</v>
      </c>
      <c r="L247" s="24" t="str">
        <f t="shared" si="39"/>
        <v/>
      </c>
      <c r="M247" s="24">
        <f t="shared" si="40"/>
        <v>0</v>
      </c>
      <c r="N247" s="24">
        <f>IF(M247&lt;=0,0,IF($E$2-A247&lt;12,(M247-E247)*Dashboard!$B$18,IF($Q$2+A247&gt;=$R$2,MAX(0,M247-E247*POWER(1+$C$2,$E$2-A247))*MAX(Dashboard!$C$18,Dashboard!$B$18),IF($S$2&lt;$R$2,(M247-E247)*0.5*Dashboard!$B$18,(E247*POWER(1+$A$2,$R$2-($Q$2+A247))-E247)*0.5*Dashboard!$B$18+MAX(0,M247-E247*POWER(1+$A$2,$R$2-($Q$2+A247))*POWER(1+$C$2,$S$2-$R$2))*MAX(Dashboard!$C$18,Dashboard!$B$18)))))</f>
        <v>0</v>
      </c>
    </row>
    <row r="248" spans="1:14" x14ac:dyDescent="0.2">
      <c r="A248" s="22">
        <f t="shared" si="41"/>
        <v>243</v>
      </c>
      <c r="B248" s="23">
        <f t="shared" si="42"/>
        <v>38.304794520547922</v>
      </c>
      <c r="C248" t="str">
        <f t="shared" si="33"/>
        <v>38 y 3.66 m</v>
      </c>
      <c r="D248" s="24">
        <f>IF(A248&gt;=$E$2,IF(A248&lt;$E$2+$H$2,$P$2,0),IF(B248&lt;Dashboard!$I$6,0,IF(A248&gt;=$F$2,Dashboard!$C$22*POWER(1+$C$2,A248-$F$2),Dashboard!$C$22)))</f>
        <v>0</v>
      </c>
      <c r="E248" s="24">
        <f>IF(A248&gt;=$F$2,0,IF(A248=0,Dashboard!$G$10,IF(B248&lt;Dashboard!$I$6,IF($J$2&lt;=Dashboard!$H$10,Dashboard!$H$10,MAX(Dashboard!$H$10,MIN($J$2,Dashboard!$H$10*POWER($J$2/Dashboard!$H$10,A248/$D$2)))),$I$2-D248-Dashboard!$I$10-Dashboard!$J$10-Dashboard!$F$10*$I$2)))</f>
        <v>6881.8</v>
      </c>
      <c r="F248" s="24">
        <f t="shared" si="34"/>
        <v>0</v>
      </c>
      <c r="G248" s="24">
        <f t="shared" si="35"/>
        <v>0</v>
      </c>
      <c r="H248" s="24">
        <f t="shared" si="36"/>
        <v>0</v>
      </c>
      <c r="I248" s="24">
        <f t="shared" si="37"/>
        <v>6881.8</v>
      </c>
      <c r="J248" s="25">
        <f t="shared" si="38"/>
        <v>7.9741404289037643E-3</v>
      </c>
      <c r="K248" s="24">
        <f t="shared" si="43"/>
        <v>973575.24508678133</v>
      </c>
      <c r="L248" s="24" t="str">
        <f t="shared" si="39"/>
        <v/>
      </c>
      <c r="M248" s="24">
        <f t="shared" si="40"/>
        <v>0</v>
      </c>
      <c r="N248" s="24">
        <f>IF(M248&lt;=0,0,IF($E$2-A248&lt;12,(M248-E248)*Dashboard!$B$18,IF($Q$2+A248&gt;=$R$2,MAX(0,M248-E248*POWER(1+$C$2,$E$2-A248))*MAX(Dashboard!$C$18,Dashboard!$B$18),IF($S$2&lt;$R$2,(M248-E248)*0.5*Dashboard!$B$18,(E248*POWER(1+$A$2,$R$2-($Q$2+A248))-E248)*0.5*Dashboard!$B$18+MAX(0,M248-E248*POWER(1+$A$2,$R$2-($Q$2+A248))*POWER(1+$C$2,$S$2-$R$2))*MAX(Dashboard!$C$18,Dashboard!$B$18)))))</f>
        <v>0</v>
      </c>
    </row>
    <row r="249" spans="1:14" x14ac:dyDescent="0.2">
      <c r="A249" s="22">
        <f t="shared" si="41"/>
        <v>244</v>
      </c>
      <c r="B249" s="23">
        <f t="shared" si="42"/>
        <v>38.388127853881258</v>
      </c>
      <c r="C249" t="str">
        <f t="shared" si="33"/>
        <v>38 y 4.66 m</v>
      </c>
      <c r="D249" s="24">
        <f>IF(A249&gt;=$E$2,IF(A249&lt;$E$2+$H$2,$P$2,0),IF(B249&lt;Dashboard!$I$6,0,IF(A249&gt;=$F$2,Dashboard!$C$22*POWER(1+$C$2,A249-$F$2),Dashboard!$C$22)))</f>
        <v>0</v>
      </c>
      <c r="E249" s="24">
        <f>IF(A249&gt;=$F$2,0,IF(A249=0,Dashboard!$G$10,IF(B249&lt;Dashboard!$I$6,IF($J$2&lt;=Dashboard!$H$10,Dashboard!$H$10,MAX(Dashboard!$H$10,MIN($J$2,Dashboard!$H$10*POWER($J$2/Dashboard!$H$10,A249/$D$2)))),$I$2-D249-Dashboard!$I$10-Dashboard!$J$10-Dashboard!$F$10*$I$2)))</f>
        <v>6881.8</v>
      </c>
      <c r="F249" s="24">
        <f t="shared" si="34"/>
        <v>0</v>
      </c>
      <c r="G249" s="24">
        <f t="shared" si="35"/>
        <v>0</v>
      </c>
      <c r="H249" s="24">
        <f t="shared" si="36"/>
        <v>0</v>
      </c>
      <c r="I249" s="24">
        <f t="shared" si="37"/>
        <v>6881.8</v>
      </c>
      <c r="J249" s="25">
        <f t="shared" si="38"/>
        <v>7.9741404289037643E-3</v>
      </c>
      <c r="K249" s="24">
        <f t="shared" si="43"/>
        <v>988275.34724881139</v>
      </c>
      <c r="L249" s="24" t="str">
        <f t="shared" si="39"/>
        <v/>
      </c>
      <c r="M249" s="24">
        <f t="shared" si="40"/>
        <v>0</v>
      </c>
      <c r="N249" s="24">
        <f>IF(M249&lt;=0,0,IF($E$2-A249&lt;12,(M249-E249)*Dashboard!$B$18,IF($Q$2+A249&gt;=$R$2,MAX(0,M249-E249*POWER(1+$C$2,$E$2-A249))*MAX(Dashboard!$C$18,Dashboard!$B$18),IF($S$2&lt;$R$2,(M249-E249)*0.5*Dashboard!$B$18,(E249*POWER(1+$A$2,$R$2-($Q$2+A249))-E249)*0.5*Dashboard!$B$18+MAX(0,M249-E249*POWER(1+$A$2,$R$2-($Q$2+A249))*POWER(1+$C$2,$S$2-$R$2))*MAX(Dashboard!$C$18,Dashboard!$B$18)))))</f>
        <v>0</v>
      </c>
    </row>
    <row r="250" spans="1:14" x14ac:dyDescent="0.2">
      <c r="A250" s="22">
        <f t="shared" si="41"/>
        <v>245</v>
      </c>
      <c r="B250" s="23">
        <f t="shared" si="42"/>
        <v>38.471461187214594</v>
      </c>
      <c r="C250" t="str">
        <f t="shared" si="33"/>
        <v>38 y 5.66 m</v>
      </c>
      <c r="D250" s="24">
        <f>IF(A250&gt;=$E$2,IF(A250&lt;$E$2+$H$2,$P$2,0),IF(B250&lt;Dashboard!$I$6,0,IF(A250&gt;=$F$2,Dashboard!$C$22*POWER(1+$C$2,A250-$F$2),Dashboard!$C$22)))</f>
        <v>0</v>
      </c>
      <c r="E250" s="24">
        <f>IF(A250&gt;=$F$2,0,IF(A250=0,Dashboard!$G$10,IF(B250&lt;Dashboard!$I$6,IF($J$2&lt;=Dashboard!$H$10,Dashboard!$H$10,MAX(Dashboard!$H$10,MIN($J$2,Dashboard!$H$10*POWER($J$2/Dashboard!$H$10,A250/$D$2)))),$I$2-D250-Dashboard!$I$10-Dashboard!$J$10-Dashboard!$F$10*$I$2)))</f>
        <v>6881.8</v>
      </c>
      <c r="F250" s="24">
        <f t="shared" si="34"/>
        <v>0</v>
      </c>
      <c r="G250" s="24">
        <f t="shared" si="35"/>
        <v>0</v>
      </c>
      <c r="H250" s="24">
        <f t="shared" si="36"/>
        <v>0</v>
      </c>
      <c r="I250" s="24">
        <f t="shared" si="37"/>
        <v>6881.8</v>
      </c>
      <c r="J250" s="25">
        <f t="shared" si="38"/>
        <v>7.9741404289037643E-3</v>
      </c>
      <c r="K250" s="24">
        <f t="shared" si="43"/>
        <v>1003092.6700898007</v>
      </c>
      <c r="L250" s="24" t="str">
        <f t="shared" si="39"/>
        <v/>
      </c>
      <c r="M250" s="24">
        <f t="shared" si="40"/>
        <v>0</v>
      </c>
      <c r="N250" s="24">
        <f>IF(M250&lt;=0,0,IF($E$2-A250&lt;12,(M250-E250)*Dashboard!$B$18,IF($Q$2+A250&gt;=$R$2,MAX(0,M250-E250*POWER(1+$C$2,$E$2-A250))*MAX(Dashboard!$C$18,Dashboard!$B$18),IF($S$2&lt;$R$2,(M250-E250)*0.5*Dashboard!$B$18,(E250*POWER(1+$A$2,$R$2-($Q$2+A250))-E250)*0.5*Dashboard!$B$18+MAX(0,M250-E250*POWER(1+$A$2,$R$2-($Q$2+A250))*POWER(1+$C$2,$S$2-$R$2))*MAX(Dashboard!$C$18,Dashboard!$B$18)))))</f>
        <v>0</v>
      </c>
    </row>
    <row r="251" spans="1:14" x14ac:dyDescent="0.2">
      <c r="A251" s="22">
        <f t="shared" si="41"/>
        <v>246</v>
      </c>
      <c r="B251" s="23">
        <f t="shared" si="42"/>
        <v>38.554794520547929</v>
      </c>
      <c r="C251" t="str">
        <f t="shared" si="33"/>
        <v>38 y 6.66 m</v>
      </c>
      <c r="D251" s="24">
        <f>IF(A251&gt;=$E$2,IF(A251&lt;$E$2+$H$2,$P$2,0),IF(B251&lt;Dashboard!$I$6,0,IF(A251&gt;=$F$2,Dashboard!$C$22*POWER(1+$C$2,A251-$F$2),Dashboard!$C$22)))</f>
        <v>0</v>
      </c>
      <c r="E251" s="24">
        <f>IF(A251&gt;=$F$2,0,IF(A251=0,Dashboard!$G$10,IF(B251&lt;Dashboard!$I$6,IF($J$2&lt;=Dashboard!$H$10,Dashboard!$H$10,MAX(Dashboard!$H$10,MIN($J$2,Dashboard!$H$10*POWER($J$2/Dashboard!$H$10,A251/$D$2)))),$I$2-D251-Dashboard!$I$10-Dashboard!$J$10-Dashboard!$F$10*$I$2)))</f>
        <v>6881.8</v>
      </c>
      <c r="F251" s="24">
        <f t="shared" si="34"/>
        <v>0</v>
      </c>
      <c r="G251" s="24">
        <f t="shared" si="35"/>
        <v>0</v>
      </c>
      <c r="H251" s="24">
        <f t="shared" si="36"/>
        <v>0</v>
      </c>
      <c r="I251" s="24">
        <f t="shared" si="37"/>
        <v>6881.8</v>
      </c>
      <c r="J251" s="25">
        <f t="shared" si="38"/>
        <v>7.9741404289037643E-3</v>
      </c>
      <c r="K251" s="24">
        <f t="shared" si="43"/>
        <v>1018028.1483439045</v>
      </c>
      <c r="L251" s="24" t="str">
        <f t="shared" si="39"/>
        <v/>
      </c>
      <c r="M251" s="24">
        <f t="shared" si="40"/>
        <v>0</v>
      </c>
      <c r="N251" s="24">
        <f>IF(M251&lt;=0,0,IF($E$2-A251&lt;12,(M251-E251)*Dashboard!$B$18,IF($Q$2+A251&gt;=$R$2,MAX(0,M251-E251*POWER(1+$C$2,$E$2-A251))*MAX(Dashboard!$C$18,Dashboard!$B$18),IF($S$2&lt;$R$2,(M251-E251)*0.5*Dashboard!$B$18,(E251*POWER(1+$A$2,$R$2-($Q$2+A251))-E251)*0.5*Dashboard!$B$18+MAX(0,M251-E251*POWER(1+$A$2,$R$2-($Q$2+A251))*POWER(1+$C$2,$S$2-$R$2))*MAX(Dashboard!$C$18,Dashboard!$B$18)))))</f>
        <v>0</v>
      </c>
    </row>
    <row r="252" spans="1:14" x14ac:dyDescent="0.2">
      <c r="A252" s="22">
        <f t="shared" si="41"/>
        <v>247</v>
      </c>
      <c r="B252" s="23">
        <f t="shared" si="42"/>
        <v>38.638127853881265</v>
      </c>
      <c r="C252" t="str">
        <f t="shared" si="33"/>
        <v>38 y 7.66 m</v>
      </c>
      <c r="D252" s="24">
        <f>IF(A252&gt;=$E$2,IF(A252&lt;$E$2+$H$2,$P$2,0),IF(B252&lt;Dashboard!$I$6,0,IF(A252&gt;=$F$2,Dashboard!$C$22*POWER(1+$C$2,A252-$F$2),Dashboard!$C$22)))</f>
        <v>0</v>
      </c>
      <c r="E252" s="24">
        <f>IF(A252&gt;=$F$2,0,IF(A252=0,Dashboard!$G$10,IF(B252&lt;Dashboard!$I$6,IF($J$2&lt;=Dashboard!$H$10,Dashboard!$H$10,MAX(Dashboard!$H$10,MIN($J$2,Dashboard!$H$10*POWER($J$2/Dashboard!$H$10,A252/$D$2)))),$I$2-D252-Dashboard!$I$10-Dashboard!$J$10-Dashboard!$F$10*$I$2)))</f>
        <v>6881.8</v>
      </c>
      <c r="F252" s="24">
        <f t="shared" si="34"/>
        <v>0</v>
      </c>
      <c r="G252" s="24">
        <f t="shared" si="35"/>
        <v>0</v>
      </c>
      <c r="H252" s="24">
        <f t="shared" si="36"/>
        <v>0</v>
      </c>
      <c r="I252" s="24">
        <f t="shared" si="37"/>
        <v>6881.8</v>
      </c>
      <c r="J252" s="25">
        <f t="shared" si="38"/>
        <v>7.9741404289037643E-3</v>
      </c>
      <c r="K252" s="24">
        <f t="shared" si="43"/>
        <v>1033082.7241989793</v>
      </c>
      <c r="L252" s="24" t="str">
        <f t="shared" si="39"/>
        <v/>
      </c>
      <c r="M252" s="24">
        <f t="shared" si="40"/>
        <v>0</v>
      </c>
      <c r="N252" s="24">
        <f>IF(M252&lt;=0,0,IF($E$2-A252&lt;12,(M252-E252)*Dashboard!$B$18,IF($Q$2+A252&gt;=$R$2,MAX(0,M252-E252*POWER(1+$C$2,$E$2-A252))*MAX(Dashboard!$C$18,Dashboard!$B$18),IF($S$2&lt;$R$2,(M252-E252)*0.5*Dashboard!$B$18,(E252*POWER(1+$A$2,$R$2-($Q$2+A252))-E252)*0.5*Dashboard!$B$18+MAX(0,M252-E252*POWER(1+$A$2,$R$2-($Q$2+A252))*POWER(1+$C$2,$S$2-$R$2))*MAX(Dashboard!$C$18,Dashboard!$B$18)))))</f>
        <v>0</v>
      </c>
    </row>
    <row r="253" spans="1:14" x14ac:dyDescent="0.2">
      <c r="A253" s="22">
        <f t="shared" si="41"/>
        <v>248</v>
      </c>
      <c r="B253" s="23">
        <f t="shared" si="42"/>
        <v>38.721461187214601</v>
      </c>
      <c r="C253" t="str">
        <f t="shared" si="33"/>
        <v>38 y 8.66 m</v>
      </c>
      <c r="D253" s="24">
        <f>IF(A253&gt;=$E$2,IF(A253&lt;$E$2+$H$2,$P$2,0),IF(B253&lt;Dashboard!$I$6,0,IF(A253&gt;=$F$2,Dashboard!$C$22*POWER(1+$C$2,A253-$F$2),Dashboard!$C$22)))</f>
        <v>0</v>
      </c>
      <c r="E253" s="24">
        <f>IF(A253&gt;=$F$2,0,IF(A253=0,Dashboard!$G$10,IF(B253&lt;Dashboard!$I$6,IF($J$2&lt;=Dashboard!$H$10,Dashboard!$H$10,MAX(Dashboard!$H$10,MIN($J$2,Dashboard!$H$10*POWER($J$2/Dashboard!$H$10,A253/$D$2)))),$I$2-D253-Dashboard!$I$10-Dashboard!$J$10-Dashboard!$F$10*$I$2)))</f>
        <v>6881.8</v>
      </c>
      <c r="F253" s="24">
        <f t="shared" si="34"/>
        <v>0</v>
      </c>
      <c r="G253" s="24">
        <f t="shared" si="35"/>
        <v>0</v>
      </c>
      <c r="H253" s="24">
        <f t="shared" si="36"/>
        <v>0</v>
      </c>
      <c r="I253" s="24">
        <f t="shared" si="37"/>
        <v>6881.8</v>
      </c>
      <c r="J253" s="25">
        <f t="shared" si="38"/>
        <v>7.9741404289037643E-3</v>
      </c>
      <c r="K253" s="24">
        <f t="shared" si="43"/>
        <v>1048257.3473560201</v>
      </c>
      <c r="L253" s="24" t="str">
        <f t="shared" si="39"/>
        <v/>
      </c>
      <c r="M253" s="24">
        <f t="shared" si="40"/>
        <v>0</v>
      </c>
      <c r="N253" s="24">
        <f>IF(M253&lt;=0,0,IF($E$2-A253&lt;12,(M253-E253)*Dashboard!$B$18,IF($Q$2+A253&gt;=$R$2,MAX(0,M253-E253*POWER(1+$C$2,$E$2-A253))*MAX(Dashboard!$C$18,Dashboard!$B$18),IF($S$2&lt;$R$2,(M253-E253)*0.5*Dashboard!$B$18,(E253*POWER(1+$A$2,$R$2-($Q$2+A253))-E253)*0.5*Dashboard!$B$18+MAX(0,M253-E253*POWER(1+$A$2,$R$2-($Q$2+A253))*POWER(1+$C$2,$S$2-$R$2))*MAX(Dashboard!$C$18,Dashboard!$B$18)))))</f>
        <v>0</v>
      </c>
    </row>
    <row r="254" spans="1:14" x14ac:dyDescent="0.2">
      <c r="A254" s="22">
        <f t="shared" si="41"/>
        <v>249</v>
      </c>
      <c r="B254" s="23">
        <f t="shared" si="42"/>
        <v>38.804794520547937</v>
      </c>
      <c r="C254" t="str">
        <f t="shared" si="33"/>
        <v>38 y 9.66 m</v>
      </c>
      <c r="D254" s="24">
        <f>IF(A254&gt;=$E$2,IF(A254&lt;$E$2+$H$2,$P$2,0),IF(B254&lt;Dashboard!$I$6,0,IF(A254&gt;=$F$2,Dashboard!$C$22*POWER(1+$C$2,A254-$F$2),Dashboard!$C$22)))</f>
        <v>0</v>
      </c>
      <c r="E254" s="24">
        <f>IF(A254&gt;=$F$2,0,IF(A254=0,Dashboard!$G$10,IF(B254&lt;Dashboard!$I$6,IF($J$2&lt;=Dashboard!$H$10,Dashboard!$H$10,MAX(Dashboard!$H$10,MIN($J$2,Dashboard!$H$10*POWER($J$2/Dashboard!$H$10,A254/$D$2)))),$I$2-D254-Dashboard!$I$10-Dashboard!$J$10-Dashboard!$F$10*$I$2)))</f>
        <v>6881.8</v>
      </c>
      <c r="F254" s="24">
        <f t="shared" si="34"/>
        <v>0</v>
      </c>
      <c r="G254" s="24">
        <f t="shared" si="35"/>
        <v>0</v>
      </c>
      <c r="H254" s="24">
        <f t="shared" si="36"/>
        <v>0</v>
      </c>
      <c r="I254" s="24">
        <f t="shared" si="37"/>
        <v>6881.8</v>
      </c>
      <c r="J254" s="25">
        <f t="shared" si="38"/>
        <v>7.9741404289037643E-3</v>
      </c>
      <c r="K254" s="24">
        <f t="shared" si="43"/>
        <v>1063552.9750890709</v>
      </c>
      <c r="L254" s="24" t="str">
        <f t="shared" si="39"/>
        <v/>
      </c>
      <c r="M254" s="24">
        <f t="shared" si="40"/>
        <v>0</v>
      </c>
      <c r="N254" s="24">
        <f>IF(M254&lt;=0,0,IF($E$2-A254&lt;12,(M254-E254)*Dashboard!$B$18,IF($Q$2+A254&gt;=$R$2,MAX(0,M254-E254*POWER(1+$C$2,$E$2-A254))*MAX(Dashboard!$C$18,Dashboard!$B$18),IF($S$2&lt;$R$2,(M254-E254)*0.5*Dashboard!$B$18,(E254*POWER(1+$A$2,$R$2-($Q$2+A254))-E254)*0.5*Dashboard!$B$18+MAX(0,M254-E254*POWER(1+$A$2,$R$2-($Q$2+A254))*POWER(1+$C$2,$S$2-$R$2))*MAX(Dashboard!$C$18,Dashboard!$B$18)))))</f>
        <v>0</v>
      </c>
    </row>
    <row r="255" spans="1:14" x14ac:dyDescent="0.2">
      <c r="A255" s="22">
        <f t="shared" si="41"/>
        <v>250</v>
      </c>
      <c r="B255" s="23">
        <f t="shared" si="42"/>
        <v>38.888127853881272</v>
      </c>
      <c r="C255" t="str">
        <f t="shared" si="33"/>
        <v>38 y 10.66 m</v>
      </c>
      <c r="D255" s="24">
        <f>IF(A255&gt;=$E$2,IF(A255&lt;$E$2+$H$2,$P$2,0),IF(B255&lt;Dashboard!$I$6,0,IF(A255&gt;=$F$2,Dashboard!$C$22*POWER(1+$C$2,A255-$F$2),Dashboard!$C$22)))</f>
        <v>0</v>
      </c>
      <c r="E255" s="24">
        <f>IF(A255&gt;=$F$2,0,IF(A255=0,Dashboard!$G$10,IF(B255&lt;Dashboard!$I$6,IF($J$2&lt;=Dashboard!$H$10,Dashboard!$H$10,MAX(Dashboard!$H$10,MIN($J$2,Dashboard!$H$10*POWER($J$2/Dashboard!$H$10,A255/$D$2)))),$I$2-D255-Dashboard!$I$10-Dashboard!$J$10-Dashboard!$F$10*$I$2)))</f>
        <v>6881.8</v>
      </c>
      <c r="F255" s="24">
        <f t="shared" si="34"/>
        <v>0</v>
      </c>
      <c r="G255" s="24">
        <f t="shared" si="35"/>
        <v>0</v>
      </c>
      <c r="H255" s="24">
        <f t="shared" si="36"/>
        <v>0</v>
      </c>
      <c r="I255" s="24">
        <f t="shared" si="37"/>
        <v>6881.8</v>
      </c>
      <c r="J255" s="25">
        <f t="shared" si="38"/>
        <v>7.9741404289037643E-3</v>
      </c>
      <c r="K255" s="24">
        <f t="shared" si="43"/>
        <v>1078970.5723056132</v>
      </c>
      <c r="L255" s="24" t="str">
        <f t="shared" si="39"/>
        <v/>
      </c>
      <c r="M255" s="24">
        <f t="shared" si="40"/>
        <v>0</v>
      </c>
      <c r="N255" s="24">
        <f>IF(M255&lt;=0,0,IF($E$2-A255&lt;12,(M255-E255)*Dashboard!$B$18,IF($Q$2+A255&gt;=$R$2,MAX(0,M255-E255*POWER(1+$C$2,$E$2-A255))*MAX(Dashboard!$C$18,Dashboard!$B$18),IF($S$2&lt;$R$2,(M255-E255)*0.5*Dashboard!$B$18,(E255*POWER(1+$A$2,$R$2-($Q$2+A255))-E255)*0.5*Dashboard!$B$18+MAX(0,M255-E255*POWER(1+$A$2,$R$2-($Q$2+A255))*POWER(1+$C$2,$S$2-$R$2))*MAX(Dashboard!$C$18,Dashboard!$B$18)))))</f>
        <v>0</v>
      </c>
    </row>
    <row r="256" spans="1:14" x14ac:dyDescent="0.2">
      <c r="A256" s="22">
        <f t="shared" si="41"/>
        <v>251</v>
      </c>
      <c r="B256" s="23">
        <f t="shared" si="42"/>
        <v>38.971461187214608</v>
      </c>
      <c r="C256" t="str">
        <f t="shared" si="33"/>
        <v>38 y 11.66 m</v>
      </c>
      <c r="D256" s="24">
        <f>IF(A256&gt;=$E$2,IF(A256&lt;$E$2+$H$2,$P$2,0),IF(B256&lt;Dashboard!$I$6,0,IF(A256&gt;=$F$2,Dashboard!$C$22*POWER(1+$C$2,A256-$F$2),Dashboard!$C$22)))</f>
        <v>0</v>
      </c>
      <c r="E256" s="24">
        <f>IF(A256&gt;=$F$2,0,IF(A256=0,Dashboard!$G$10,IF(B256&lt;Dashboard!$I$6,IF($J$2&lt;=Dashboard!$H$10,Dashboard!$H$10,MAX(Dashboard!$H$10,MIN($J$2,Dashboard!$H$10*POWER($J$2/Dashboard!$H$10,A256/$D$2)))),$I$2-D256-Dashboard!$I$10-Dashboard!$J$10-Dashboard!$F$10*$I$2)))</f>
        <v>6881.8</v>
      </c>
      <c r="F256" s="24">
        <f t="shared" si="34"/>
        <v>0</v>
      </c>
      <c r="G256" s="24">
        <f t="shared" si="35"/>
        <v>0</v>
      </c>
      <c r="H256" s="24">
        <f t="shared" si="36"/>
        <v>0</v>
      </c>
      <c r="I256" s="24">
        <f t="shared" si="37"/>
        <v>6881.8</v>
      </c>
      <c r="J256" s="25">
        <f t="shared" si="38"/>
        <v>7.9741404289037643E-3</v>
      </c>
      <c r="K256" s="24">
        <f t="shared" si="43"/>
        <v>1094511.1116074366</v>
      </c>
      <c r="L256" s="24" t="str">
        <f t="shared" si="39"/>
        <v/>
      </c>
      <c r="M256" s="24">
        <f t="shared" si="40"/>
        <v>0</v>
      </c>
      <c r="N256" s="24">
        <f>IF(M256&lt;=0,0,IF($E$2-A256&lt;12,(M256-E256)*Dashboard!$B$18,IF($Q$2+A256&gt;=$R$2,MAX(0,M256-E256*POWER(1+$C$2,$E$2-A256))*MAX(Dashboard!$C$18,Dashboard!$B$18),IF($S$2&lt;$R$2,(M256-E256)*0.5*Dashboard!$B$18,(E256*POWER(1+$A$2,$R$2-($Q$2+A256))-E256)*0.5*Dashboard!$B$18+MAX(0,M256-E256*POWER(1+$A$2,$R$2-($Q$2+A256))*POWER(1+$C$2,$S$2-$R$2))*MAX(Dashboard!$C$18,Dashboard!$B$18)))))</f>
        <v>0</v>
      </c>
    </row>
    <row r="257" spans="1:14" x14ac:dyDescent="0.2">
      <c r="A257" s="22">
        <f t="shared" si="41"/>
        <v>252</v>
      </c>
      <c r="B257" s="23">
        <f t="shared" si="42"/>
        <v>39.054794520547944</v>
      </c>
      <c r="C257" t="str">
        <f t="shared" si="33"/>
        <v>39 y 0.66 m</v>
      </c>
      <c r="D257" s="24">
        <f>IF(A257&gt;=$E$2,IF(A257&lt;$E$2+$H$2,$P$2,0),IF(B257&lt;Dashboard!$I$6,0,IF(A257&gt;=$F$2,Dashboard!$C$22*POWER(1+$C$2,A257-$F$2),Dashboard!$C$22)))</f>
        <v>0</v>
      </c>
      <c r="E257" s="24">
        <f>IF(A257&gt;=$F$2,0,IF(A257=0,Dashboard!$G$10,IF(B257&lt;Dashboard!$I$6,IF($J$2&lt;=Dashboard!$H$10,Dashboard!$H$10,MAX(Dashboard!$H$10,MIN($J$2,Dashboard!$H$10*POWER($J$2/Dashboard!$H$10,A257/$D$2)))),$I$2-D257-Dashboard!$I$10-Dashboard!$J$10-Dashboard!$F$10*$I$2)))</f>
        <v>6881.8</v>
      </c>
      <c r="F257" s="24">
        <f t="shared" si="34"/>
        <v>0</v>
      </c>
      <c r="G257" s="24">
        <f t="shared" si="35"/>
        <v>0</v>
      </c>
      <c r="H257" s="24">
        <f t="shared" si="36"/>
        <v>0</v>
      </c>
      <c r="I257" s="24">
        <f t="shared" si="37"/>
        <v>6881.8</v>
      </c>
      <c r="J257" s="25">
        <f t="shared" si="38"/>
        <v>7.9741404289037643E-3</v>
      </c>
      <c r="K257" s="24">
        <f t="shared" si="43"/>
        <v>1110175.5733519935</v>
      </c>
      <c r="L257" s="24" t="str">
        <f t="shared" si="39"/>
        <v/>
      </c>
      <c r="M257" s="24">
        <f t="shared" si="40"/>
        <v>0</v>
      </c>
      <c r="N257" s="24">
        <f>IF(M257&lt;=0,0,IF($E$2-A257&lt;12,(M257-E257)*Dashboard!$B$18,IF($Q$2+A257&gt;=$R$2,MAX(0,M257-E257*POWER(1+$C$2,$E$2-A257))*MAX(Dashboard!$C$18,Dashboard!$B$18),IF($S$2&lt;$R$2,(M257-E257)*0.5*Dashboard!$B$18,(E257*POWER(1+$A$2,$R$2-($Q$2+A257))-E257)*0.5*Dashboard!$B$18+MAX(0,M257-E257*POWER(1+$A$2,$R$2-($Q$2+A257))*POWER(1+$C$2,$S$2-$R$2))*MAX(Dashboard!$C$18,Dashboard!$B$18)))))</f>
        <v>0</v>
      </c>
    </row>
    <row r="258" spans="1:14" x14ac:dyDescent="0.2">
      <c r="A258" s="22">
        <f t="shared" si="41"/>
        <v>253</v>
      </c>
      <c r="B258" s="23">
        <f t="shared" si="42"/>
        <v>39.138127853881279</v>
      </c>
      <c r="C258" t="str">
        <f t="shared" si="33"/>
        <v>39 y 1.66 m</v>
      </c>
      <c r="D258" s="24">
        <f>IF(A258&gt;=$E$2,IF(A258&lt;$E$2+$H$2,$P$2,0),IF(B258&lt;Dashboard!$I$6,0,IF(A258&gt;=$F$2,Dashboard!$C$22*POWER(1+$C$2,A258-$F$2),Dashboard!$C$22)))</f>
        <v>0</v>
      </c>
      <c r="E258" s="24">
        <f>IF(A258&gt;=$F$2,0,IF(A258=0,Dashboard!$G$10,IF(B258&lt;Dashboard!$I$6,IF($J$2&lt;=Dashboard!$H$10,Dashboard!$H$10,MAX(Dashboard!$H$10,MIN($J$2,Dashboard!$H$10*POWER($J$2/Dashboard!$H$10,A258/$D$2)))),$I$2-D258-Dashboard!$I$10-Dashboard!$J$10-Dashboard!$F$10*$I$2)))</f>
        <v>6881.8</v>
      </c>
      <c r="F258" s="24">
        <f t="shared" si="34"/>
        <v>0</v>
      </c>
      <c r="G258" s="24">
        <f t="shared" si="35"/>
        <v>0</v>
      </c>
      <c r="H258" s="24">
        <f t="shared" si="36"/>
        <v>0</v>
      </c>
      <c r="I258" s="24">
        <f t="shared" si="37"/>
        <v>6881.8</v>
      </c>
      <c r="J258" s="25">
        <f t="shared" si="38"/>
        <v>7.9741404289037643E-3</v>
      </c>
      <c r="K258" s="24">
        <f t="shared" si="43"/>
        <v>1125964.9457142446</v>
      </c>
      <c r="L258" s="24" t="str">
        <f t="shared" si="39"/>
        <v/>
      </c>
      <c r="M258" s="24">
        <f t="shared" si="40"/>
        <v>0</v>
      </c>
      <c r="N258" s="24">
        <f>IF(M258&lt;=0,0,IF($E$2-A258&lt;12,(M258-E258)*Dashboard!$B$18,IF($Q$2+A258&gt;=$R$2,MAX(0,M258-E258*POWER(1+$C$2,$E$2-A258))*MAX(Dashboard!$C$18,Dashboard!$B$18),IF($S$2&lt;$R$2,(M258-E258)*0.5*Dashboard!$B$18,(E258*POWER(1+$A$2,$R$2-($Q$2+A258))-E258)*0.5*Dashboard!$B$18+MAX(0,M258-E258*POWER(1+$A$2,$R$2-($Q$2+A258))*POWER(1+$C$2,$S$2-$R$2))*MAX(Dashboard!$C$18,Dashboard!$B$18)))))</f>
        <v>0</v>
      </c>
    </row>
    <row r="259" spans="1:14" x14ac:dyDescent="0.2">
      <c r="A259" s="22">
        <f t="shared" si="41"/>
        <v>254</v>
      </c>
      <c r="B259" s="23">
        <f t="shared" si="42"/>
        <v>39.221461187214615</v>
      </c>
      <c r="C259" t="str">
        <f t="shared" si="33"/>
        <v>39 y 2.66 m</v>
      </c>
      <c r="D259" s="24">
        <f>IF(A259&gt;=$E$2,IF(A259&lt;$E$2+$H$2,$P$2,0),IF(B259&lt;Dashboard!$I$6,0,IF(A259&gt;=$F$2,Dashboard!$C$22*POWER(1+$C$2,A259-$F$2),Dashboard!$C$22)))</f>
        <v>0</v>
      </c>
      <c r="E259" s="24">
        <f>IF(A259&gt;=$F$2,0,IF(A259=0,Dashboard!$G$10,IF(B259&lt;Dashboard!$I$6,IF($J$2&lt;=Dashboard!$H$10,Dashboard!$H$10,MAX(Dashboard!$H$10,MIN($J$2,Dashboard!$H$10*POWER($J$2/Dashboard!$H$10,A259/$D$2)))),$I$2-D259-Dashboard!$I$10-Dashboard!$J$10-Dashboard!$F$10*$I$2)))</f>
        <v>6881.8</v>
      </c>
      <c r="F259" s="24">
        <f t="shared" si="34"/>
        <v>0</v>
      </c>
      <c r="G259" s="24">
        <f t="shared" si="35"/>
        <v>0</v>
      </c>
      <c r="H259" s="24">
        <f t="shared" si="36"/>
        <v>0</v>
      </c>
      <c r="I259" s="24">
        <f t="shared" si="37"/>
        <v>6881.8</v>
      </c>
      <c r="J259" s="25">
        <f t="shared" si="38"/>
        <v>7.9741404289037643E-3</v>
      </c>
      <c r="K259" s="24">
        <f t="shared" si="43"/>
        <v>1141880.2247489968</v>
      </c>
      <c r="L259" s="24" t="str">
        <f t="shared" si="39"/>
        <v/>
      </c>
      <c r="M259" s="24">
        <f t="shared" si="40"/>
        <v>0</v>
      </c>
      <c r="N259" s="24">
        <f>IF(M259&lt;=0,0,IF($E$2-A259&lt;12,(M259-E259)*Dashboard!$B$18,IF($Q$2+A259&gt;=$R$2,MAX(0,M259-E259*POWER(1+$C$2,$E$2-A259))*MAX(Dashboard!$C$18,Dashboard!$B$18),IF($S$2&lt;$R$2,(M259-E259)*0.5*Dashboard!$B$18,(E259*POWER(1+$A$2,$R$2-($Q$2+A259))-E259)*0.5*Dashboard!$B$18+MAX(0,M259-E259*POWER(1+$A$2,$R$2-($Q$2+A259))*POWER(1+$C$2,$S$2-$R$2))*MAX(Dashboard!$C$18,Dashboard!$B$18)))))</f>
        <v>0</v>
      </c>
    </row>
    <row r="260" spans="1:14" x14ac:dyDescent="0.2">
      <c r="A260" s="22">
        <f t="shared" si="41"/>
        <v>255</v>
      </c>
      <c r="B260" s="23">
        <f t="shared" si="42"/>
        <v>39.304794520547951</v>
      </c>
      <c r="C260" t="str">
        <f t="shared" si="33"/>
        <v>39 y 3.66 m</v>
      </c>
      <c r="D260" s="24">
        <f>IF(A260&gt;=$E$2,IF(A260&lt;$E$2+$H$2,$P$2,0),IF(B260&lt;Dashboard!$I$6,0,IF(A260&gt;=$F$2,Dashboard!$C$22*POWER(1+$C$2,A260-$F$2),Dashboard!$C$22)))</f>
        <v>0</v>
      </c>
      <c r="E260" s="24">
        <f>IF(A260&gt;=$F$2,0,IF(A260=0,Dashboard!$G$10,IF(B260&lt;Dashboard!$I$6,IF($J$2&lt;=Dashboard!$H$10,Dashboard!$H$10,MAX(Dashboard!$H$10,MIN($J$2,Dashboard!$H$10*POWER($J$2/Dashboard!$H$10,A260/$D$2)))),$I$2-D260-Dashboard!$I$10-Dashboard!$J$10-Dashboard!$F$10*$I$2)))</f>
        <v>6881.8</v>
      </c>
      <c r="F260" s="24">
        <f t="shared" si="34"/>
        <v>0</v>
      </c>
      <c r="G260" s="24">
        <f t="shared" si="35"/>
        <v>0</v>
      </c>
      <c r="H260" s="24">
        <f t="shared" si="36"/>
        <v>0</v>
      </c>
      <c r="I260" s="24">
        <f t="shared" si="37"/>
        <v>6881.8</v>
      </c>
      <c r="J260" s="25">
        <f t="shared" si="38"/>
        <v>7.9741404289037643E-3</v>
      </c>
      <c r="K260" s="24">
        <f t="shared" si="43"/>
        <v>1157922.4144537372</v>
      </c>
      <c r="L260" s="24" t="str">
        <f t="shared" si="39"/>
        <v/>
      </c>
      <c r="M260" s="24">
        <f t="shared" si="40"/>
        <v>0</v>
      </c>
      <c r="N260" s="24">
        <f>IF(M260&lt;=0,0,IF($E$2-A260&lt;12,(M260-E260)*Dashboard!$B$18,IF($Q$2+A260&gt;=$R$2,MAX(0,M260-E260*POWER(1+$C$2,$E$2-A260))*MAX(Dashboard!$C$18,Dashboard!$B$18),IF($S$2&lt;$R$2,(M260-E260)*0.5*Dashboard!$B$18,(E260*POWER(1+$A$2,$R$2-($Q$2+A260))-E260)*0.5*Dashboard!$B$18+MAX(0,M260-E260*POWER(1+$A$2,$R$2-($Q$2+A260))*POWER(1+$C$2,$S$2-$R$2))*MAX(Dashboard!$C$18,Dashboard!$B$18)))))</f>
        <v>0</v>
      </c>
    </row>
    <row r="261" spans="1:14" x14ac:dyDescent="0.2">
      <c r="A261" s="22">
        <f t="shared" si="41"/>
        <v>256</v>
      </c>
      <c r="B261" s="23">
        <f t="shared" si="42"/>
        <v>39.388127853881286</v>
      </c>
      <c r="C261" t="str">
        <f t="shared" ref="C261:C324" si="44">INT(B261)&amp;" y "&amp;ROUND((B261-INT(B261))*12,2)&amp;" m"</f>
        <v>39 y 4.66 m</v>
      </c>
      <c r="D261" s="24">
        <f>IF(A261&gt;=$E$2,IF(A261&lt;$E$2+$H$2,$P$2,0),IF(B261&lt;Dashboard!$I$6,0,IF(A261&gt;=$F$2,Dashboard!$C$22*POWER(1+$C$2,A261-$F$2),Dashboard!$C$22)))</f>
        <v>0</v>
      </c>
      <c r="E261" s="24">
        <f>IF(A261&gt;=$F$2,0,IF(A261=0,Dashboard!$G$10,IF(B261&lt;Dashboard!$I$6,IF($J$2&lt;=Dashboard!$H$10,Dashboard!$H$10,MAX(Dashboard!$H$10,MIN($J$2,Dashboard!$H$10*POWER($J$2/Dashboard!$H$10,A261/$D$2)))),$I$2-D261-Dashboard!$I$10-Dashboard!$J$10-Dashboard!$F$10*$I$2)))</f>
        <v>6881.8</v>
      </c>
      <c r="F261" s="24">
        <f t="shared" ref="F261:F324" si="45">IF(A261&gt;=$F$2,$X$2*POWER(1+$C$2,A261-$F$2)+D261,0)</f>
        <v>0</v>
      </c>
      <c r="G261" s="24">
        <f t="shared" ref="G261:G324" si="46">IF(F261&lt;=0,0,IF(F261*12&lt;=18200,F261,IF(F261*12&lt;=40712,(18200+(F261*12-18200)/0.84)/12,IF(F261*12&lt;=103712,(45000+(F261*12-40712)/0.7)/12,IF(F261*12&lt;=138362,(135000+(F261*12-103712)/0.63)/12,(190000+(F261*12-138362)/0.55)/12)))))</f>
        <v>0</v>
      </c>
      <c r="H261" s="24">
        <f t="shared" ref="H261:H324" si="47">IF(A261=$E$2,$W$2,0)</f>
        <v>0</v>
      </c>
      <c r="I261" s="24">
        <f t="shared" ref="I261:I324" si="48">E261-G261-H261</f>
        <v>6881.8</v>
      </c>
      <c r="J261" s="25">
        <f t="shared" ref="J261:J324" si="49">IF(A261&gt;=$F$2,$B$2,$A$2)</f>
        <v>7.9741404289037643E-3</v>
      </c>
      <c r="K261" s="24">
        <f t="shared" si="43"/>
        <v>1174092.5268319703</v>
      </c>
      <c r="L261" s="24" t="str">
        <f t="shared" ref="L261:L324" si="50">IF(A261&gt;=$F$2,K261,"")</f>
        <v/>
      </c>
      <c r="M261" s="24">
        <f t="shared" ref="M261:M324" si="51">IF(AND(A261&lt;$E$2,E261&gt;0),E261*POWER(1+$A$2,$E$2-A261),0)</f>
        <v>0</v>
      </c>
      <c r="N261" s="24">
        <f>IF(M261&lt;=0,0,IF($E$2-A261&lt;12,(M261-E261)*Dashboard!$B$18,IF($Q$2+A261&gt;=$R$2,MAX(0,M261-E261*POWER(1+$C$2,$E$2-A261))*MAX(Dashboard!$C$18,Dashboard!$B$18),IF($S$2&lt;$R$2,(M261-E261)*0.5*Dashboard!$B$18,(E261*POWER(1+$A$2,$R$2-($Q$2+A261))-E261)*0.5*Dashboard!$B$18+MAX(0,M261-E261*POWER(1+$A$2,$R$2-($Q$2+A261))*POWER(1+$C$2,$S$2-$R$2))*MAX(Dashboard!$C$18,Dashboard!$B$18)))))</f>
        <v>0</v>
      </c>
    </row>
    <row r="262" spans="1:14" x14ac:dyDescent="0.2">
      <c r="A262" s="22">
        <f t="shared" ref="A262:A325" si="52">A261+1</f>
        <v>257</v>
      </c>
      <c r="B262" s="23">
        <f t="shared" ref="B262:B325" si="53">B261+1/12</f>
        <v>39.471461187214622</v>
      </c>
      <c r="C262" t="str">
        <f t="shared" si="44"/>
        <v>39 y 5.66 m</v>
      </c>
      <c r="D262" s="24">
        <f>IF(A262&gt;=$E$2,IF(A262&lt;$E$2+$H$2,$P$2,0),IF(B262&lt;Dashboard!$I$6,0,IF(A262&gt;=$F$2,Dashboard!$C$22*POWER(1+$C$2,A262-$F$2),Dashboard!$C$22)))</f>
        <v>0</v>
      </c>
      <c r="E262" s="24">
        <f>IF(A262&gt;=$F$2,0,IF(A262=0,Dashboard!$G$10,IF(B262&lt;Dashboard!$I$6,IF($J$2&lt;=Dashboard!$H$10,Dashboard!$H$10,MAX(Dashboard!$H$10,MIN($J$2,Dashboard!$H$10*POWER($J$2/Dashboard!$H$10,A262/$D$2)))),$I$2-D262-Dashboard!$I$10-Dashboard!$J$10-Dashboard!$F$10*$I$2)))</f>
        <v>6881.8</v>
      </c>
      <c r="F262" s="24">
        <f t="shared" si="45"/>
        <v>0</v>
      </c>
      <c r="G262" s="24">
        <f t="shared" si="46"/>
        <v>0</v>
      </c>
      <c r="H262" s="24">
        <f t="shared" si="47"/>
        <v>0</v>
      </c>
      <c r="I262" s="24">
        <f t="shared" si="48"/>
        <v>6881.8</v>
      </c>
      <c r="J262" s="25">
        <f t="shared" si="49"/>
        <v>7.9741404289037643E-3</v>
      </c>
      <c r="K262" s="24">
        <f t="shared" ref="K262:K325" si="54">(K261+I262)*(1+J262)</f>
        <v>1190391.5819570585</v>
      </c>
      <c r="L262" s="24" t="str">
        <f t="shared" si="50"/>
        <v/>
      </c>
      <c r="M262" s="24">
        <f t="shared" si="51"/>
        <v>0</v>
      </c>
      <c r="N262" s="24">
        <f>IF(M262&lt;=0,0,IF($E$2-A262&lt;12,(M262-E262)*Dashboard!$B$18,IF($Q$2+A262&gt;=$R$2,MAX(0,M262-E262*POWER(1+$C$2,$E$2-A262))*MAX(Dashboard!$C$18,Dashboard!$B$18),IF($S$2&lt;$R$2,(M262-E262)*0.5*Dashboard!$B$18,(E262*POWER(1+$A$2,$R$2-($Q$2+A262))-E262)*0.5*Dashboard!$B$18+MAX(0,M262-E262*POWER(1+$A$2,$R$2-($Q$2+A262))*POWER(1+$C$2,$S$2-$R$2))*MAX(Dashboard!$C$18,Dashboard!$B$18)))))</f>
        <v>0</v>
      </c>
    </row>
    <row r="263" spans="1:14" x14ac:dyDescent="0.2">
      <c r="A263" s="22">
        <f t="shared" si="52"/>
        <v>258</v>
      </c>
      <c r="B263" s="23">
        <f t="shared" si="53"/>
        <v>39.554794520547958</v>
      </c>
      <c r="C263" t="str">
        <f t="shared" si="44"/>
        <v>39 y 6.66 m</v>
      </c>
      <c r="D263" s="24">
        <f>IF(A263&gt;=$E$2,IF(A263&lt;$E$2+$H$2,$P$2,0),IF(B263&lt;Dashboard!$I$6,0,IF(A263&gt;=$F$2,Dashboard!$C$22*POWER(1+$C$2,A263-$F$2),Dashboard!$C$22)))</f>
        <v>0</v>
      </c>
      <c r="E263" s="24">
        <f>IF(A263&gt;=$F$2,0,IF(A263=0,Dashboard!$G$10,IF(B263&lt;Dashboard!$I$6,IF($J$2&lt;=Dashboard!$H$10,Dashboard!$H$10,MAX(Dashboard!$H$10,MIN($J$2,Dashboard!$H$10*POWER($J$2/Dashboard!$H$10,A263/$D$2)))),$I$2-D263-Dashboard!$I$10-Dashboard!$J$10-Dashboard!$F$10*$I$2)))</f>
        <v>6881.8</v>
      </c>
      <c r="F263" s="24">
        <f t="shared" si="45"/>
        <v>0</v>
      </c>
      <c r="G263" s="24">
        <f t="shared" si="46"/>
        <v>0</v>
      </c>
      <c r="H263" s="24">
        <f t="shared" si="47"/>
        <v>0</v>
      </c>
      <c r="I263" s="24">
        <f t="shared" si="48"/>
        <v>6881.8</v>
      </c>
      <c r="J263" s="25">
        <f t="shared" si="49"/>
        <v>7.9741404289037643E-3</v>
      </c>
      <c r="K263" s="24">
        <f t="shared" si="54"/>
        <v>1206820.6080365726</v>
      </c>
      <c r="L263" s="24" t="str">
        <f t="shared" si="50"/>
        <v/>
      </c>
      <c r="M263" s="24">
        <f t="shared" si="51"/>
        <v>0</v>
      </c>
      <c r="N263" s="24">
        <f>IF(M263&lt;=0,0,IF($E$2-A263&lt;12,(M263-E263)*Dashboard!$B$18,IF($Q$2+A263&gt;=$R$2,MAX(0,M263-E263*POWER(1+$C$2,$E$2-A263))*MAX(Dashboard!$C$18,Dashboard!$B$18),IF($S$2&lt;$R$2,(M263-E263)*0.5*Dashboard!$B$18,(E263*POWER(1+$A$2,$R$2-($Q$2+A263))-E263)*0.5*Dashboard!$B$18+MAX(0,M263-E263*POWER(1+$A$2,$R$2-($Q$2+A263))*POWER(1+$C$2,$S$2-$R$2))*MAX(Dashboard!$C$18,Dashboard!$B$18)))))</f>
        <v>0</v>
      </c>
    </row>
    <row r="264" spans="1:14" x14ac:dyDescent="0.2">
      <c r="A264" s="22">
        <f t="shared" si="52"/>
        <v>259</v>
      </c>
      <c r="B264" s="23">
        <f t="shared" si="53"/>
        <v>39.638127853881294</v>
      </c>
      <c r="C264" t="str">
        <f t="shared" si="44"/>
        <v>39 y 7.66 m</v>
      </c>
      <c r="D264" s="24">
        <f>IF(A264&gt;=$E$2,IF(A264&lt;$E$2+$H$2,$P$2,0),IF(B264&lt;Dashboard!$I$6,0,IF(A264&gt;=$F$2,Dashboard!$C$22*POWER(1+$C$2,A264-$F$2),Dashboard!$C$22)))</f>
        <v>0</v>
      </c>
      <c r="E264" s="24">
        <f>IF(A264&gt;=$F$2,0,IF(A264=0,Dashboard!$G$10,IF(B264&lt;Dashboard!$I$6,IF($J$2&lt;=Dashboard!$H$10,Dashboard!$H$10,MAX(Dashboard!$H$10,MIN($J$2,Dashboard!$H$10*POWER($J$2/Dashboard!$H$10,A264/$D$2)))),$I$2-D264-Dashboard!$I$10-Dashboard!$J$10-Dashboard!$F$10*$I$2)))</f>
        <v>6881.8</v>
      </c>
      <c r="F264" s="24">
        <f t="shared" si="45"/>
        <v>0</v>
      </c>
      <c r="G264" s="24">
        <f t="shared" si="46"/>
        <v>0</v>
      </c>
      <c r="H264" s="24">
        <f t="shared" si="47"/>
        <v>0</v>
      </c>
      <c r="I264" s="24">
        <f t="shared" si="48"/>
        <v>6881.8</v>
      </c>
      <c r="J264" s="25">
        <f t="shared" si="49"/>
        <v>7.9741404289037643E-3</v>
      </c>
      <c r="K264" s="24">
        <f t="shared" si="54"/>
        <v>1223380.6414771548</v>
      </c>
      <c r="L264" s="24" t="str">
        <f t="shared" si="50"/>
        <v/>
      </c>
      <c r="M264" s="24">
        <f t="shared" si="51"/>
        <v>0</v>
      </c>
      <c r="N264" s="24">
        <f>IF(M264&lt;=0,0,IF($E$2-A264&lt;12,(M264-E264)*Dashboard!$B$18,IF($Q$2+A264&gt;=$R$2,MAX(0,M264-E264*POWER(1+$C$2,$E$2-A264))*MAX(Dashboard!$C$18,Dashboard!$B$18),IF($S$2&lt;$R$2,(M264-E264)*0.5*Dashboard!$B$18,(E264*POWER(1+$A$2,$R$2-($Q$2+A264))-E264)*0.5*Dashboard!$B$18+MAX(0,M264-E264*POWER(1+$A$2,$R$2-($Q$2+A264))*POWER(1+$C$2,$S$2-$R$2))*MAX(Dashboard!$C$18,Dashboard!$B$18)))))</f>
        <v>0</v>
      </c>
    </row>
    <row r="265" spans="1:14" x14ac:dyDescent="0.2">
      <c r="A265" s="22">
        <f t="shared" si="52"/>
        <v>260</v>
      </c>
      <c r="B265" s="23">
        <f t="shared" si="53"/>
        <v>39.721461187214629</v>
      </c>
      <c r="C265" t="str">
        <f t="shared" si="44"/>
        <v>39 y 8.66 m</v>
      </c>
      <c r="D265" s="24">
        <f>IF(A265&gt;=$E$2,IF(A265&lt;$E$2+$H$2,$P$2,0),IF(B265&lt;Dashboard!$I$6,0,IF(A265&gt;=$F$2,Dashboard!$C$22*POWER(1+$C$2,A265-$F$2),Dashboard!$C$22)))</f>
        <v>0</v>
      </c>
      <c r="E265" s="24">
        <f>IF(A265&gt;=$F$2,0,IF(A265=0,Dashboard!$G$10,IF(B265&lt;Dashboard!$I$6,IF($J$2&lt;=Dashboard!$H$10,Dashboard!$H$10,MAX(Dashboard!$H$10,MIN($J$2,Dashboard!$H$10*POWER($J$2/Dashboard!$H$10,A265/$D$2)))),$I$2-D265-Dashboard!$I$10-Dashboard!$J$10-Dashboard!$F$10*$I$2)))</f>
        <v>6881.8</v>
      </c>
      <c r="F265" s="24">
        <f t="shared" si="45"/>
        <v>0</v>
      </c>
      <c r="G265" s="24">
        <f t="shared" si="46"/>
        <v>0</v>
      </c>
      <c r="H265" s="24">
        <f t="shared" si="47"/>
        <v>0</v>
      </c>
      <c r="I265" s="24">
        <f t="shared" si="48"/>
        <v>6881.8</v>
      </c>
      <c r="J265" s="25">
        <f t="shared" si="49"/>
        <v>7.9741404289037643E-3</v>
      </c>
      <c r="K265" s="24">
        <f t="shared" si="54"/>
        <v>1240072.7269498997</v>
      </c>
      <c r="L265" s="24" t="str">
        <f t="shared" si="50"/>
        <v/>
      </c>
      <c r="M265" s="24">
        <f t="shared" si="51"/>
        <v>0</v>
      </c>
      <c r="N265" s="24">
        <f>IF(M265&lt;=0,0,IF($E$2-A265&lt;12,(M265-E265)*Dashboard!$B$18,IF($Q$2+A265&gt;=$R$2,MAX(0,M265-E265*POWER(1+$C$2,$E$2-A265))*MAX(Dashboard!$C$18,Dashboard!$B$18),IF($S$2&lt;$R$2,(M265-E265)*0.5*Dashboard!$B$18,(E265*POWER(1+$A$2,$R$2-($Q$2+A265))-E265)*0.5*Dashboard!$B$18+MAX(0,M265-E265*POWER(1+$A$2,$R$2-($Q$2+A265))*POWER(1+$C$2,$S$2-$R$2))*MAX(Dashboard!$C$18,Dashboard!$B$18)))))</f>
        <v>0</v>
      </c>
    </row>
    <row r="266" spans="1:14" x14ac:dyDescent="0.2">
      <c r="A266" s="22">
        <f t="shared" si="52"/>
        <v>261</v>
      </c>
      <c r="B266" s="23">
        <f t="shared" si="53"/>
        <v>39.804794520547965</v>
      </c>
      <c r="C266" t="str">
        <f t="shared" si="44"/>
        <v>39 y 9.66 m</v>
      </c>
      <c r="D266" s="24">
        <f>IF(A266&gt;=$E$2,IF(A266&lt;$E$2+$H$2,$P$2,0),IF(B266&lt;Dashboard!$I$6,0,IF(A266&gt;=$F$2,Dashboard!$C$22*POWER(1+$C$2,A266-$F$2),Dashboard!$C$22)))</f>
        <v>0</v>
      </c>
      <c r="E266" s="24">
        <f>IF(A266&gt;=$F$2,0,IF(A266=0,Dashboard!$G$10,IF(B266&lt;Dashboard!$I$6,IF($J$2&lt;=Dashboard!$H$10,Dashboard!$H$10,MAX(Dashboard!$H$10,MIN($J$2,Dashboard!$H$10*POWER($J$2/Dashboard!$H$10,A266/$D$2)))),$I$2-D266-Dashboard!$I$10-Dashboard!$J$10-Dashboard!$F$10*$I$2)))</f>
        <v>6881.8</v>
      </c>
      <c r="F266" s="24">
        <f t="shared" si="45"/>
        <v>0</v>
      </c>
      <c r="G266" s="24">
        <f t="shared" si="46"/>
        <v>0</v>
      </c>
      <c r="H266" s="24">
        <f t="shared" si="47"/>
        <v>0</v>
      </c>
      <c r="I266" s="24">
        <f t="shared" si="48"/>
        <v>6881.8</v>
      </c>
      <c r="J266" s="25">
        <f t="shared" si="49"/>
        <v>7.9741404289037643E-3</v>
      </c>
      <c r="K266" s="24">
        <f t="shared" si="54"/>
        <v>1256897.9174562555</v>
      </c>
      <c r="L266" s="24" t="str">
        <f t="shared" si="50"/>
        <v/>
      </c>
      <c r="M266" s="24">
        <f t="shared" si="51"/>
        <v>0</v>
      </c>
      <c r="N266" s="24">
        <f>IF(M266&lt;=0,0,IF($E$2-A266&lt;12,(M266-E266)*Dashboard!$B$18,IF($Q$2+A266&gt;=$R$2,MAX(0,M266-E266*POWER(1+$C$2,$E$2-A266))*MAX(Dashboard!$C$18,Dashboard!$B$18),IF($S$2&lt;$R$2,(M266-E266)*0.5*Dashboard!$B$18,(E266*POWER(1+$A$2,$R$2-($Q$2+A266))-E266)*0.5*Dashboard!$B$18+MAX(0,M266-E266*POWER(1+$A$2,$R$2-($Q$2+A266))*POWER(1+$C$2,$S$2-$R$2))*MAX(Dashboard!$C$18,Dashboard!$B$18)))))</f>
        <v>0</v>
      </c>
    </row>
    <row r="267" spans="1:14" x14ac:dyDescent="0.2">
      <c r="A267" s="22">
        <f t="shared" si="52"/>
        <v>262</v>
      </c>
      <c r="B267" s="23">
        <f t="shared" si="53"/>
        <v>39.888127853881301</v>
      </c>
      <c r="C267" t="str">
        <f t="shared" si="44"/>
        <v>39 y 10.66 m</v>
      </c>
      <c r="D267" s="24">
        <f>IF(A267&gt;=$E$2,IF(A267&lt;$E$2+$H$2,$P$2,0),IF(B267&lt;Dashboard!$I$6,0,IF(A267&gt;=$F$2,Dashboard!$C$22*POWER(1+$C$2,A267-$F$2),Dashboard!$C$22)))</f>
        <v>0</v>
      </c>
      <c r="E267" s="24">
        <f>IF(A267&gt;=$F$2,0,IF(A267=0,Dashboard!$G$10,IF(B267&lt;Dashboard!$I$6,IF($J$2&lt;=Dashboard!$H$10,Dashboard!$H$10,MAX(Dashboard!$H$10,MIN($J$2,Dashboard!$H$10*POWER($J$2/Dashboard!$H$10,A267/$D$2)))),$I$2-D267-Dashboard!$I$10-Dashboard!$J$10-Dashboard!$F$10*$I$2)))</f>
        <v>6881.8</v>
      </c>
      <c r="F267" s="24">
        <f t="shared" si="45"/>
        <v>0</v>
      </c>
      <c r="G267" s="24">
        <f t="shared" si="46"/>
        <v>0</v>
      </c>
      <c r="H267" s="24">
        <f t="shared" si="47"/>
        <v>0</v>
      </c>
      <c r="I267" s="24">
        <f t="shared" si="48"/>
        <v>6881.8</v>
      </c>
      <c r="J267" s="25">
        <f t="shared" si="49"/>
        <v>7.9741404289037643E-3</v>
      </c>
      <c r="K267" s="24">
        <f t="shared" si="54"/>
        <v>1273857.2743944521</v>
      </c>
      <c r="L267" s="24" t="str">
        <f t="shared" si="50"/>
        <v/>
      </c>
      <c r="M267" s="24">
        <f t="shared" si="51"/>
        <v>0</v>
      </c>
      <c r="N267" s="24">
        <f>IF(M267&lt;=0,0,IF($E$2-A267&lt;12,(M267-E267)*Dashboard!$B$18,IF($Q$2+A267&gt;=$R$2,MAX(0,M267-E267*POWER(1+$C$2,$E$2-A267))*MAX(Dashboard!$C$18,Dashboard!$B$18),IF($S$2&lt;$R$2,(M267-E267)*0.5*Dashboard!$B$18,(E267*POWER(1+$A$2,$R$2-($Q$2+A267))-E267)*0.5*Dashboard!$B$18+MAX(0,M267-E267*POWER(1+$A$2,$R$2-($Q$2+A267))*POWER(1+$C$2,$S$2-$R$2))*MAX(Dashboard!$C$18,Dashboard!$B$18)))))</f>
        <v>0</v>
      </c>
    </row>
    <row r="268" spans="1:14" x14ac:dyDescent="0.2">
      <c r="A268" s="22">
        <f t="shared" si="52"/>
        <v>263</v>
      </c>
      <c r="B268" s="23">
        <f t="shared" si="53"/>
        <v>39.971461187214636</v>
      </c>
      <c r="C268" t="str">
        <f t="shared" si="44"/>
        <v>39 y 11.66 m</v>
      </c>
      <c r="D268" s="24">
        <f>IF(A268&gt;=$E$2,IF(A268&lt;$E$2+$H$2,$P$2,0),IF(B268&lt;Dashboard!$I$6,0,IF(A268&gt;=$F$2,Dashboard!$C$22*POWER(1+$C$2,A268-$F$2),Dashboard!$C$22)))</f>
        <v>0</v>
      </c>
      <c r="E268" s="24">
        <f>IF(A268&gt;=$F$2,0,IF(A268=0,Dashboard!$G$10,IF(B268&lt;Dashboard!$I$6,IF($J$2&lt;=Dashboard!$H$10,Dashboard!$H$10,MAX(Dashboard!$H$10,MIN($J$2,Dashboard!$H$10*POWER($J$2/Dashboard!$H$10,A268/$D$2)))),$I$2-D268-Dashboard!$I$10-Dashboard!$J$10-Dashboard!$F$10*$I$2)))</f>
        <v>6881.8</v>
      </c>
      <c r="F268" s="24">
        <f t="shared" si="45"/>
        <v>0</v>
      </c>
      <c r="G268" s="24">
        <f t="shared" si="46"/>
        <v>0</v>
      </c>
      <c r="H268" s="24">
        <f t="shared" si="47"/>
        <v>0</v>
      </c>
      <c r="I268" s="24">
        <f t="shared" si="48"/>
        <v>6881.8</v>
      </c>
      <c r="J268" s="25">
        <f t="shared" si="49"/>
        <v>7.9741404289037643E-3</v>
      </c>
      <c r="K268" s="24">
        <f t="shared" si="54"/>
        <v>1290951.8676264577</v>
      </c>
      <c r="L268" s="24" t="str">
        <f t="shared" si="50"/>
        <v/>
      </c>
      <c r="M268" s="24">
        <f t="shared" si="51"/>
        <v>0</v>
      </c>
      <c r="N268" s="24">
        <f>IF(M268&lt;=0,0,IF($E$2-A268&lt;12,(M268-E268)*Dashboard!$B$18,IF($Q$2+A268&gt;=$R$2,MAX(0,M268-E268*POWER(1+$C$2,$E$2-A268))*MAX(Dashboard!$C$18,Dashboard!$B$18),IF($S$2&lt;$R$2,(M268-E268)*0.5*Dashboard!$B$18,(E268*POWER(1+$A$2,$R$2-($Q$2+A268))-E268)*0.5*Dashboard!$B$18+MAX(0,M268-E268*POWER(1+$A$2,$R$2-($Q$2+A268))*POWER(1+$C$2,$S$2-$R$2))*MAX(Dashboard!$C$18,Dashboard!$B$18)))))</f>
        <v>0</v>
      </c>
    </row>
    <row r="269" spans="1:14" x14ac:dyDescent="0.2">
      <c r="A269" s="22">
        <f t="shared" si="52"/>
        <v>264</v>
      </c>
      <c r="B269" s="23">
        <f t="shared" si="53"/>
        <v>40.054794520547972</v>
      </c>
      <c r="C269" t="str">
        <f t="shared" si="44"/>
        <v>40 y 0.66 m</v>
      </c>
      <c r="D269" s="24">
        <f>IF(A269&gt;=$E$2,IF(A269&lt;$E$2+$H$2,$P$2,0),IF(B269&lt;Dashboard!$I$6,0,IF(A269&gt;=$F$2,Dashboard!$C$22*POWER(1+$C$2,A269-$F$2),Dashboard!$C$22)))</f>
        <v>0</v>
      </c>
      <c r="E269" s="24">
        <f>IF(A269&gt;=$F$2,0,IF(A269=0,Dashboard!$G$10,IF(B269&lt;Dashboard!$I$6,IF($J$2&lt;=Dashboard!$H$10,Dashboard!$H$10,MAX(Dashboard!$H$10,MIN($J$2,Dashboard!$H$10*POWER($J$2/Dashboard!$H$10,A269/$D$2)))),$I$2-D269-Dashboard!$I$10-Dashboard!$J$10-Dashboard!$F$10*$I$2)))</f>
        <v>6881.8</v>
      </c>
      <c r="F269" s="24">
        <f t="shared" si="45"/>
        <v>0</v>
      </c>
      <c r="G269" s="24">
        <f t="shared" si="46"/>
        <v>0</v>
      </c>
      <c r="H269" s="24">
        <f t="shared" si="47"/>
        <v>0</v>
      </c>
      <c r="I269" s="24">
        <f t="shared" si="48"/>
        <v>6881.8</v>
      </c>
      <c r="J269" s="25">
        <f t="shared" si="49"/>
        <v>7.9741404289037643E-3</v>
      </c>
      <c r="K269" s="24">
        <f t="shared" si="54"/>
        <v>1308182.7755454704</v>
      </c>
      <c r="L269" s="24" t="str">
        <f t="shared" si="50"/>
        <v/>
      </c>
      <c r="M269" s="24">
        <f t="shared" si="51"/>
        <v>0</v>
      </c>
      <c r="N269" s="24">
        <f>IF(M269&lt;=0,0,IF($E$2-A269&lt;12,(M269-E269)*Dashboard!$B$18,IF($Q$2+A269&gt;=$R$2,MAX(0,M269-E269*POWER(1+$C$2,$E$2-A269))*MAX(Dashboard!$C$18,Dashboard!$B$18),IF($S$2&lt;$R$2,(M269-E269)*0.5*Dashboard!$B$18,(E269*POWER(1+$A$2,$R$2-($Q$2+A269))-E269)*0.5*Dashboard!$B$18+MAX(0,M269-E269*POWER(1+$A$2,$R$2-($Q$2+A269))*POWER(1+$C$2,$S$2-$R$2))*MAX(Dashboard!$C$18,Dashboard!$B$18)))))</f>
        <v>0</v>
      </c>
    </row>
    <row r="270" spans="1:14" x14ac:dyDescent="0.2">
      <c r="A270" s="22">
        <f t="shared" si="52"/>
        <v>265</v>
      </c>
      <c r="B270" s="23">
        <f t="shared" si="53"/>
        <v>40.138127853881308</v>
      </c>
      <c r="C270" t="str">
        <f t="shared" si="44"/>
        <v>40 y 1.66 m</v>
      </c>
      <c r="D270" s="24">
        <f>IF(A270&gt;=$E$2,IF(A270&lt;$E$2+$H$2,$P$2,0),IF(B270&lt;Dashboard!$I$6,0,IF(A270&gt;=$F$2,Dashboard!$C$22*POWER(1+$C$2,A270-$F$2),Dashboard!$C$22)))</f>
        <v>0</v>
      </c>
      <c r="E270" s="24">
        <f>IF(A270&gt;=$F$2,0,IF(A270=0,Dashboard!$G$10,IF(B270&lt;Dashboard!$I$6,IF($J$2&lt;=Dashboard!$H$10,Dashboard!$H$10,MAX(Dashboard!$H$10,MIN($J$2,Dashboard!$H$10*POWER($J$2/Dashboard!$H$10,A270/$D$2)))),$I$2-D270-Dashboard!$I$10-Dashboard!$J$10-Dashboard!$F$10*$I$2)))</f>
        <v>6881.8</v>
      </c>
      <c r="F270" s="24">
        <f t="shared" si="45"/>
        <v>0</v>
      </c>
      <c r="G270" s="24">
        <f t="shared" si="46"/>
        <v>0</v>
      </c>
      <c r="H270" s="24">
        <f t="shared" si="47"/>
        <v>0</v>
      </c>
      <c r="I270" s="24">
        <f t="shared" si="48"/>
        <v>6881.8</v>
      </c>
      <c r="J270" s="25">
        <f t="shared" si="49"/>
        <v>7.9741404289037643E-3</v>
      </c>
      <c r="K270" s="24">
        <f t="shared" si="54"/>
        <v>1325551.0851439468</v>
      </c>
      <c r="L270" s="24" t="str">
        <f t="shared" si="50"/>
        <v/>
      </c>
      <c r="M270" s="24">
        <f t="shared" si="51"/>
        <v>0</v>
      </c>
      <c r="N270" s="24">
        <f>IF(M270&lt;=0,0,IF($E$2-A270&lt;12,(M270-E270)*Dashboard!$B$18,IF($Q$2+A270&gt;=$R$2,MAX(0,M270-E270*POWER(1+$C$2,$E$2-A270))*MAX(Dashboard!$C$18,Dashboard!$B$18),IF($S$2&lt;$R$2,(M270-E270)*0.5*Dashboard!$B$18,(E270*POWER(1+$A$2,$R$2-($Q$2+A270))-E270)*0.5*Dashboard!$B$18+MAX(0,M270-E270*POWER(1+$A$2,$R$2-($Q$2+A270))*POWER(1+$C$2,$S$2-$R$2))*MAX(Dashboard!$C$18,Dashboard!$B$18)))))</f>
        <v>0</v>
      </c>
    </row>
    <row r="271" spans="1:14" x14ac:dyDescent="0.2">
      <c r="A271" s="22">
        <f t="shared" si="52"/>
        <v>266</v>
      </c>
      <c r="B271" s="23">
        <f t="shared" si="53"/>
        <v>40.221461187214643</v>
      </c>
      <c r="C271" t="str">
        <f t="shared" si="44"/>
        <v>40 y 2.66 m</v>
      </c>
      <c r="D271" s="24">
        <f>IF(A271&gt;=$E$2,IF(A271&lt;$E$2+$H$2,$P$2,0),IF(B271&lt;Dashboard!$I$6,0,IF(A271&gt;=$F$2,Dashboard!$C$22*POWER(1+$C$2,A271-$F$2),Dashboard!$C$22)))</f>
        <v>0</v>
      </c>
      <c r="E271" s="24">
        <f>IF(A271&gt;=$F$2,0,IF(A271=0,Dashboard!$G$10,IF(B271&lt;Dashboard!$I$6,IF($J$2&lt;=Dashboard!$H$10,Dashboard!$H$10,MAX(Dashboard!$H$10,MIN($J$2,Dashboard!$H$10*POWER($J$2/Dashboard!$H$10,A271/$D$2)))),$I$2-D271-Dashboard!$I$10-Dashboard!$J$10-Dashboard!$F$10*$I$2)))</f>
        <v>6881.8</v>
      </c>
      <c r="F271" s="24">
        <f t="shared" si="45"/>
        <v>0</v>
      </c>
      <c r="G271" s="24">
        <f t="shared" si="46"/>
        <v>0</v>
      </c>
      <c r="H271" s="24">
        <f t="shared" si="47"/>
        <v>0</v>
      </c>
      <c r="I271" s="24">
        <f t="shared" si="48"/>
        <v>6881.8</v>
      </c>
      <c r="J271" s="25">
        <f t="shared" si="49"/>
        <v>7.9741404289037643E-3</v>
      </c>
      <c r="K271" s="24">
        <f t="shared" si="54"/>
        <v>1343057.8920821741</v>
      </c>
      <c r="L271" s="24" t="str">
        <f t="shared" si="50"/>
        <v/>
      </c>
      <c r="M271" s="24">
        <f t="shared" si="51"/>
        <v>0</v>
      </c>
      <c r="N271" s="24">
        <f>IF(M271&lt;=0,0,IF($E$2-A271&lt;12,(M271-E271)*Dashboard!$B$18,IF($Q$2+A271&gt;=$R$2,MAX(0,M271-E271*POWER(1+$C$2,$E$2-A271))*MAX(Dashboard!$C$18,Dashboard!$B$18),IF($S$2&lt;$R$2,(M271-E271)*0.5*Dashboard!$B$18,(E271*POWER(1+$A$2,$R$2-($Q$2+A271))-E271)*0.5*Dashboard!$B$18+MAX(0,M271-E271*POWER(1+$A$2,$R$2-($Q$2+A271))*POWER(1+$C$2,$S$2-$R$2))*MAX(Dashboard!$C$18,Dashboard!$B$18)))))</f>
        <v>0</v>
      </c>
    </row>
    <row r="272" spans="1:14" x14ac:dyDescent="0.2">
      <c r="A272" s="22">
        <f t="shared" si="52"/>
        <v>267</v>
      </c>
      <c r="B272" s="23">
        <f t="shared" si="53"/>
        <v>40.304794520547979</v>
      </c>
      <c r="C272" t="str">
        <f t="shared" si="44"/>
        <v>40 y 3.66 m</v>
      </c>
      <c r="D272" s="24">
        <f>IF(A272&gt;=$E$2,IF(A272&lt;$E$2+$H$2,$P$2,0),IF(B272&lt;Dashboard!$I$6,0,IF(A272&gt;=$F$2,Dashboard!$C$22*POWER(1+$C$2,A272-$F$2),Dashboard!$C$22)))</f>
        <v>0</v>
      </c>
      <c r="E272" s="24">
        <f>IF(A272&gt;=$F$2,0,IF(A272=0,Dashboard!$G$10,IF(B272&lt;Dashboard!$I$6,IF($J$2&lt;=Dashboard!$H$10,Dashboard!$H$10,MAX(Dashboard!$H$10,MIN($J$2,Dashboard!$H$10*POWER($J$2/Dashboard!$H$10,A272/$D$2)))),$I$2-D272-Dashboard!$I$10-Dashboard!$J$10-Dashboard!$F$10*$I$2)))</f>
        <v>6881.8</v>
      </c>
      <c r="F272" s="24">
        <f t="shared" si="45"/>
        <v>0</v>
      </c>
      <c r="G272" s="24">
        <f t="shared" si="46"/>
        <v>0</v>
      </c>
      <c r="H272" s="24">
        <f t="shared" si="47"/>
        <v>0</v>
      </c>
      <c r="I272" s="24">
        <f t="shared" si="48"/>
        <v>6881.8</v>
      </c>
      <c r="J272" s="25">
        <f t="shared" si="49"/>
        <v>7.9741404289037643E-3</v>
      </c>
      <c r="K272" s="24">
        <f t="shared" si="54"/>
        <v>1360704.3007573886</v>
      </c>
      <c r="L272" s="24" t="str">
        <f t="shared" si="50"/>
        <v/>
      </c>
      <c r="M272" s="24">
        <f t="shared" si="51"/>
        <v>0</v>
      </c>
      <c r="N272" s="24">
        <f>IF(M272&lt;=0,0,IF($E$2-A272&lt;12,(M272-E272)*Dashboard!$B$18,IF($Q$2+A272&gt;=$R$2,MAX(0,M272-E272*POWER(1+$C$2,$E$2-A272))*MAX(Dashboard!$C$18,Dashboard!$B$18),IF($S$2&lt;$R$2,(M272-E272)*0.5*Dashboard!$B$18,(E272*POWER(1+$A$2,$R$2-($Q$2+A272))-E272)*0.5*Dashboard!$B$18+MAX(0,M272-E272*POWER(1+$A$2,$R$2-($Q$2+A272))*POWER(1+$C$2,$S$2-$R$2))*MAX(Dashboard!$C$18,Dashboard!$B$18)))))</f>
        <v>0</v>
      </c>
    </row>
    <row r="273" spans="1:14" x14ac:dyDescent="0.2">
      <c r="A273" s="22">
        <f t="shared" si="52"/>
        <v>268</v>
      </c>
      <c r="B273" s="23">
        <f t="shared" si="53"/>
        <v>40.388127853881315</v>
      </c>
      <c r="C273" t="str">
        <f t="shared" si="44"/>
        <v>40 y 4.66 m</v>
      </c>
      <c r="D273" s="24">
        <f>IF(A273&gt;=$E$2,IF(A273&lt;$E$2+$H$2,$P$2,0),IF(B273&lt;Dashboard!$I$6,0,IF(A273&gt;=$F$2,Dashboard!$C$22*POWER(1+$C$2,A273-$F$2),Dashboard!$C$22)))</f>
        <v>0</v>
      </c>
      <c r="E273" s="24">
        <f>IF(A273&gt;=$F$2,0,IF(A273=0,Dashboard!$G$10,IF(B273&lt;Dashboard!$I$6,IF($J$2&lt;=Dashboard!$H$10,Dashboard!$H$10,MAX(Dashboard!$H$10,MIN($J$2,Dashboard!$H$10*POWER($J$2/Dashboard!$H$10,A273/$D$2)))),$I$2-D273-Dashboard!$I$10-Dashboard!$J$10-Dashboard!$F$10*$I$2)))</f>
        <v>6881.8</v>
      </c>
      <c r="F273" s="24">
        <f t="shared" si="45"/>
        <v>0</v>
      </c>
      <c r="G273" s="24">
        <f t="shared" si="46"/>
        <v>0</v>
      </c>
      <c r="H273" s="24">
        <f t="shared" si="47"/>
        <v>0</v>
      </c>
      <c r="I273" s="24">
        <f t="shared" si="48"/>
        <v>6881.8</v>
      </c>
      <c r="J273" s="25">
        <f t="shared" si="49"/>
        <v>7.9741404289037643E-3</v>
      </c>
      <c r="K273" s="24">
        <f t="shared" si="54"/>
        <v>1378491.4243734449</v>
      </c>
      <c r="L273" s="24" t="str">
        <f t="shared" si="50"/>
        <v/>
      </c>
      <c r="M273" s="24">
        <f t="shared" si="51"/>
        <v>0</v>
      </c>
      <c r="N273" s="24">
        <f>IF(M273&lt;=0,0,IF($E$2-A273&lt;12,(M273-E273)*Dashboard!$B$18,IF($Q$2+A273&gt;=$R$2,MAX(0,M273-E273*POWER(1+$C$2,$E$2-A273))*MAX(Dashboard!$C$18,Dashboard!$B$18),IF($S$2&lt;$R$2,(M273-E273)*0.5*Dashboard!$B$18,(E273*POWER(1+$A$2,$R$2-($Q$2+A273))-E273)*0.5*Dashboard!$B$18+MAX(0,M273-E273*POWER(1+$A$2,$R$2-($Q$2+A273))*POWER(1+$C$2,$S$2-$R$2))*MAX(Dashboard!$C$18,Dashboard!$B$18)))))</f>
        <v>0</v>
      </c>
    </row>
    <row r="274" spans="1:14" x14ac:dyDescent="0.2">
      <c r="A274" s="22">
        <f t="shared" si="52"/>
        <v>269</v>
      </c>
      <c r="B274" s="23">
        <f t="shared" si="53"/>
        <v>40.471461187214651</v>
      </c>
      <c r="C274" t="str">
        <f t="shared" si="44"/>
        <v>40 y 5.66 m</v>
      </c>
      <c r="D274" s="24">
        <f>IF(A274&gt;=$E$2,IF(A274&lt;$E$2+$H$2,$P$2,0),IF(B274&lt;Dashboard!$I$6,0,IF(A274&gt;=$F$2,Dashboard!$C$22*POWER(1+$C$2,A274-$F$2),Dashboard!$C$22)))</f>
        <v>0</v>
      </c>
      <c r="E274" s="24">
        <f>IF(A274&gt;=$F$2,0,IF(A274=0,Dashboard!$G$10,IF(B274&lt;Dashboard!$I$6,IF($J$2&lt;=Dashboard!$H$10,Dashboard!$H$10,MAX(Dashboard!$H$10,MIN($J$2,Dashboard!$H$10*POWER($J$2/Dashboard!$H$10,A274/$D$2)))),$I$2-D274-Dashboard!$I$10-Dashboard!$J$10-Dashboard!$F$10*$I$2)))</f>
        <v>6881.8</v>
      </c>
      <c r="F274" s="24">
        <f t="shared" si="45"/>
        <v>0</v>
      </c>
      <c r="G274" s="24">
        <f t="shared" si="46"/>
        <v>0</v>
      </c>
      <c r="H274" s="24">
        <f t="shared" si="47"/>
        <v>0</v>
      </c>
      <c r="I274" s="24">
        <f t="shared" si="48"/>
        <v>6881.8</v>
      </c>
      <c r="J274" s="25">
        <f t="shared" si="49"/>
        <v>7.9741404289037643E-3</v>
      </c>
      <c r="K274" s="24">
        <f t="shared" si="54"/>
        <v>1396420.385011042</v>
      </c>
      <c r="L274" s="24" t="str">
        <f t="shared" si="50"/>
        <v/>
      </c>
      <c r="M274" s="24">
        <f t="shared" si="51"/>
        <v>0</v>
      </c>
      <c r="N274" s="24">
        <f>IF(M274&lt;=0,0,IF($E$2-A274&lt;12,(M274-E274)*Dashboard!$B$18,IF($Q$2+A274&gt;=$R$2,MAX(0,M274-E274*POWER(1+$C$2,$E$2-A274))*MAX(Dashboard!$C$18,Dashboard!$B$18),IF($S$2&lt;$R$2,(M274-E274)*0.5*Dashboard!$B$18,(E274*POWER(1+$A$2,$R$2-($Q$2+A274))-E274)*0.5*Dashboard!$B$18+MAX(0,M274-E274*POWER(1+$A$2,$R$2-($Q$2+A274))*POWER(1+$C$2,$S$2-$R$2))*MAX(Dashboard!$C$18,Dashboard!$B$18)))))</f>
        <v>0</v>
      </c>
    </row>
    <row r="275" spans="1:14" x14ac:dyDescent="0.2">
      <c r="A275" s="22">
        <f t="shared" si="52"/>
        <v>270</v>
      </c>
      <c r="B275" s="23">
        <f t="shared" si="53"/>
        <v>40.554794520547986</v>
      </c>
      <c r="C275" t="str">
        <f t="shared" si="44"/>
        <v>40 y 6.66 m</v>
      </c>
      <c r="D275" s="24">
        <f>IF(A275&gt;=$E$2,IF(A275&lt;$E$2+$H$2,$P$2,0),IF(B275&lt;Dashboard!$I$6,0,IF(A275&gt;=$F$2,Dashboard!$C$22*POWER(1+$C$2,A275-$F$2),Dashboard!$C$22)))</f>
        <v>0</v>
      </c>
      <c r="E275" s="24">
        <f>IF(A275&gt;=$F$2,0,IF(A275=0,Dashboard!$G$10,IF(B275&lt;Dashboard!$I$6,IF($J$2&lt;=Dashboard!$H$10,Dashboard!$H$10,MAX(Dashboard!$H$10,MIN($J$2,Dashboard!$H$10*POWER($J$2/Dashboard!$H$10,A275/$D$2)))),$I$2-D275-Dashboard!$I$10-Dashboard!$J$10-Dashboard!$F$10*$I$2)))</f>
        <v>6881.8</v>
      </c>
      <c r="F275" s="24">
        <f t="shared" si="45"/>
        <v>0</v>
      </c>
      <c r="G275" s="24">
        <f t="shared" si="46"/>
        <v>0</v>
      </c>
      <c r="H275" s="24">
        <f t="shared" si="47"/>
        <v>0</v>
      </c>
      <c r="I275" s="24">
        <f t="shared" si="48"/>
        <v>6881.8</v>
      </c>
      <c r="J275" s="25">
        <f t="shared" si="49"/>
        <v>7.9741404289037643E-3</v>
      </c>
      <c r="K275" s="24">
        <f t="shared" si="54"/>
        <v>1414492.3136985076</v>
      </c>
      <c r="L275" s="24" t="str">
        <f t="shared" si="50"/>
        <v/>
      </c>
      <c r="M275" s="24">
        <f t="shared" si="51"/>
        <v>0</v>
      </c>
      <c r="N275" s="24">
        <f>IF(M275&lt;=0,0,IF($E$2-A275&lt;12,(M275-E275)*Dashboard!$B$18,IF($Q$2+A275&gt;=$R$2,MAX(0,M275-E275*POWER(1+$C$2,$E$2-A275))*MAX(Dashboard!$C$18,Dashboard!$B$18),IF($S$2&lt;$R$2,(M275-E275)*0.5*Dashboard!$B$18,(E275*POWER(1+$A$2,$R$2-($Q$2+A275))-E275)*0.5*Dashboard!$B$18+MAX(0,M275-E275*POWER(1+$A$2,$R$2-($Q$2+A275))*POWER(1+$C$2,$S$2-$R$2))*MAX(Dashboard!$C$18,Dashboard!$B$18)))))</f>
        <v>0</v>
      </c>
    </row>
    <row r="276" spans="1:14" x14ac:dyDescent="0.2">
      <c r="A276" s="22">
        <f t="shared" si="52"/>
        <v>271</v>
      </c>
      <c r="B276" s="23">
        <f t="shared" si="53"/>
        <v>40.638127853881322</v>
      </c>
      <c r="C276" t="str">
        <f t="shared" si="44"/>
        <v>40 y 7.66 m</v>
      </c>
      <c r="D276" s="24">
        <f>IF(A276&gt;=$E$2,IF(A276&lt;$E$2+$H$2,$P$2,0),IF(B276&lt;Dashboard!$I$6,0,IF(A276&gt;=$F$2,Dashboard!$C$22*POWER(1+$C$2,A276-$F$2),Dashboard!$C$22)))</f>
        <v>0</v>
      </c>
      <c r="E276" s="24">
        <f>IF(A276&gt;=$F$2,0,IF(A276=0,Dashboard!$G$10,IF(B276&lt;Dashboard!$I$6,IF($J$2&lt;=Dashboard!$H$10,Dashboard!$H$10,MAX(Dashboard!$H$10,MIN($J$2,Dashboard!$H$10*POWER($J$2/Dashboard!$H$10,A276/$D$2)))),$I$2-D276-Dashboard!$I$10-Dashboard!$J$10-Dashboard!$F$10*$I$2)))</f>
        <v>6881.8</v>
      </c>
      <c r="F276" s="24">
        <f t="shared" si="45"/>
        <v>0</v>
      </c>
      <c r="G276" s="24">
        <f t="shared" si="46"/>
        <v>0</v>
      </c>
      <c r="H276" s="24">
        <f t="shared" si="47"/>
        <v>0</v>
      </c>
      <c r="I276" s="24">
        <f t="shared" si="48"/>
        <v>6881.8</v>
      </c>
      <c r="J276" s="25">
        <f t="shared" si="49"/>
        <v>7.9741404289037643E-3</v>
      </c>
      <c r="K276" s="24">
        <f t="shared" si="54"/>
        <v>1432708.3504831481</v>
      </c>
      <c r="L276" s="24" t="str">
        <f t="shared" si="50"/>
        <v/>
      </c>
      <c r="M276" s="24">
        <f t="shared" si="51"/>
        <v>0</v>
      </c>
      <c r="N276" s="24">
        <f>IF(M276&lt;=0,0,IF($E$2-A276&lt;12,(M276-E276)*Dashboard!$B$18,IF($Q$2+A276&gt;=$R$2,MAX(0,M276-E276*POWER(1+$C$2,$E$2-A276))*MAX(Dashboard!$C$18,Dashboard!$B$18),IF($S$2&lt;$R$2,(M276-E276)*0.5*Dashboard!$B$18,(E276*POWER(1+$A$2,$R$2-($Q$2+A276))-E276)*0.5*Dashboard!$B$18+MAX(0,M276-E276*POWER(1+$A$2,$R$2-($Q$2+A276))*POWER(1+$C$2,$S$2-$R$2))*MAX(Dashboard!$C$18,Dashboard!$B$18)))))</f>
        <v>0</v>
      </c>
    </row>
    <row r="277" spans="1:14" x14ac:dyDescent="0.2">
      <c r="A277" s="22">
        <f t="shared" si="52"/>
        <v>272</v>
      </c>
      <c r="B277" s="23">
        <f t="shared" si="53"/>
        <v>40.721461187214658</v>
      </c>
      <c r="C277" t="str">
        <f t="shared" si="44"/>
        <v>40 y 8.66 m</v>
      </c>
      <c r="D277" s="24">
        <f>IF(A277&gt;=$E$2,IF(A277&lt;$E$2+$H$2,$P$2,0),IF(B277&lt;Dashboard!$I$6,0,IF(A277&gt;=$F$2,Dashboard!$C$22*POWER(1+$C$2,A277-$F$2),Dashboard!$C$22)))</f>
        <v>0</v>
      </c>
      <c r="E277" s="24">
        <f>IF(A277&gt;=$F$2,0,IF(A277=0,Dashboard!$G$10,IF(B277&lt;Dashboard!$I$6,IF($J$2&lt;=Dashboard!$H$10,Dashboard!$H$10,MAX(Dashboard!$H$10,MIN($J$2,Dashboard!$H$10*POWER($J$2/Dashboard!$H$10,A277/$D$2)))),$I$2-D277-Dashboard!$I$10-Dashboard!$J$10-Dashboard!$F$10*$I$2)))</f>
        <v>6881.8</v>
      </c>
      <c r="F277" s="24">
        <f t="shared" si="45"/>
        <v>0</v>
      </c>
      <c r="G277" s="24">
        <f t="shared" si="46"/>
        <v>0</v>
      </c>
      <c r="H277" s="24">
        <f t="shared" si="47"/>
        <v>0</v>
      </c>
      <c r="I277" s="24">
        <f t="shared" si="48"/>
        <v>6881.8</v>
      </c>
      <c r="J277" s="25">
        <f t="shared" si="49"/>
        <v>7.9741404289037643E-3</v>
      </c>
      <c r="K277" s="24">
        <f t="shared" si="54"/>
        <v>1451069.6445031676</v>
      </c>
      <c r="L277" s="24" t="str">
        <f t="shared" si="50"/>
        <v/>
      </c>
      <c r="M277" s="24">
        <f t="shared" si="51"/>
        <v>0</v>
      </c>
      <c r="N277" s="24">
        <f>IF(M277&lt;=0,0,IF($E$2-A277&lt;12,(M277-E277)*Dashboard!$B$18,IF($Q$2+A277&gt;=$R$2,MAX(0,M277-E277*POWER(1+$C$2,$E$2-A277))*MAX(Dashboard!$C$18,Dashboard!$B$18),IF($S$2&lt;$R$2,(M277-E277)*0.5*Dashboard!$B$18,(E277*POWER(1+$A$2,$R$2-($Q$2+A277))-E277)*0.5*Dashboard!$B$18+MAX(0,M277-E277*POWER(1+$A$2,$R$2-($Q$2+A277))*POWER(1+$C$2,$S$2-$R$2))*MAX(Dashboard!$C$18,Dashboard!$B$18)))))</f>
        <v>0</v>
      </c>
    </row>
    <row r="278" spans="1:14" x14ac:dyDescent="0.2">
      <c r="A278" s="22">
        <f t="shared" si="52"/>
        <v>273</v>
      </c>
      <c r="B278" s="23">
        <f t="shared" si="53"/>
        <v>40.804794520547993</v>
      </c>
      <c r="C278" t="str">
        <f t="shared" si="44"/>
        <v>40 y 9.66 m</v>
      </c>
      <c r="D278" s="24">
        <f>IF(A278&gt;=$E$2,IF(A278&lt;$E$2+$H$2,$P$2,0),IF(B278&lt;Dashboard!$I$6,0,IF(A278&gt;=$F$2,Dashboard!$C$22*POWER(1+$C$2,A278-$F$2),Dashboard!$C$22)))</f>
        <v>0</v>
      </c>
      <c r="E278" s="24">
        <f>IF(A278&gt;=$F$2,0,IF(A278=0,Dashboard!$G$10,IF(B278&lt;Dashboard!$I$6,IF($J$2&lt;=Dashboard!$H$10,Dashboard!$H$10,MAX(Dashboard!$H$10,MIN($J$2,Dashboard!$H$10*POWER($J$2/Dashboard!$H$10,A278/$D$2)))),$I$2-D278-Dashboard!$I$10-Dashboard!$J$10-Dashboard!$F$10*$I$2)))</f>
        <v>6881.8</v>
      </c>
      <c r="F278" s="24">
        <f t="shared" si="45"/>
        <v>0</v>
      </c>
      <c r="G278" s="24">
        <f t="shared" si="46"/>
        <v>0</v>
      </c>
      <c r="H278" s="24">
        <f t="shared" si="47"/>
        <v>0</v>
      </c>
      <c r="I278" s="24">
        <f t="shared" si="48"/>
        <v>6881.8</v>
      </c>
      <c r="J278" s="25">
        <f t="shared" si="49"/>
        <v>7.9741404289037643E-3</v>
      </c>
      <c r="K278" s="24">
        <f t="shared" si="54"/>
        <v>1469577.3540601591</v>
      </c>
      <c r="L278" s="24" t="str">
        <f t="shared" si="50"/>
        <v/>
      </c>
      <c r="M278" s="24">
        <f t="shared" si="51"/>
        <v>0</v>
      </c>
      <c r="N278" s="24">
        <f>IF(M278&lt;=0,0,IF($E$2-A278&lt;12,(M278-E278)*Dashboard!$B$18,IF($Q$2+A278&gt;=$R$2,MAX(0,M278-E278*POWER(1+$C$2,$E$2-A278))*MAX(Dashboard!$C$18,Dashboard!$B$18),IF($S$2&lt;$R$2,(M278-E278)*0.5*Dashboard!$B$18,(E278*POWER(1+$A$2,$R$2-($Q$2+A278))-E278)*0.5*Dashboard!$B$18+MAX(0,M278-E278*POWER(1+$A$2,$R$2-($Q$2+A278))*POWER(1+$C$2,$S$2-$R$2))*MAX(Dashboard!$C$18,Dashboard!$B$18)))))</f>
        <v>0</v>
      </c>
    </row>
    <row r="279" spans="1:14" x14ac:dyDescent="0.2">
      <c r="A279" s="22">
        <f t="shared" si="52"/>
        <v>274</v>
      </c>
      <c r="B279" s="23">
        <f t="shared" si="53"/>
        <v>40.888127853881329</v>
      </c>
      <c r="C279" t="str">
        <f t="shared" si="44"/>
        <v>40 y 10.66 m</v>
      </c>
      <c r="D279" s="24">
        <f>IF(A279&gt;=$E$2,IF(A279&lt;$E$2+$H$2,$P$2,0),IF(B279&lt;Dashboard!$I$6,0,IF(A279&gt;=$F$2,Dashboard!$C$22*POWER(1+$C$2,A279-$F$2),Dashboard!$C$22)))</f>
        <v>0</v>
      </c>
      <c r="E279" s="24">
        <f>IF(A279&gt;=$F$2,0,IF(A279=0,Dashboard!$G$10,IF(B279&lt;Dashboard!$I$6,IF($J$2&lt;=Dashboard!$H$10,Dashboard!$H$10,MAX(Dashboard!$H$10,MIN($J$2,Dashboard!$H$10*POWER($J$2/Dashboard!$H$10,A279/$D$2)))),$I$2-D279-Dashboard!$I$10-Dashboard!$J$10-Dashboard!$F$10*$I$2)))</f>
        <v>6881.8</v>
      </c>
      <c r="F279" s="24">
        <f t="shared" si="45"/>
        <v>0</v>
      </c>
      <c r="G279" s="24">
        <f t="shared" si="46"/>
        <v>0</v>
      </c>
      <c r="H279" s="24">
        <f t="shared" si="47"/>
        <v>0</v>
      </c>
      <c r="I279" s="24">
        <f t="shared" si="48"/>
        <v>6881.8</v>
      </c>
      <c r="J279" s="25">
        <f t="shared" si="49"/>
        <v>7.9741404289037643E-3</v>
      </c>
      <c r="K279" s="24">
        <f t="shared" si="54"/>
        <v>1488232.6466921752</v>
      </c>
      <c r="L279" s="24" t="str">
        <f t="shared" si="50"/>
        <v/>
      </c>
      <c r="M279" s="24">
        <f t="shared" si="51"/>
        <v>0</v>
      </c>
      <c r="N279" s="24">
        <f>IF(M279&lt;=0,0,IF($E$2-A279&lt;12,(M279-E279)*Dashboard!$B$18,IF($Q$2+A279&gt;=$R$2,MAX(0,M279-E279*POWER(1+$C$2,$E$2-A279))*MAX(Dashboard!$C$18,Dashboard!$B$18),IF($S$2&lt;$R$2,(M279-E279)*0.5*Dashboard!$B$18,(E279*POWER(1+$A$2,$R$2-($Q$2+A279))-E279)*0.5*Dashboard!$B$18+MAX(0,M279-E279*POWER(1+$A$2,$R$2-($Q$2+A279))*POWER(1+$C$2,$S$2-$R$2))*MAX(Dashboard!$C$18,Dashboard!$B$18)))))</f>
        <v>0</v>
      </c>
    </row>
    <row r="280" spans="1:14" x14ac:dyDescent="0.2">
      <c r="A280" s="22">
        <f t="shared" si="52"/>
        <v>275</v>
      </c>
      <c r="B280" s="23">
        <f t="shared" si="53"/>
        <v>40.971461187214665</v>
      </c>
      <c r="C280" t="str">
        <f t="shared" si="44"/>
        <v>40 y 11.66 m</v>
      </c>
      <c r="D280" s="24">
        <f>IF(A280&gt;=$E$2,IF(A280&lt;$E$2+$H$2,$P$2,0),IF(B280&lt;Dashboard!$I$6,0,IF(A280&gt;=$F$2,Dashboard!$C$22*POWER(1+$C$2,A280-$F$2),Dashboard!$C$22)))</f>
        <v>0</v>
      </c>
      <c r="E280" s="24">
        <f>IF(A280&gt;=$F$2,0,IF(A280=0,Dashboard!$G$10,IF(B280&lt;Dashboard!$I$6,IF($J$2&lt;=Dashboard!$H$10,Dashboard!$H$10,MAX(Dashboard!$H$10,MIN($J$2,Dashboard!$H$10*POWER($J$2/Dashboard!$H$10,A280/$D$2)))),$I$2-D280-Dashboard!$I$10-Dashboard!$J$10-Dashboard!$F$10*$I$2)))</f>
        <v>6881.8</v>
      </c>
      <c r="F280" s="24">
        <f t="shared" si="45"/>
        <v>0</v>
      </c>
      <c r="G280" s="24">
        <f t="shared" si="46"/>
        <v>0</v>
      </c>
      <c r="H280" s="24">
        <f t="shared" si="47"/>
        <v>0</v>
      </c>
      <c r="I280" s="24">
        <f t="shared" si="48"/>
        <v>6881.8</v>
      </c>
      <c r="J280" s="25">
        <f t="shared" si="49"/>
        <v>7.9741404289037643E-3</v>
      </c>
      <c r="K280" s="24">
        <f t="shared" si="54"/>
        <v>1507036.6992473814</v>
      </c>
      <c r="L280" s="24" t="str">
        <f t="shared" si="50"/>
        <v/>
      </c>
      <c r="M280" s="24">
        <f t="shared" si="51"/>
        <v>0</v>
      </c>
      <c r="N280" s="24">
        <f>IF(M280&lt;=0,0,IF($E$2-A280&lt;12,(M280-E280)*Dashboard!$B$18,IF($Q$2+A280&gt;=$R$2,MAX(0,M280-E280*POWER(1+$C$2,$E$2-A280))*MAX(Dashboard!$C$18,Dashboard!$B$18),IF($S$2&lt;$R$2,(M280-E280)*0.5*Dashboard!$B$18,(E280*POWER(1+$A$2,$R$2-($Q$2+A280))-E280)*0.5*Dashboard!$B$18+MAX(0,M280-E280*POWER(1+$A$2,$R$2-($Q$2+A280))*POWER(1+$C$2,$S$2-$R$2))*MAX(Dashboard!$C$18,Dashboard!$B$18)))))</f>
        <v>0</v>
      </c>
    </row>
    <row r="281" spans="1:14" x14ac:dyDescent="0.2">
      <c r="A281" s="22">
        <f t="shared" si="52"/>
        <v>276</v>
      </c>
      <c r="B281" s="23">
        <f t="shared" si="53"/>
        <v>41.054794520548</v>
      </c>
      <c r="C281" t="str">
        <f t="shared" si="44"/>
        <v>41 y 0.66 m</v>
      </c>
      <c r="D281" s="24">
        <f>IF(A281&gt;=$E$2,IF(A281&lt;$E$2+$H$2,$P$2,0),IF(B281&lt;Dashboard!$I$6,0,IF(A281&gt;=$F$2,Dashboard!$C$22*POWER(1+$C$2,A281-$F$2),Dashboard!$C$22)))</f>
        <v>0</v>
      </c>
      <c r="E281" s="24">
        <f>IF(A281&gt;=$F$2,0,IF(A281=0,Dashboard!$G$10,IF(B281&lt;Dashboard!$I$6,IF($J$2&lt;=Dashboard!$H$10,Dashboard!$H$10,MAX(Dashboard!$H$10,MIN($J$2,Dashboard!$H$10*POWER($J$2/Dashboard!$H$10,A281/$D$2)))),$I$2-D281-Dashboard!$I$10-Dashboard!$J$10-Dashboard!$F$10*$I$2)))</f>
        <v>6881.8</v>
      </c>
      <c r="F281" s="24">
        <f t="shared" si="45"/>
        <v>0</v>
      </c>
      <c r="G281" s="24">
        <f t="shared" si="46"/>
        <v>0</v>
      </c>
      <c r="H281" s="24">
        <f t="shared" si="47"/>
        <v>0</v>
      </c>
      <c r="I281" s="24">
        <f t="shared" si="48"/>
        <v>6881.8</v>
      </c>
      <c r="J281" s="25">
        <f t="shared" si="49"/>
        <v>7.9741404289037643E-3</v>
      </c>
      <c r="K281" s="24">
        <f t="shared" si="54"/>
        <v>1525990.6979582952</v>
      </c>
      <c r="L281" s="24" t="str">
        <f t="shared" si="50"/>
        <v/>
      </c>
      <c r="M281" s="24">
        <f t="shared" si="51"/>
        <v>0</v>
      </c>
      <c r="N281" s="24">
        <f>IF(M281&lt;=0,0,IF($E$2-A281&lt;12,(M281-E281)*Dashboard!$B$18,IF($Q$2+A281&gt;=$R$2,MAX(0,M281-E281*POWER(1+$C$2,$E$2-A281))*MAX(Dashboard!$C$18,Dashboard!$B$18),IF($S$2&lt;$R$2,(M281-E281)*0.5*Dashboard!$B$18,(E281*POWER(1+$A$2,$R$2-($Q$2+A281))-E281)*0.5*Dashboard!$B$18+MAX(0,M281-E281*POWER(1+$A$2,$R$2-($Q$2+A281))*POWER(1+$C$2,$S$2-$R$2))*MAX(Dashboard!$C$18,Dashboard!$B$18)))))</f>
        <v>0</v>
      </c>
    </row>
    <row r="282" spans="1:14" x14ac:dyDescent="0.2">
      <c r="A282" s="22">
        <f t="shared" si="52"/>
        <v>277</v>
      </c>
      <c r="B282" s="23">
        <f t="shared" si="53"/>
        <v>41.138127853881336</v>
      </c>
      <c r="C282" t="str">
        <f t="shared" si="44"/>
        <v>41 y 1.66 m</v>
      </c>
      <c r="D282" s="24">
        <f>IF(A282&gt;=$E$2,IF(A282&lt;$E$2+$H$2,$P$2,0),IF(B282&lt;Dashboard!$I$6,0,IF(A282&gt;=$F$2,Dashboard!$C$22*POWER(1+$C$2,A282-$F$2),Dashboard!$C$22)))</f>
        <v>0</v>
      </c>
      <c r="E282" s="24">
        <f>IF(A282&gt;=$F$2,0,IF(A282=0,Dashboard!$G$10,IF(B282&lt;Dashboard!$I$6,IF($J$2&lt;=Dashboard!$H$10,Dashboard!$H$10,MAX(Dashboard!$H$10,MIN($J$2,Dashboard!$H$10*POWER($J$2/Dashboard!$H$10,A282/$D$2)))),$I$2-D282-Dashboard!$I$10-Dashboard!$J$10-Dashboard!$F$10*$I$2)))</f>
        <v>6881.8</v>
      </c>
      <c r="F282" s="24">
        <f t="shared" si="45"/>
        <v>0</v>
      </c>
      <c r="G282" s="24">
        <f t="shared" si="46"/>
        <v>0</v>
      </c>
      <c r="H282" s="24">
        <f t="shared" si="47"/>
        <v>0</v>
      </c>
      <c r="I282" s="24">
        <f t="shared" si="48"/>
        <v>6881.8</v>
      </c>
      <c r="J282" s="25">
        <f t="shared" si="49"/>
        <v>7.9741404289037643E-3</v>
      </c>
      <c r="K282" s="24">
        <f t="shared" si="54"/>
        <v>1545095.8385166193</v>
      </c>
      <c r="L282" s="24" t="str">
        <f t="shared" si="50"/>
        <v/>
      </c>
      <c r="M282" s="24">
        <f t="shared" si="51"/>
        <v>0</v>
      </c>
      <c r="N282" s="24">
        <f>IF(M282&lt;=0,0,IF($E$2-A282&lt;12,(M282-E282)*Dashboard!$B$18,IF($Q$2+A282&gt;=$R$2,MAX(0,M282-E282*POWER(1+$C$2,$E$2-A282))*MAX(Dashboard!$C$18,Dashboard!$B$18),IF($S$2&lt;$R$2,(M282-E282)*0.5*Dashboard!$B$18,(E282*POWER(1+$A$2,$R$2-($Q$2+A282))-E282)*0.5*Dashboard!$B$18+MAX(0,M282-E282*POWER(1+$A$2,$R$2-($Q$2+A282))*POWER(1+$C$2,$S$2-$R$2))*MAX(Dashboard!$C$18,Dashboard!$B$18)))))</f>
        <v>0</v>
      </c>
    </row>
    <row r="283" spans="1:14" x14ac:dyDescent="0.2">
      <c r="A283" s="22">
        <f t="shared" si="52"/>
        <v>278</v>
      </c>
      <c r="B283" s="23">
        <f t="shared" si="53"/>
        <v>41.221461187214672</v>
      </c>
      <c r="C283" t="str">
        <f t="shared" si="44"/>
        <v>41 y 2.66 m</v>
      </c>
      <c r="D283" s="24">
        <f>IF(A283&gt;=$E$2,IF(A283&lt;$E$2+$H$2,$P$2,0),IF(B283&lt;Dashboard!$I$6,0,IF(A283&gt;=$F$2,Dashboard!$C$22*POWER(1+$C$2,A283-$F$2),Dashboard!$C$22)))</f>
        <v>0</v>
      </c>
      <c r="E283" s="24">
        <f>IF(A283&gt;=$F$2,0,IF(A283=0,Dashboard!$G$10,IF(B283&lt;Dashboard!$I$6,IF($J$2&lt;=Dashboard!$H$10,Dashboard!$H$10,MAX(Dashboard!$H$10,MIN($J$2,Dashboard!$H$10*POWER($J$2/Dashboard!$H$10,A283/$D$2)))),$I$2-D283-Dashboard!$I$10-Dashboard!$J$10-Dashboard!$F$10*$I$2)))</f>
        <v>6881.8</v>
      </c>
      <c r="F283" s="24">
        <f t="shared" si="45"/>
        <v>0</v>
      </c>
      <c r="G283" s="24">
        <f t="shared" si="46"/>
        <v>0</v>
      </c>
      <c r="H283" s="24">
        <f t="shared" si="47"/>
        <v>0</v>
      </c>
      <c r="I283" s="24">
        <f t="shared" si="48"/>
        <v>6881.8</v>
      </c>
      <c r="J283" s="25">
        <f t="shared" si="49"/>
        <v>7.9741404289037643E-3</v>
      </c>
      <c r="K283" s="24">
        <f t="shared" si="54"/>
        <v>1564353.3261486692</v>
      </c>
      <c r="L283" s="24" t="str">
        <f t="shared" si="50"/>
        <v/>
      </c>
      <c r="M283" s="24">
        <f t="shared" si="51"/>
        <v>0</v>
      </c>
      <c r="N283" s="24">
        <f>IF(M283&lt;=0,0,IF($E$2-A283&lt;12,(M283-E283)*Dashboard!$B$18,IF($Q$2+A283&gt;=$R$2,MAX(0,M283-E283*POWER(1+$C$2,$E$2-A283))*MAX(Dashboard!$C$18,Dashboard!$B$18),IF($S$2&lt;$R$2,(M283-E283)*0.5*Dashboard!$B$18,(E283*POWER(1+$A$2,$R$2-($Q$2+A283))-E283)*0.5*Dashboard!$B$18+MAX(0,M283-E283*POWER(1+$A$2,$R$2-($Q$2+A283))*POWER(1+$C$2,$S$2-$R$2))*MAX(Dashboard!$C$18,Dashboard!$B$18)))))</f>
        <v>0</v>
      </c>
    </row>
    <row r="284" spans="1:14" x14ac:dyDescent="0.2">
      <c r="A284" s="22">
        <f t="shared" si="52"/>
        <v>279</v>
      </c>
      <c r="B284" s="23">
        <f t="shared" si="53"/>
        <v>41.304794520548008</v>
      </c>
      <c r="C284" t="str">
        <f t="shared" si="44"/>
        <v>41 y 3.66 m</v>
      </c>
      <c r="D284" s="24">
        <f>IF(A284&gt;=$E$2,IF(A284&lt;$E$2+$H$2,$P$2,0),IF(B284&lt;Dashboard!$I$6,0,IF(A284&gt;=$F$2,Dashboard!$C$22*POWER(1+$C$2,A284-$F$2),Dashboard!$C$22)))</f>
        <v>0</v>
      </c>
      <c r="E284" s="24">
        <f>IF(A284&gt;=$F$2,0,IF(A284=0,Dashboard!$G$10,IF(B284&lt;Dashboard!$I$6,IF($J$2&lt;=Dashboard!$H$10,Dashboard!$H$10,MAX(Dashboard!$H$10,MIN($J$2,Dashboard!$H$10*POWER($J$2/Dashboard!$H$10,A284/$D$2)))),$I$2-D284-Dashboard!$I$10-Dashboard!$J$10-Dashboard!$F$10*$I$2)))</f>
        <v>6881.8</v>
      </c>
      <c r="F284" s="24">
        <f t="shared" si="45"/>
        <v>0</v>
      </c>
      <c r="G284" s="24">
        <f t="shared" si="46"/>
        <v>0</v>
      </c>
      <c r="H284" s="24">
        <f t="shared" si="47"/>
        <v>0</v>
      </c>
      <c r="I284" s="24">
        <f t="shared" si="48"/>
        <v>6881.8</v>
      </c>
      <c r="J284" s="25">
        <f t="shared" si="49"/>
        <v>7.9741404289037643E-3</v>
      </c>
      <c r="K284" s="24">
        <f t="shared" si="54"/>
        <v>1583764.375691405</v>
      </c>
      <c r="L284" s="24" t="str">
        <f t="shared" si="50"/>
        <v/>
      </c>
      <c r="M284" s="24">
        <f t="shared" si="51"/>
        <v>0</v>
      </c>
      <c r="N284" s="24">
        <f>IF(M284&lt;=0,0,IF($E$2-A284&lt;12,(M284-E284)*Dashboard!$B$18,IF($Q$2+A284&gt;=$R$2,MAX(0,M284-E284*POWER(1+$C$2,$E$2-A284))*MAX(Dashboard!$C$18,Dashboard!$B$18),IF($S$2&lt;$R$2,(M284-E284)*0.5*Dashboard!$B$18,(E284*POWER(1+$A$2,$R$2-($Q$2+A284))-E284)*0.5*Dashboard!$B$18+MAX(0,M284-E284*POWER(1+$A$2,$R$2-($Q$2+A284))*POWER(1+$C$2,$S$2-$R$2))*MAX(Dashboard!$C$18,Dashboard!$B$18)))))</f>
        <v>0</v>
      </c>
    </row>
    <row r="285" spans="1:14" x14ac:dyDescent="0.2">
      <c r="A285" s="22">
        <f t="shared" si="52"/>
        <v>280</v>
      </c>
      <c r="B285" s="23">
        <f t="shared" si="53"/>
        <v>41.388127853881343</v>
      </c>
      <c r="C285" t="str">
        <f t="shared" si="44"/>
        <v>41 y 4.66 m</v>
      </c>
      <c r="D285" s="24">
        <f>IF(A285&gt;=$E$2,IF(A285&lt;$E$2+$H$2,$P$2,0),IF(B285&lt;Dashboard!$I$6,0,IF(A285&gt;=$F$2,Dashboard!$C$22*POWER(1+$C$2,A285-$F$2),Dashboard!$C$22)))</f>
        <v>0</v>
      </c>
      <c r="E285" s="24">
        <f>IF(A285&gt;=$F$2,0,IF(A285=0,Dashboard!$G$10,IF(B285&lt;Dashboard!$I$6,IF($J$2&lt;=Dashboard!$H$10,Dashboard!$H$10,MAX(Dashboard!$H$10,MIN($J$2,Dashboard!$H$10*POWER($J$2/Dashboard!$H$10,A285/$D$2)))),$I$2-D285-Dashboard!$I$10-Dashboard!$J$10-Dashboard!$F$10*$I$2)))</f>
        <v>6881.8</v>
      </c>
      <c r="F285" s="24">
        <f t="shared" si="45"/>
        <v>0</v>
      </c>
      <c r="G285" s="24">
        <f t="shared" si="46"/>
        <v>0</v>
      </c>
      <c r="H285" s="24">
        <f t="shared" si="47"/>
        <v>0</v>
      </c>
      <c r="I285" s="24">
        <f t="shared" si="48"/>
        <v>6881.8</v>
      </c>
      <c r="J285" s="25">
        <f t="shared" si="49"/>
        <v>7.9741404289037643E-3</v>
      </c>
      <c r="K285" s="24">
        <f t="shared" si="54"/>
        <v>1603330.2116690672</v>
      </c>
      <c r="L285" s="24" t="str">
        <f t="shared" si="50"/>
        <v/>
      </c>
      <c r="M285" s="24">
        <f t="shared" si="51"/>
        <v>0</v>
      </c>
      <c r="N285" s="24">
        <f>IF(M285&lt;=0,0,IF($E$2-A285&lt;12,(M285-E285)*Dashboard!$B$18,IF($Q$2+A285&gt;=$R$2,MAX(0,M285-E285*POWER(1+$C$2,$E$2-A285))*MAX(Dashboard!$C$18,Dashboard!$B$18),IF($S$2&lt;$R$2,(M285-E285)*0.5*Dashboard!$B$18,(E285*POWER(1+$A$2,$R$2-($Q$2+A285))-E285)*0.5*Dashboard!$B$18+MAX(0,M285-E285*POWER(1+$A$2,$R$2-($Q$2+A285))*POWER(1+$C$2,$S$2-$R$2))*MAX(Dashboard!$C$18,Dashboard!$B$18)))))</f>
        <v>0</v>
      </c>
    </row>
    <row r="286" spans="1:14" x14ac:dyDescent="0.2">
      <c r="A286" s="22">
        <f t="shared" si="52"/>
        <v>281</v>
      </c>
      <c r="B286" s="23">
        <f t="shared" si="53"/>
        <v>41.471461187214679</v>
      </c>
      <c r="C286" t="str">
        <f t="shared" si="44"/>
        <v>41 y 5.66 m</v>
      </c>
      <c r="D286" s="24">
        <f>IF(A286&gt;=$E$2,IF(A286&lt;$E$2+$H$2,$P$2,0),IF(B286&lt;Dashboard!$I$6,0,IF(A286&gt;=$F$2,Dashboard!$C$22*POWER(1+$C$2,A286-$F$2),Dashboard!$C$22)))</f>
        <v>0</v>
      </c>
      <c r="E286" s="24">
        <f>IF(A286&gt;=$F$2,0,IF(A286=0,Dashboard!$G$10,IF(B286&lt;Dashboard!$I$6,IF($J$2&lt;=Dashboard!$H$10,Dashboard!$H$10,MAX(Dashboard!$H$10,MIN($J$2,Dashboard!$H$10*POWER($J$2/Dashboard!$H$10,A286/$D$2)))),$I$2-D286-Dashboard!$I$10-Dashboard!$J$10-Dashboard!$F$10*$I$2)))</f>
        <v>6881.8</v>
      </c>
      <c r="F286" s="24">
        <f t="shared" si="45"/>
        <v>0</v>
      </c>
      <c r="G286" s="24">
        <f t="shared" si="46"/>
        <v>0</v>
      </c>
      <c r="H286" s="24">
        <f t="shared" si="47"/>
        <v>0</v>
      </c>
      <c r="I286" s="24">
        <f t="shared" si="48"/>
        <v>6881.8</v>
      </c>
      <c r="J286" s="25">
        <f t="shared" si="49"/>
        <v>7.9741404289037643E-3</v>
      </c>
      <c r="K286" s="24">
        <f t="shared" si="54"/>
        <v>1623052.068370424</v>
      </c>
      <c r="L286" s="24" t="str">
        <f t="shared" si="50"/>
        <v/>
      </c>
      <c r="M286" s="24">
        <f t="shared" si="51"/>
        <v>0</v>
      </c>
      <c r="N286" s="24">
        <f>IF(M286&lt;=0,0,IF($E$2-A286&lt;12,(M286-E286)*Dashboard!$B$18,IF($Q$2+A286&gt;=$R$2,MAX(0,M286-E286*POWER(1+$C$2,$E$2-A286))*MAX(Dashboard!$C$18,Dashboard!$B$18),IF($S$2&lt;$R$2,(M286-E286)*0.5*Dashboard!$B$18,(E286*POWER(1+$A$2,$R$2-($Q$2+A286))-E286)*0.5*Dashboard!$B$18+MAX(0,M286-E286*POWER(1+$A$2,$R$2-($Q$2+A286))*POWER(1+$C$2,$S$2-$R$2))*MAX(Dashboard!$C$18,Dashboard!$B$18)))))</f>
        <v>0</v>
      </c>
    </row>
    <row r="287" spans="1:14" x14ac:dyDescent="0.2">
      <c r="A287" s="22">
        <f t="shared" si="52"/>
        <v>282</v>
      </c>
      <c r="B287" s="23">
        <f t="shared" si="53"/>
        <v>41.554794520548015</v>
      </c>
      <c r="C287" t="str">
        <f t="shared" si="44"/>
        <v>41 y 6.66 m</v>
      </c>
      <c r="D287" s="24">
        <f>IF(A287&gt;=$E$2,IF(A287&lt;$E$2+$H$2,$P$2,0),IF(B287&lt;Dashboard!$I$6,0,IF(A287&gt;=$F$2,Dashboard!$C$22*POWER(1+$C$2,A287-$F$2),Dashboard!$C$22)))</f>
        <v>0</v>
      </c>
      <c r="E287" s="24">
        <f>IF(A287&gt;=$F$2,0,IF(A287=0,Dashboard!$G$10,IF(B287&lt;Dashboard!$I$6,IF($J$2&lt;=Dashboard!$H$10,Dashboard!$H$10,MAX(Dashboard!$H$10,MIN($J$2,Dashboard!$H$10*POWER($J$2/Dashboard!$H$10,A287/$D$2)))),$I$2-D287-Dashboard!$I$10-Dashboard!$J$10-Dashboard!$F$10*$I$2)))</f>
        <v>6881.8</v>
      </c>
      <c r="F287" s="24">
        <f t="shared" si="45"/>
        <v>0</v>
      </c>
      <c r="G287" s="24">
        <f t="shared" si="46"/>
        <v>0</v>
      </c>
      <c r="H287" s="24">
        <f t="shared" si="47"/>
        <v>0</v>
      </c>
      <c r="I287" s="24">
        <f t="shared" si="48"/>
        <v>6881.8</v>
      </c>
      <c r="J287" s="25">
        <f t="shared" si="49"/>
        <v>7.9741404289037643E-3</v>
      </c>
      <c r="K287" s="24">
        <f t="shared" si="54"/>
        <v>1642931.1899266362</v>
      </c>
      <c r="L287" s="24" t="str">
        <f t="shared" si="50"/>
        <v/>
      </c>
      <c r="M287" s="24">
        <f t="shared" si="51"/>
        <v>0</v>
      </c>
      <c r="N287" s="24">
        <f>IF(M287&lt;=0,0,IF($E$2-A287&lt;12,(M287-E287)*Dashboard!$B$18,IF($Q$2+A287&gt;=$R$2,MAX(0,M287-E287*POWER(1+$C$2,$E$2-A287))*MAX(Dashboard!$C$18,Dashboard!$B$18),IF($S$2&lt;$R$2,(M287-E287)*0.5*Dashboard!$B$18,(E287*POWER(1+$A$2,$R$2-($Q$2+A287))-E287)*0.5*Dashboard!$B$18+MAX(0,M287-E287*POWER(1+$A$2,$R$2-($Q$2+A287))*POWER(1+$C$2,$S$2-$R$2))*MAX(Dashboard!$C$18,Dashboard!$B$18)))))</f>
        <v>0</v>
      </c>
    </row>
    <row r="288" spans="1:14" x14ac:dyDescent="0.2">
      <c r="A288" s="22">
        <f t="shared" si="52"/>
        <v>283</v>
      </c>
      <c r="B288" s="23">
        <f t="shared" si="53"/>
        <v>41.63812785388135</v>
      </c>
      <c r="C288" t="str">
        <f t="shared" si="44"/>
        <v>41 y 7.66 m</v>
      </c>
      <c r="D288" s="24">
        <f>IF(A288&gt;=$E$2,IF(A288&lt;$E$2+$H$2,$P$2,0),IF(B288&lt;Dashboard!$I$6,0,IF(A288&gt;=$F$2,Dashboard!$C$22*POWER(1+$C$2,A288-$F$2),Dashboard!$C$22)))</f>
        <v>0</v>
      </c>
      <c r="E288" s="24">
        <f>IF(A288&gt;=$F$2,0,IF(A288=0,Dashboard!$G$10,IF(B288&lt;Dashboard!$I$6,IF($J$2&lt;=Dashboard!$H$10,Dashboard!$H$10,MAX(Dashboard!$H$10,MIN($J$2,Dashboard!$H$10*POWER($J$2/Dashboard!$H$10,A288/$D$2)))),$I$2-D288-Dashboard!$I$10-Dashboard!$J$10-Dashboard!$F$10*$I$2)))</f>
        <v>6881.8</v>
      </c>
      <c r="F288" s="24">
        <f t="shared" si="45"/>
        <v>0</v>
      </c>
      <c r="G288" s="24">
        <f t="shared" si="46"/>
        <v>0</v>
      </c>
      <c r="H288" s="24">
        <f t="shared" si="47"/>
        <v>0</v>
      </c>
      <c r="I288" s="24">
        <f t="shared" si="48"/>
        <v>6881.8</v>
      </c>
      <c r="J288" s="25">
        <f t="shared" si="49"/>
        <v>7.9741404289037643E-3</v>
      </c>
      <c r="K288" s="24">
        <f t="shared" si="54"/>
        <v>1662968.8303897409</v>
      </c>
      <c r="L288" s="24" t="str">
        <f t="shared" si="50"/>
        <v/>
      </c>
      <c r="M288" s="24">
        <f t="shared" si="51"/>
        <v>0</v>
      </c>
      <c r="N288" s="24">
        <f>IF(M288&lt;=0,0,IF($E$2-A288&lt;12,(M288-E288)*Dashboard!$B$18,IF($Q$2+A288&gt;=$R$2,MAX(0,M288-E288*POWER(1+$C$2,$E$2-A288))*MAX(Dashboard!$C$18,Dashboard!$B$18),IF($S$2&lt;$R$2,(M288-E288)*0.5*Dashboard!$B$18,(E288*POWER(1+$A$2,$R$2-($Q$2+A288))-E288)*0.5*Dashboard!$B$18+MAX(0,M288-E288*POWER(1+$A$2,$R$2-($Q$2+A288))*POWER(1+$C$2,$S$2-$R$2))*MAX(Dashboard!$C$18,Dashboard!$B$18)))))</f>
        <v>0</v>
      </c>
    </row>
    <row r="289" spans="1:14" x14ac:dyDescent="0.2">
      <c r="A289" s="22">
        <f t="shared" si="52"/>
        <v>284</v>
      </c>
      <c r="B289" s="23">
        <f t="shared" si="53"/>
        <v>41.721461187214686</v>
      </c>
      <c r="C289" t="str">
        <f t="shared" si="44"/>
        <v>41 y 8.66 m</v>
      </c>
      <c r="D289" s="24">
        <f>IF(A289&gt;=$E$2,IF(A289&lt;$E$2+$H$2,$P$2,0),IF(B289&lt;Dashboard!$I$6,0,IF(A289&gt;=$F$2,Dashboard!$C$22*POWER(1+$C$2,A289-$F$2),Dashboard!$C$22)))</f>
        <v>0</v>
      </c>
      <c r="E289" s="24">
        <f>IF(A289&gt;=$F$2,0,IF(A289=0,Dashboard!$G$10,IF(B289&lt;Dashboard!$I$6,IF($J$2&lt;=Dashboard!$H$10,Dashboard!$H$10,MAX(Dashboard!$H$10,MIN($J$2,Dashboard!$H$10*POWER($J$2/Dashboard!$H$10,A289/$D$2)))),$I$2-D289-Dashboard!$I$10-Dashboard!$J$10-Dashboard!$F$10*$I$2)))</f>
        <v>6881.8</v>
      </c>
      <c r="F289" s="24">
        <f t="shared" si="45"/>
        <v>0</v>
      </c>
      <c r="G289" s="24">
        <f t="shared" si="46"/>
        <v>0</v>
      </c>
      <c r="H289" s="24">
        <f t="shared" si="47"/>
        <v>0</v>
      </c>
      <c r="I289" s="24">
        <f t="shared" si="48"/>
        <v>6881.8</v>
      </c>
      <c r="J289" s="25">
        <f t="shared" si="49"/>
        <v>7.9741404289037643E-3</v>
      </c>
      <c r="K289" s="24">
        <f t="shared" si="54"/>
        <v>1683166.2538117622</v>
      </c>
      <c r="L289" s="24" t="str">
        <f t="shared" si="50"/>
        <v/>
      </c>
      <c r="M289" s="24">
        <f t="shared" si="51"/>
        <v>0</v>
      </c>
      <c r="N289" s="24">
        <f>IF(M289&lt;=0,0,IF($E$2-A289&lt;12,(M289-E289)*Dashboard!$B$18,IF($Q$2+A289&gt;=$R$2,MAX(0,M289-E289*POWER(1+$C$2,$E$2-A289))*MAX(Dashboard!$C$18,Dashboard!$B$18),IF($S$2&lt;$R$2,(M289-E289)*0.5*Dashboard!$B$18,(E289*POWER(1+$A$2,$R$2-($Q$2+A289))-E289)*0.5*Dashboard!$B$18+MAX(0,M289-E289*POWER(1+$A$2,$R$2-($Q$2+A289))*POWER(1+$C$2,$S$2-$R$2))*MAX(Dashboard!$C$18,Dashboard!$B$18)))))</f>
        <v>0</v>
      </c>
    </row>
    <row r="290" spans="1:14" x14ac:dyDescent="0.2">
      <c r="A290" s="22">
        <f t="shared" si="52"/>
        <v>285</v>
      </c>
      <c r="B290" s="23">
        <f t="shared" si="53"/>
        <v>41.804794520548022</v>
      </c>
      <c r="C290" t="str">
        <f t="shared" si="44"/>
        <v>41 y 9.66 m</v>
      </c>
      <c r="D290" s="24">
        <f>IF(A290&gt;=$E$2,IF(A290&lt;$E$2+$H$2,$P$2,0),IF(B290&lt;Dashboard!$I$6,0,IF(A290&gt;=$F$2,Dashboard!$C$22*POWER(1+$C$2,A290-$F$2),Dashboard!$C$22)))</f>
        <v>0</v>
      </c>
      <c r="E290" s="24">
        <f>IF(A290&gt;=$F$2,0,IF(A290=0,Dashboard!$G$10,IF(B290&lt;Dashboard!$I$6,IF($J$2&lt;=Dashboard!$H$10,Dashboard!$H$10,MAX(Dashboard!$H$10,MIN($J$2,Dashboard!$H$10*POWER($J$2/Dashboard!$H$10,A290/$D$2)))),$I$2-D290-Dashboard!$I$10-Dashboard!$J$10-Dashboard!$F$10*$I$2)))</f>
        <v>6881.8</v>
      </c>
      <c r="F290" s="24">
        <f t="shared" si="45"/>
        <v>0</v>
      </c>
      <c r="G290" s="24">
        <f t="shared" si="46"/>
        <v>0</v>
      </c>
      <c r="H290" s="24">
        <f t="shared" si="47"/>
        <v>0</v>
      </c>
      <c r="I290" s="24">
        <f t="shared" si="48"/>
        <v>6881.8</v>
      </c>
      <c r="J290" s="25">
        <f t="shared" si="49"/>
        <v>7.9741404289037643E-3</v>
      </c>
      <c r="K290" s="24">
        <f t="shared" si="54"/>
        <v>1703524.7343244527</v>
      </c>
      <c r="L290" s="24" t="str">
        <f t="shared" si="50"/>
        <v/>
      </c>
      <c r="M290" s="24">
        <f t="shared" si="51"/>
        <v>0</v>
      </c>
      <c r="N290" s="24">
        <f>IF(M290&lt;=0,0,IF($E$2-A290&lt;12,(M290-E290)*Dashboard!$B$18,IF($Q$2+A290&gt;=$R$2,MAX(0,M290-E290*POWER(1+$C$2,$E$2-A290))*MAX(Dashboard!$C$18,Dashboard!$B$18),IF($S$2&lt;$R$2,(M290-E290)*0.5*Dashboard!$B$18,(E290*POWER(1+$A$2,$R$2-($Q$2+A290))-E290)*0.5*Dashboard!$B$18+MAX(0,M290-E290*POWER(1+$A$2,$R$2-($Q$2+A290))*POWER(1+$C$2,$S$2-$R$2))*MAX(Dashboard!$C$18,Dashboard!$B$18)))))</f>
        <v>0</v>
      </c>
    </row>
    <row r="291" spans="1:14" x14ac:dyDescent="0.2">
      <c r="A291" s="22">
        <f t="shared" si="52"/>
        <v>286</v>
      </c>
      <c r="B291" s="23">
        <f t="shared" si="53"/>
        <v>41.888127853881358</v>
      </c>
      <c r="C291" t="str">
        <f t="shared" si="44"/>
        <v>41 y 10.66 m</v>
      </c>
      <c r="D291" s="24">
        <f>IF(A291&gt;=$E$2,IF(A291&lt;$E$2+$H$2,$P$2,0),IF(B291&lt;Dashboard!$I$6,0,IF(A291&gt;=$F$2,Dashboard!$C$22*POWER(1+$C$2,A291-$F$2),Dashboard!$C$22)))</f>
        <v>0</v>
      </c>
      <c r="E291" s="24">
        <f>IF(A291&gt;=$F$2,0,IF(A291=0,Dashboard!$G$10,IF(B291&lt;Dashboard!$I$6,IF($J$2&lt;=Dashboard!$H$10,Dashboard!$H$10,MAX(Dashboard!$H$10,MIN($J$2,Dashboard!$H$10*POWER($J$2/Dashboard!$H$10,A291/$D$2)))),$I$2-D291-Dashboard!$I$10-Dashboard!$J$10-Dashboard!$F$10*$I$2)))</f>
        <v>6881.8</v>
      </c>
      <c r="F291" s="24">
        <f t="shared" si="45"/>
        <v>0</v>
      </c>
      <c r="G291" s="24">
        <f t="shared" si="46"/>
        <v>0</v>
      </c>
      <c r="H291" s="24">
        <f t="shared" si="47"/>
        <v>0</v>
      </c>
      <c r="I291" s="24">
        <f t="shared" si="48"/>
        <v>6881.8</v>
      </c>
      <c r="J291" s="25">
        <f t="shared" si="49"/>
        <v>7.9741404289037643E-3</v>
      </c>
      <c r="K291" s="24">
        <f t="shared" si="54"/>
        <v>1724045.5562196705</v>
      </c>
      <c r="L291" s="24" t="str">
        <f t="shared" si="50"/>
        <v/>
      </c>
      <c r="M291" s="24">
        <f t="shared" si="51"/>
        <v>0</v>
      </c>
      <c r="N291" s="24">
        <f>IF(M291&lt;=0,0,IF($E$2-A291&lt;12,(M291-E291)*Dashboard!$B$18,IF($Q$2+A291&gt;=$R$2,MAX(0,M291-E291*POWER(1+$C$2,$E$2-A291))*MAX(Dashboard!$C$18,Dashboard!$B$18),IF($S$2&lt;$R$2,(M291-E291)*0.5*Dashboard!$B$18,(E291*POWER(1+$A$2,$R$2-($Q$2+A291))-E291)*0.5*Dashboard!$B$18+MAX(0,M291-E291*POWER(1+$A$2,$R$2-($Q$2+A291))*POWER(1+$C$2,$S$2-$R$2))*MAX(Dashboard!$C$18,Dashboard!$B$18)))))</f>
        <v>0</v>
      </c>
    </row>
    <row r="292" spans="1:14" x14ac:dyDescent="0.2">
      <c r="A292" s="22">
        <f t="shared" si="52"/>
        <v>287</v>
      </c>
      <c r="B292" s="23">
        <f t="shared" si="53"/>
        <v>41.971461187214693</v>
      </c>
      <c r="C292" t="str">
        <f t="shared" si="44"/>
        <v>41 y 11.66 m</v>
      </c>
      <c r="D292" s="24">
        <f>IF(A292&gt;=$E$2,IF(A292&lt;$E$2+$H$2,$P$2,0),IF(B292&lt;Dashboard!$I$6,0,IF(A292&gt;=$F$2,Dashboard!$C$22*POWER(1+$C$2,A292-$F$2),Dashboard!$C$22)))</f>
        <v>0</v>
      </c>
      <c r="E292" s="24">
        <f>IF(A292&gt;=$F$2,0,IF(A292=0,Dashboard!$G$10,IF(B292&lt;Dashboard!$I$6,IF($J$2&lt;=Dashboard!$H$10,Dashboard!$H$10,MAX(Dashboard!$H$10,MIN($J$2,Dashboard!$H$10*POWER($J$2/Dashboard!$H$10,A292/$D$2)))),$I$2-D292-Dashboard!$I$10-Dashboard!$J$10-Dashboard!$F$10*$I$2)))</f>
        <v>6881.8</v>
      </c>
      <c r="F292" s="24">
        <f t="shared" si="45"/>
        <v>0</v>
      </c>
      <c r="G292" s="24">
        <f t="shared" si="46"/>
        <v>0</v>
      </c>
      <c r="H292" s="24">
        <f t="shared" si="47"/>
        <v>0</v>
      </c>
      <c r="I292" s="24">
        <f t="shared" si="48"/>
        <v>6881.8</v>
      </c>
      <c r="J292" s="25">
        <f t="shared" si="49"/>
        <v>7.9741404289037643E-3</v>
      </c>
      <c r="K292" s="24">
        <f t="shared" si="54"/>
        <v>1744730.0140303972</v>
      </c>
      <c r="L292" s="24" t="str">
        <f t="shared" si="50"/>
        <v/>
      </c>
      <c r="M292" s="24">
        <f t="shared" si="51"/>
        <v>0</v>
      </c>
      <c r="N292" s="24">
        <f>IF(M292&lt;=0,0,IF($E$2-A292&lt;12,(M292-E292)*Dashboard!$B$18,IF($Q$2+A292&gt;=$R$2,MAX(0,M292-E292*POWER(1+$C$2,$E$2-A292))*MAX(Dashboard!$C$18,Dashboard!$B$18),IF($S$2&lt;$R$2,(M292-E292)*0.5*Dashboard!$B$18,(E292*POWER(1+$A$2,$R$2-($Q$2+A292))-E292)*0.5*Dashboard!$B$18+MAX(0,M292-E292*POWER(1+$A$2,$R$2-($Q$2+A292))*POWER(1+$C$2,$S$2-$R$2))*MAX(Dashboard!$C$18,Dashboard!$B$18)))))</f>
        <v>0</v>
      </c>
    </row>
    <row r="293" spans="1:14" x14ac:dyDescent="0.2">
      <c r="A293" s="22">
        <f t="shared" si="52"/>
        <v>288</v>
      </c>
      <c r="B293" s="23">
        <f t="shared" si="53"/>
        <v>42.054794520548029</v>
      </c>
      <c r="C293" t="str">
        <f t="shared" si="44"/>
        <v>42 y 0.66 m</v>
      </c>
      <c r="D293" s="24">
        <f>IF(A293&gt;=$E$2,IF(A293&lt;$E$2+$H$2,$P$2,0),IF(B293&lt;Dashboard!$I$6,0,IF(A293&gt;=$F$2,Dashboard!$C$22*POWER(1+$C$2,A293-$F$2),Dashboard!$C$22)))</f>
        <v>0</v>
      </c>
      <c r="E293" s="24">
        <f>IF(A293&gt;=$F$2,0,IF(A293=0,Dashboard!$G$10,IF(B293&lt;Dashboard!$I$6,IF($J$2&lt;=Dashboard!$H$10,Dashboard!$H$10,MAX(Dashboard!$H$10,MIN($J$2,Dashboard!$H$10*POWER($J$2/Dashboard!$H$10,A293/$D$2)))),$I$2-D293-Dashboard!$I$10-Dashboard!$J$10-Dashboard!$F$10*$I$2)))</f>
        <v>6881.8</v>
      </c>
      <c r="F293" s="24">
        <f t="shared" si="45"/>
        <v>0</v>
      </c>
      <c r="G293" s="24">
        <f t="shared" si="46"/>
        <v>0</v>
      </c>
      <c r="H293" s="24">
        <f t="shared" si="47"/>
        <v>0</v>
      </c>
      <c r="I293" s="24">
        <f t="shared" si="48"/>
        <v>6881.8</v>
      </c>
      <c r="J293" s="25">
        <f t="shared" si="49"/>
        <v>7.9741404289037643E-3</v>
      </c>
      <c r="K293" s="24">
        <f t="shared" si="54"/>
        <v>1765579.4126124026</v>
      </c>
      <c r="L293" s="24" t="str">
        <f t="shared" si="50"/>
        <v/>
      </c>
      <c r="M293" s="24">
        <f t="shared" si="51"/>
        <v>0</v>
      </c>
      <c r="N293" s="24">
        <f>IF(M293&lt;=0,0,IF($E$2-A293&lt;12,(M293-E293)*Dashboard!$B$18,IF($Q$2+A293&gt;=$R$2,MAX(0,M293-E293*POWER(1+$C$2,$E$2-A293))*MAX(Dashboard!$C$18,Dashboard!$B$18),IF($S$2&lt;$R$2,(M293-E293)*0.5*Dashboard!$B$18,(E293*POWER(1+$A$2,$R$2-($Q$2+A293))-E293)*0.5*Dashboard!$B$18+MAX(0,M293-E293*POWER(1+$A$2,$R$2-($Q$2+A293))*POWER(1+$C$2,$S$2-$R$2))*MAX(Dashboard!$C$18,Dashboard!$B$18)))))</f>
        <v>0</v>
      </c>
    </row>
    <row r="294" spans="1:14" x14ac:dyDescent="0.2">
      <c r="A294" s="22">
        <f t="shared" si="52"/>
        <v>289</v>
      </c>
      <c r="B294" s="23">
        <f t="shared" si="53"/>
        <v>42.138127853881365</v>
      </c>
      <c r="C294" t="str">
        <f t="shared" si="44"/>
        <v>42 y 1.66 m</v>
      </c>
      <c r="D294" s="24">
        <f>IF(A294&gt;=$E$2,IF(A294&lt;$E$2+$H$2,$P$2,0),IF(B294&lt;Dashboard!$I$6,0,IF(A294&gt;=$F$2,Dashboard!$C$22*POWER(1+$C$2,A294-$F$2),Dashboard!$C$22)))</f>
        <v>0</v>
      </c>
      <c r="E294" s="24">
        <f>IF(A294&gt;=$F$2,0,IF(A294=0,Dashboard!$G$10,IF(B294&lt;Dashboard!$I$6,IF($J$2&lt;=Dashboard!$H$10,Dashboard!$H$10,MAX(Dashboard!$H$10,MIN($J$2,Dashboard!$H$10*POWER($J$2/Dashboard!$H$10,A294/$D$2)))),$I$2-D294-Dashboard!$I$10-Dashboard!$J$10-Dashboard!$F$10*$I$2)))</f>
        <v>6881.8</v>
      </c>
      <c r="F294" s="24">
        <f t="shared" si="45"/>
        <v>0</v>
      </c>
      <c r="G294" s="24">
        <f t="shared" si="46"/>
        <v>0</v>
      </c>
      <c r="H294" s="24">
        <f t="shared" si="47"/>
        <v>0</v>
      </c>
      <c r="I294" s="24">
        <f t="shared" si="48"/>
        <v>6881.8</v>
      </c>
      <c r="J294" s="25">
        <f t="shared" si="49"/>
        <v>7.9741404289037643E-3</v>
      </c>
      <c r="K294" s="24">
        <f t="shared" si="54"/>
        <v>1786595.0672265589</v>
      </c>
      <c r="L294" s="24" t="str">
        <f t="shared" si="50"/>
        <v/>
      </c>
      <c r="M294" s="24">
        <f t="shared" si="51"/>
        <v>0</v>
      </c>
      <c r="N294" s="24">
        <f>IF(M294&lt;=0,0,IF($E$2-A294&lt;12,(M294-E294)*Dashboard!$B$18,IF($Q$2+A294&gt;=$R$2,MAX(0,M294-E294*POWER(1+$C$2,$E$2-A294))*MAX(Dashboard!$C$18,Dashboard!$B$18),IF($S$2&lt;$R$2,(M294-E294)*0.5*Dashboard!$B$18,(E294*POWER(1+$A$2,$R$2-($Q$2+A294))-E294)*0.5*Dashboard!$B$18+MAX(0,M294-E294*POWER(1+$A$2,$R$2-($Q$2+A294))*POWER(1+$C$2,$S$2-$R$2))*MAX(Dashboard!$C$18,Dashboard!$B$18)))))</f>
        <v>0</v>
      </c>
    </row>
    <row r="295" spans="1:14" x14ac:dyDescent="0.2">
      <c r="A295" s="22">
        <f t="shared" si="52"/>
        <v>290</v>
      </c>
      <c r="B295" s="23">
        <f t="shared" si="53"/>
        <v>42.2214611872147</v>
      </c>
      <c r="C295" t="str">
        <f t="shared" si="44"/>
        <v>42 y 2.66 m</v>
      </c>
      <c r="D295" s="24">
        <f>IF(A295&gt;=$E$2,IF(A295&lt;$E$2+$H$2,$P$2,0),IF(B295&lt;Dashboard!$I$6,0,IF(A295&gt;=$F$2,Dashboard!$C$22*POWER(1+$C$2,A295-$F$2),Dashboard!$C$22)))</f>
        <v>0</v>
      </c>
      <c r="E295" s="24">
        <f>IF(A295&gt;=$F$2,0,IF(A295=0,Dashboard!$G$10,IF(B295&lt;Dashboard!$I$6,IF($J$2&lt;=Dashboard!$H$10,Dashboard!$H$10,MAX(Dashboard!$H$10,MIN($J$2,Dashboard!$H$10*POWER($J$2/Dashboard!$H$10,A295/$D$2)))),$I$2-D295-Dashboard!$I$10-Dashboard!$J$10-Dashboard!$F$10*$I$2)))</f>
        <v>6881.8</v>
      </c>
      <c r="F295" s="24">
        <f t="shared" si="45"/>
        <v>0</v>
      </c>
      <c r="G295" s="24">
        <f t="shared" si="46"/>
        <v>0</v>
      </c>
      <c r="H295" s="24">
        <f t="shared" si="47"/>
        <v>0</v>
      </c>
      <c r="I295" s="24">
        <f t="shared" si="48"/>
        <v>6881.8</v>
      </c>
      <c r="J295" s="25">
        <f t="shared" si="49"/>
        <v>7.9741404289037643E-3</v>
      </c>
      <c r="K295" s="24">
        <f t="shared" si="54"/>
        <v>1807778.3036218139</v>
      </c>
      <c r="L295" s="24" t="str">
        <f t="shared" si="50"/>
        <v/>
      </c>
      <c r="M295" s="24">
        <f t="shared" si="51"/>
        <v>0</v>
      </c>
      <c r="N295" s="24">
        <f>IF(M295&lt;=0,0,IF($E$2-A295&lt;12,(M295-E295)*Dashboard!$B$18,IF($Q$2+A295&gt;=$R$2,MAX(0,M295-E295*POWER(1+$C$2,$E$2-A295))*MAX(Dashboard!$C$18,Dashboard!$B$18),IF($S$2&lt;$R$2,(M295-E295)*0.5*Dashboard!$B$18,(E295*POWER(1+$A$2,$R$2-($Q$2+A295))-E295)*0.5*Dashboard!$B$18+MAX(0,M295-E295*POWER(1+$A$2,$R$2-($Q$2+A295))*POWER(1+$C$2,$S$2-$R$2))*MAX(Dashboard!$C$18,Dashboard!$B$18)))))</f>
        <v>0</v>
      </c>
    </row>
    <row r="296" spans="1:14" x14ac:dyDescent="0.2">
      <c r="A296" s="22">
        <f t="shared" si="52"/>
        <v>291</v>
      </c>
      <c r="B296" s="23">
        <f t="shared" si="53"/>
        <v>42.304794520548036</v>
      </c>
      <c r="C296" t="str">
        <f t="shared" si="44"/>
        <v>42 y 3.66 m</v>
      </c>
      <c r="D296" s="24">
        <f>IF(A296&gt;=$E$2,IF(A296&lt;$E$2+$H$2,$P$2,0),IF(B296&lt;Dashboard!$I$6,0,IF(A296&gt;=$F$2,Dashboard!$C$22*POWER(1+$C$2,A296-$F$2),Dashboard!$C$22)))</f>
        <v>0</v>
      </c>
      <c r="E296" s="24">
        <f>IF(A296&gt;=$F$2,0,IF(A296=0,Dashboard!$G$10,IF(B296&lt;Dashboard!$I$6,IF($J$2&lt;=Dashboard!$H$10,Dashboard!$H$10,MAX(Dashboard!$H$10,MIN($J$2,Dashboard!$H$10*POWER($J$2/Dashboard!$H$10,A296/$D$2)))),$I$2-D296-Dashboard!$I$10-Dashboard!$J$10-Dashboard!$F$10*$I$2)))</f>
        <v>6881.8</v>
      </c>
      <c r="F296" s="24">
        <f t="shared" si="45"/>
        <v>0</v>
      </c>
      <c r="G296" s="24">
        <f t="shared" si="46"/>
        <v>0</v>
      </c>
      <c r="H296" s="24">
        <f t="shared" si="47"/>
        <v>0</v>
      </c>
      <c r="I296" s="24">
        <f t="shared" si="48"/>
        <v>6881.8</v>
      </c>
      <c r="J296" s="25">
        <f t="shared" si="49"/>
        <v>7.9741404289037643E-3</v>
      </c>
      <c r="K296" s="24">
        <f t="shared" si="54"/>
        <v>1829130.4581188234</v>
      </c>
      <c r="L296" s="24" t="str">
        <f t="shared" si="50"/>
        <v/>
      </c>
      <c r="M296" s="24">
        <f t="shared" si="51"/>
        <v>0</v>
      </c>
      <c r="N296" s="24">
        <f>IF(M296&lt;=0,0,IF($E$2-A296&lt;12,(M296-E296)*Dashboard!$B$18,IF($Q$2+A296&gt;=$R$2,MAX(0,M296-E296*POWER(1+$C$2,$E$2-A296))*MAX(Dashboard!$C$18,Dashboard!$B$18),IF($S$2&lt;$R$2,(M296-E296)*0.5*Dashboard!$B$18,(E296*POWER(1+$A$2,$R$2-($Q$2+A296))-E296)*0.5*Dashboard!$B$18+MAX(0,M296-E296*POWER(1+$A$2,$R$2-($Q$2+A296))*POWER(1+$C$2,$S$2-$R$2))*MAX(Dashboard!$C$18,Dashboard!$B$18)))))</f>
        <v>0</v>
      </c>
    </row>
    <row r="297" spans="1:14" x14ac:dyDescent="0.2">
      <c r="A297" s="22">
        <f t="shared" si="52"/>
        <v>292</v>
      </c>
      <c r="B297" s="23">
        <f t="shared" si="53"/>
        <v>42.388127853881372</v>
      </c>
      <c r="C297" t="str">
        <f t="shared" si="44"/>
        <v>42 y 4.66 m</v>
      </c>
      <c r="D297" s="24">
        <f>IF(A297&gt;=$E$2,IF(A297&lt;$E$2+$H$2,$P$2,0),IF(B297&lt;Dashboard!$I$6,0,IF(A297&gt;=$F$2,Dashboard!$C$22*POWER(1+$C$2,A297-$F$2),Dashboard!$C$22)))</f>
        <v>0</v>
      </c>
      <c r="E297" s="24">
        <f>IF(A297&gt;=$F$2,0,IF(A297=0,Dashboard!$G$10,IF(B297&lt;Dashboard!$I$6,IF($J$2&lt;=Dashboard!$H$10,Dashboard!$H$10,MAX(Dashboard!$H$10,MIN($J$2,Dashboard!$H$10*POWER($J$2/Dashboard!$H$10,A297/$D$2)))),$I$2-D297-Dashboard!$I$10-Dashboard!$J$10-Dashboard!$F$10*$I$2)))</f>
        <v>6881.8</v>
      </c>
      <c r="F297" s="24">
        <f t="shared" si="45"/>
        <v>0</v>
      </c>
      <c r="G297" s="24">
        <f t="shared" si="46"/>
        <v>0</v>
      </c>
      <c r="H297" s="24">
        <f t="shared" si="47"/>
        <v>0</v>
      </c>
      <c r="I297" s="24">
        <f t="shared" si="48"/>
        <v>6881.8</v>
      </c>
      <c r="J297" s="25">
        <f t="shared" si="49"/>
        <v>7.9741404289037643E-3</v>
      </c>
      <c r="K297" s="24">
        <f t="shared" si="54"/>
        <v>1850652.8776942517</v>
      </c>
      <c r="L297" s="24" t="str">
        <f t="shared" si="50"/>
        <v/>
      </c>
      <c r="M297" s="24">
        <f t="shared" si="51"/>
        <v>0</v>
      </c>
      <c r="N297" s="24">
        <f>IF(M297&lt;=0,0,IF($E$2-A297&lt;12,(M297-E297)*Dashboard!$B$18,IF($Q$2+A297&gt;=$R$2,MAX(0,M297-E297*POWER(1+$C$2,$E$2-A297))*MAX(Dashboard!$C$18,Dashboard!$B$18),IF($S$2&lt;$R$2,(M297-E297)*0.5*Dashboard!$B$18,(E297*POWER(1+$A$2,$R$2-($Q$2+A297))-E297)*0.5*Dashboard!$B$18+MAX(0,M297-E297*POWER(1+$A$2,$R$2-($Q$2+A297))*POWER(1+$C$2,$S$2-$R$2))*MAX(Dashboard!$C$18,Dashboard!$B$18)))))</f>
        <v>0</v>
      </c>
    </row>
    <row r="298" spans="1:14" x14ac:dyDescent="0.2">
      <c r="A298" s="22">
        <f t="shared" si="52"/>
        <v>293</v>
      </c>
      <c r="B298" s="23">
        <f t="shared" si="53"/>
        <v>42.471461187214707</v>
      </c>
      <c r="C298" t="str">
        <f t="shared" si="44"/>
        <v>42 y 5.66 m</v>
      </c>
      <c r="D298" s="24">
        <f>IF(A298&gt;=$E$2,IF(A298&lt;$E$2+$H$2,$P$2,0),IF(B298&lt;Dashboard!$I$6,0,IF(A298&gt;=$F$2,Dashboard!$C$22*POWER(1+$C$2,A298-$F$2),Dashboard!$C$22)))</f>
        <v>0</v>
      </c>
      <c r="E298" s="24">
        <f>IF(A298&gt;=$F$2,0,IF(A298=0,Dashboard!$G$10,IF(B298&lt;Dashboard!$I$6,IF($J$2&lt;=Dashboard!$H$10,Dashboard!$H$10,MAX(Dashboard!$H$10,MIN($J$2,Dashboard!$H$10*POWER($J$2/Dashboard!$H$10,A298/$D$2)))),$I$2-D298-Dashboard!$I$10-Dashboard!$J$10-Dashboard!$F$10*$I$2)))</f>
        <v>6881.8</v>
      </c>
      <c r="F298" s="24">
        <f t="shared" si="45"/>
        <v>0</v>
      </c>
      <c r="G298" s="24">
        <f t="shared" si="46"/>
        <v>0</v>
      </c>
      <c r="H298" s="24">
        <f t="shared" si="47"/>
        <v>0</v>
      </c>
      <c r="I298" s="24">
        <f t="shared" si="48"/>
        <v>6881.8</v>
      </c>
      <c r="J298" s="25">
        <f t="shared" si="49"/>
        <v>7.9741404289037643E-3</v>
      </c>
      <c r="K298" s="24">
        <f t="shared" si="54"/>
        <v>1872346.9200657443</v>
      </c>
      <c r="L298" s="24" t="str">
        <f t="shared" si="50"/>
        <v/>
      </c>
      <c r="M298" s="24">
        <f t="shared" si="51"/>
        <v>0</v>
      </c>
      <c r="N298" s="24">
        <f>IF(M298&lt;=0,0,IF($E$2-A298&lt;12,(M298-E298)*Dashboard!$B$18,IF($Q$2+A298&gt;=$R$2,MAX(0,M298-E298*POWER(1+$C$2,$E$2-A298))*MAX(Dashboard!$C$18,Dashboard!$B$18),IF($S$2&lt;$R$2,(M298-E298)*0.5*Dashboard!$B$18,(E298*POWER(1+$A$2,$R$2-($Q$2+A298))-E298)*0.5*Dashboard!$B$18+MAX(0,M298-E298*POWER(1+$A$2,$R$2-($Q$2+A298))*POWER(1+$C$2,$S$2-$R$2))*MAX(Dashboard!$C$18,Dashboard!$B$18)))))</f>
        <v>0</v>
      </c>
    </row>
    <row r="299" spans="1:14" x14ac:dyDescent="0.2">
      <c r="A299" s="22">
        <f t="shared" si="52"/>
        <v>294</v>
      </c>
      <c r="B299" s="23">
        <f t="shared" si="53"/>
        <v>42.554794520548043</v>
      </c>
      <c r="C299" t="str">
        <f t="shared" si="44"/>
        <v>42 y 6.66 m</v>
      </c>
      <c r="D299" s="24">
        <f>IF(A299&gt;=$E$2,IF(A299&lt;$E$2+$H$2,$P$2,0),IF(B299&lt;Dashboard!$I$6,0,IF(A299&gt;=$F$2,Dashboard!$C$22*POWER(1+$C$2,A299-$F$2),Dashboard!$C$22)))</f>
        <v>0</v>
      </c>
      <c r="E299" s="24">
        <f>IF(A299&gt;=$F$2,0,IF(A299=0,Dashboard!$G$10,IF(B299&lt;Dashboard!$I$6,IF($J$2&lt;=Dashboard!$H$10,Dashboard!$H$10,MAX(Dashboard!$H$10,MIN($J$2,Dashboard!$H$10*POWER($J$2/Dashboard!$H$10,A299/$D$2)))),$I$2-D299-Dashboard!$I$10-Dashboard!$J$10-Dashboard!$F$10*$I$2)))</f>
        <v>6881.8</v>
      </c>
      <c r="F299" s="24">
        <f t="shared" si="45"/>
        <v>0</v>
      </c>
      <c r="G299" s="24">
        <f t="shared" si="46"/>
        <v>0</v>
      </c>
      <c r="H299" s="24">
        <f t="shared" si="47"/>
        <v>0</v>
      </c>
      <c r="I299" s="24">
        <f t="shared" si="48"/>
        <v>6881.8</v>
      </c>
      <c r="J299" s="25">
        <f t="shared" si="49"/>
        <v>7.9741404289037643E-3</v>
      </c>
      <c r="K299" s="24">
        <f t="shared" si="54"/>
        <v>1894213.9537775777</v>
      </c>
      <c r="L299" s="24" t="str">
        <f t="shared" si="50"/>
        <v/>
      </c>
      <c r="M299" s="24">
        <f t="shared" si="51"/>
        <v>0</v>
      </c>
      <c r="N299" s="24">
        <f>IF(M299&lt;=0,0,IF($E$2-A299&lt;12,(M299-E299)*Dashboard!$B$18,IF($Q$2+A299&gt;=$R$2,MAX(0,M299-E299*POWER(1+$C$2,$E$2-A299))*MAX(Dashboard!$C$18,Dashboard!$B$18),IF($S$2&lt;$R$2,(M299-E299)*0.5*Dashboard!$B$18,(E299*POWER(1+$A$2,$R$2-($Q$2+A299))-E299)*0.5*Dashboard!$B$18+MAX(0,M299-E299*POWER(1+$A$2,$R$2-($Q$2+A299))*POWER(1+$C$2,$S$2-$R$2))*MAX(Dashboard!$C$18,Dashboard!$B$18)))))</f>
        <v>0</v>
      </c>
    </row>
    <row r="300" spans="1:14" x14ac:dyDescent="0.2">
      <c r="A300" s="22">
        <f t="shared" si="52"/>
        <v>295</v>
      </c>
      <c r="B300" s="23">
        <f t="shared" si="53"/>
        <v>42.638127853881379</v>
      </c>
      <c r="C300" t="str">
        <f t="shared" si="44"/>
        <v>42 y 7.66 m</v>
      </c>
      <c r="D300" s="24">
        <f>IF(A300&gt;=$E$2,IF(A300&lt;$E$2+$H$2,$P$2,0),IF(B300&lt;Dashboard!$I$6,0,IF(A300&gt;=$F$2,Dashboard!$C$22*POWER(1+$C$2,A300-$F$2),Dashboard!$C$22)))</f>
        <v>0</v>
      </c>
      <c r="E300" s="24">
        <f>IF(A300&gt;=$F$2,0,IF(A300=0,Dashboard!$G$10,IF(B300&lt;Dashboard!$I$6,IF($J$2&lt;=Dashboard!$H$10,Dashboard!$H$10,MAX(Dashboard!$H$10,MIN($J$2,Dashboard!$H$10*POWER($J$2/Dashboard!$H$10,A300/$D$2)))),$I$2-D300-Dashboard!$I$10-Dashboard!$J$10-Dashboard!$F$10*$I$2)))</f>
        <v>6881.8</v>
      </c>
      <c r="F300" s="24">
        <f t="shared" si="45"/>
        <v>0</v>
      </c>
      <c r="G300" s="24">
        <f t="shared" si="46"/>
        <v>0</v>
      </c>
      <c r="H300" s="24">
        <f t="shared" si="47"/>
        <v>0</v>
      </c>
      <c r="I300" s="24">
        <f t="shared" si="48"/>
        <v>6881.8</v>
      </c>
      <c r="J300" s="25">
        <f t="shared" si="49"/>
        <v>7.9741404289037643E-3</v>
      </c>
      <c r="K300" s="24">
        <f t="shared" si="54"/>
        <v>1916255.3582869929</v>
      </c>
      <c r="L300" s="24" t="str">
        <f t="shared" si="50"/>
        <v/>
      </c>
      <c r="M300" s="24">
        <f t="shared" si="51"/>
        <v>0</v>
      </c>
      <c r="N300" s="24">
        <f>IF(M300&lt;=0,0,IF($E$2-A300&lt;12,(M300-E300)*Dashboard!$B$18,IF($Q$2+A300&gt;=$R$2,MAX(0,M300-E300*POWER(1+$C$2,$E$2-A300))*MAX(Dashboard!$C$18,Dashboard!$B$18),IF($S$2&lt;$R$2,(M300-E300)*0.5*Dashboard!$B$18,(E300*POWER(1+$A$2,$R$2-($Q$2+A300))-E300)*0.5*Dashboard!$B$18+MAX(0,M300-E300*POWER(1+$A$2,$R$2-($Q$2+A300))*POWER(1+$C$2,$S$2-$R$2))*MAX(Dashboard!$C$18,Dashboard!$B$18)))))</f>
        <v>0</v>
      </c>
    </row>
    <row r="301" spans="1:14" x14ac:dyDescent="0.2">
      <c r="A301" s="22">
        <f t="shared" si="52"/>
        <v>296</v>
      </c>
      <c r="B301" s="23">
        <f t="shared" si="53"/>
        <v>42.721461187214715</v>
      </c>
      <c r="C301" t="str">
        <f t="shared" si="44"/>
        <v>42 y 8.66 m</v>
      </c>
      <c r="D301" s="24">
        <f>IF(A301&gt;=$E$2,IF(A301&lt;$E$2+$H$2,$P$2,0),IF(B301&lt;Dashboard!$I$6,0,IF(A301&gt;=$F$2,Dashboard!$C$22*POWER(1+$C$2,A301-$F$2),Dashboard!$C$22)))</f>
        <v>0</v>
      </c>
      <c r="E301" s="24">
        <f>IF(A301&gt;=$F$2,0,IF(A301=0,Dashboard!$G$10,IF(B301&lt;Dashboard!$I$6,IF($J$2&lt;=Dashboard!$H$10,Dashboard!$H$10,MAX(Dashboard!$H$10,MIN($J$2,Dashboard!$H$10*POWER($J$2/Dashboard!$H$10,A301/$D$2)))),$I$2-D301-Dashboard!$I$10-Dashboard!$J$10-Dashboard!$F$10*$I$2)))</f>
        <v>6881.8</v>
      </c>
      <c r="F301" s="24">
        <f t="shared" si="45"/>
        <v>0</v>
      </c>
      <c r="G301" s="24">
        <f t="shared" si="46"/>
        <v>0</v>
      </c>
      <c r="H301" s="24">
        <f t="shared" si="47"/>
        <v>0</v>
      </c>
      <c r="I301" s="24">
        <f t="shared" si="48"/>
        <v>6881.8</v>
      </c>
      <c r="J301" s="25">
        <f t="shared" si="49"/>
        <v>7.9741404289037643E-3</v>
      </c>
      <c r="K301" s="24">
        <f t="shared" si="54"/>
        <v>1938472.5240512164</v>
      </c>
      <c r="L301" s="24" t="str">
        <f t="shared" si="50"/>
        <v/>
      </c>
      <c r="M301" s="24">
        <f t="shared" si="51"/>
        <v>0</v>
      </c>
      <c r="N301" s="24">
        <f>IF(M301&lt;=0,0,IF($E$2-A301&lt;12,(M301-E301)*Dashboard!$B$18,IF($Q$2+A301&gt;=$R$2,MAX(0,M301-E301*POWER(1+$C$2,$E$2-A301))*MAX(Dashboard!$C$18,Dashboard!$B$18),IF($S$2&lt;$R$2,(M301-E301)*0.5*Dashboard!$B$18,(E301*POWER(1+$A$2,$R$2-($Q$2+A301))-E301)*0.5*Dashboard!$B$18+MAX(0,M301-E301*POWER(1+$A$2,$R$2-($Q$2+A301))*POWER(1+$C$2,$S$2-$R$2))*MAX(Dashboard!$C$18,Dashboard!$B$18)))))</f>
        <v>0</v>
      </c>
    </row>
    <row r="302" spans="1:14" x14ac:dyDescent="0.2">
      <c r="A302" s="22">
        <f t="shared" si="52"/>
        <v>297</v>
      </c>
      <c r="B302" s="23">
        <f t="shared" si="53"/>
        <v>42.80479452054805</v>
      </c>
      <c r="C302" t="str">
        <f t="shared" si="44"/>
        <v>42 y 9.66 m</v>
      </c>
      <c r="D302" s="24">
        <f>IF(A302&gt;=$E$2,IF(A302&lt;$E$2+$H$2,$P$2,0),IF(B302&lt;Dashboard!$I$6,0,IF(A302&gt;=$F$2,Dashboard!$C$22*POWER(1+$C$2,A302-$F$2),Dashboard!$C$22)))</f>
        <v>0</v>
      </c>
      <c r="E302" s="24">
        <f>IF(A302&gt;=$F$2,0,IF(A302=0,Dashboard!$G$10,IF(B302&lt;Dashboard!$I$6,IF($J$2&lt;=Dashboard!$H$10,Dashboard!$H$10,MAX(Dashboard!$H$10,MIN($J$2,Dashboard!$H$10*POWER($J$2/Dashboard!$H$10,A302/$D$2)))),$I$2-D302-Dashboard!$I$10-Dashboard!$J$10-Dashboard!$F$10*$I$2)))</f>
        <v>6881.8</v>
      </c>
      <c r="F302" s="24">
        <f t="shared" si="45"/>
        <v>0</v>
      </c>
      <c r="G302" s="24">
        <f t="shared" si="46"/>
        <v>0</v>
      </c>
      <c r="H302" s="24">
        <f t="shared" si="47"/>
        <v>0</v>
      </c>
      <c r="I302" s="24">
        <f t="shared" si="48"/>
        <v>6881.8</v>
      </c>
      <c r="J302" s="25">
        <f t="shared" si="49"/>
        <v>7.9741404289037643E-3</v>
      </c>
      <c r="K302" s="24">
        <f t="shared" si="54"/>
        <v>1960866.852615176</v>
      </c>
      <c r="L302" s="24" t="str">
        <f t="shared" si="50"/>
        <v/>
      </c>
      <c r="M302" s="24">
        <f t="shared" si="51"/>
        <v>0</v>
      </c>
      <c r="N302" s="24">
        <f>IF(M302&lt;=0,0,IF($E$2-A302&lt;12,(M302-E302)*Dashboard!$B$18,IF($Q$2+A302&gt;=$R$2,MAX(0,M302-E302*POWER(1+$C$2,$E$2-A302))*MAX(Dashboard!$C$18,Dashboard!$B$18),IF($S$2&lt;$R$2,(M302-E302)*0.5*Dashboard!$B$18,(E302*POWER(1+$A$2,$R$2-($Q$2+A302))-E302)*0.5*Dashboard!$B$18+MAX(0,M302-E302*POWER(1+$A$2,$R$2-($Q$2+A302))*POWER(1+$C$2,$S$2-$R$2))*MAX(Dashboard!$C$18,Dashboard!$B$18)))))</f>
        <v>0</v>
      </c>
    </row>
    <row r="303" spans="1:14" x14ac:dyDescent="0.2">
      <c r="A303" s="22">
        <f t="shared" si="52"/>
        <v>298</v>
      </c>
      <c r="B303" s="23">
        <f t="shared" si="53"/>
        <v>42.888127853881386</v>
      </c>
      <c r="C303" t="str">
        <f t="shared" si="44"/>
        <v>42 y 10.66 m</v>
      </c>
      <c r="D303" s="24">
        <f>IF(A303&gt;=$E$2,IF(A303&lt;$E$2+$H$2,$P$2,0),IF(B303&lt;Dashboard!$I$6,0,IF(A303&gt;=$F$2,Dashboard!$C$22*POWER(1+$C$2,A303-$F$2),Dashboard!$C$22)))</f>
        <v>0</v>
      </c>
      <c r="E303" s="24">
        <f>IF(A303&gt;=$F$2,0,IF(A303=0,Dashboard!$G$10,IF(B303&lt;Dashboard!$I$6,IF($J$2&lt;=Dashboard!$H$10,Dashboard!$H$10,MAX(Dashboard!$H$10,MIN($J$2,Dashboard!$H$10*POWER($J$2/Dashboard!$H$10,A303/$D$2)))),$I$2-D303-Dashboard!$I$10-Dashboard!$J$10-Dashboard!$F$10*$I$2)))</f>
        <v>6881.8</v>
      </c>
      <c r="F303" s="24">
        <f t="shared" si="45"/>
        <v>0</v>
      </c>
      <c r="G303" s="24">
        <f t="shared" si="46"/>
        <v>0</v>
      </c>
      <c r="H303" s="24">
        <f t="shared" si="47"/>
        <v>0</v>
      </c>
      <c r="I303" s="24">
        <f t="shared" si="48"/>
        <v>6881.8</v>
      </c>
      <c r="J303" s="25">
        <f t="shared" si="49"/>
        <v>7.9741404289037643E-3</v>
      </c>
      <c r="K303" s="24">
        <f t="shared" si="54"/>
        <v>1983439.7566999157</v>
      </c>
      <c r="L303" s="24" t="str">
        <f t="shared" si="50"/>
        <v/>
      </c>
      <c r="M303" s="24">
        <f t="shared" si="51"/>
        <v>0</v>
      </c>
      <c r="N303" s="24">
        <f>IF(M303&lt;=0,0,IF($E$2-A303&lt;12,(M303-E303)*Dashboard!$B$18,IF($Q$2+A303&gt;=$R$2,MAX(0,M303-E303*POWER(1+$C$2,$E$2-A303))*MAX(Dashboard!$C$18,Dashboard!$B$18),IF($S$2&lt;$R$2,(M303-E303)*0.5*Dashboard!$B$18,(E303*POWER(1+$A$2,$R$2-($Q$2+A303))-E303)*0.5*Dashboard!$B$18+MAX(0,M303-E303*POWER(1+$A$2,$R$2-($Q$2+A303))*POWER(1+$C$2,$S$2-$R$2))*MAX(Dashboard!$C$18,Dashboard!$B$18)))))</f>
        <v>0</v>
      </c>
    </row>
    <row r="304" spans="1:14" x14ac:dyDescent="0.2">
      <c r="A304" s="22">
        <f t="shared" si="52"/>
        <v>299</v>
      </c>
      <c r="B304" s="23">
        <f t="shared" si="53"/>
        <v>42.971461187214722</v>
      </c>
      <c r="C304" t="str">
        <f t="shared" si="44"/>
        <v>42 y 11.66 m</v>
      </c>
      <c r="D304" s="24">
        <f>IF(A304&gt;=$E$2,IF(A304&lt;$E$2+$H$2,$P$2,0),IF(B304&lt;Dashboard!$I$6,0,IF(A304&gt;=$F$2,Dashboard!$C$22*POWER(1+$C$2,A304-$F$2),Dashboard!$C$22)))</f>
        <v>0</v>
      </c>
      <c r="E304" s="24">
        <f>IF(A304&gt;=$F$2,0,IF(A304=0,Dashboard!$G$10,IF(B304&lt;Dashboard!$I$6,IF($J$2&lt;=Dashboard!$H$10,Dashboard!$H$10,MAX(Dashboard!$H$10,MIN($J$2,Dashboard!$H$10*POWER($J$2/Dashboard!$H$10,A304/$D$2)))),$I$2-D304-Dashboard!$I$10-Dashboard!$J$10-Dashboard!$F$10*$I$2)))</f>
        <v>6881.8</v>
      </c>
      <c r="F304" s="24">
        <f t="shared" si="45"/>
        <v>0</v>
      </c>
      <c r="G304" s="24">
        <f t="shared" si="46"/>
        <v>0</v>
      </c>
      <c r="H304" s="24">
        <f t="shared" si="47"/>
        <v>0</v>
      </c>
      <c r="I304" s="24">
        <f t="shared" si="48"/>
        <v>6881.8</v>
      </c>
      <c r="J304" s="25">
        <f t="shared" si="49"/>
        <v>7.9741404289037643E-3</v>
      </c>
      <c r="K304" s="24">
        <f t="shared" si="54"/>
        <v>2006192.6602917153</v>
      </c>
      <c r="L304" s="24" t="str">
        <f t="shared" si="50"/>
        <v/>
      </c>
      <c r="M304" s="24">
        <f t="shared" si="51"/>
        <v>0</v>
      </c>
      <c r="N304" s="24">
        <f>IF(M304&lt;=0,0,IF($E$2-A304&lt;12,(M304-E304)*Dashboard!$B$18,IF($Q$2+A304&gt;=$R$2,MAX(0,M304-E304*POWER(1+$C$2,$E$2-A304))*MAX(Dashboard!$C$18,Dashboard!$B$18),IF($S$2&lt;$R$2,(M304-E304)*0.5*Dashboard!$B$18,(E304*POWER(1+$A$2,$R$2-($Q$2+A304))-E304)*0.5*Dashboard!$B$18+MAX(0,M304-E304*POWER(1+$A$2,$R$2-($Q$2+A304))*POWER(1+$C$2,$S$2-$R$2))*MAX(Dashboard!$C$18,Dashboard!$B$18)))))</f>
        <v>0</v>
      </c>
    </row>
    <row r="305" spans="1:14" x14ac:dyDescent="0.2">
      <c r="A305" s="22">
        <f t="shared" si="52"/>
        <v>300</v>
      </c>
      <c r="B305" s="23">
        <f t="shared" si="53"/>
        <v>43.054794520548057</v>
      </c>
      <c r="C305" t="str">
        <f t="shared" si="44"/>
        <v>43 y 0.66 m</v>
      </c>
      <c r="D305" s="24">
        <f>IF(A305&gt;=$E$2,IF(A305&lt;$E$2+$H$2,$P$2,0),IF(B305&lt;Dashboard!$I$6,0,IF(A305&gt;=$F$2,Dashboard!$C$22*POWER(1+$C$2,A305-$F$2),Dashboard!$C$22)))</f>
        <v>0</v>
      </c>
      <c r="E305" s="24">
        <f>IF(A305&gt;=$F$2,0,IF(A305=0,Dashboard!$G$10,IF(B305&lt;Dashboard!$I$6,IF($J$2&lt;=Dashboard!$H$10,Dashboard!$H$10,MAX(Dashboard!$H$10,MIN($J$2,Dashboard!$H$10*POWER($J$2/Dashboard!$H$10,A305/$D$2)))),$I$2-D305-Dashboard!$I$10-Dashboard!$J$10-Dashboard!$F$10*$I$2)))</f>
        <v>6881.8</v>
      </c>
      <c r="F305" s="24">
        <f t="shared" si="45"/>
        <v>0</v>
      </c>
      <c r="G305" s="24">
        <f t="shared" si="46"/>
        <v>0</v>
      </c>
      <c r="H305" s="24">
        <f t="shared" si="47"/>
        <v>0</v>
      </c>
      <c r="I305" s="24">
        <f t="shared" si="48"/>
        <v>6881.8</v>
      </c>
      <c r="J305" s="25">
        <f t="shared" si="49"/>
        <v>7.9741404289037643E-3</v>
      </c>
      <c r="K305" s="24">
        <f t="shared" si="54"/>
        <v>2029126.9987319212</v>
      </c>
      <c r="L305" s="24" t="str">
        <f t="shared" si="50"/>
        <v/>
      </c>
      <c r="M305" s="24">
        <f t="shared" si="51"/>
        <v>0</v>
      </c>
      <c r="N305" s="24">
        <f>IF(M305&lt;=0,0,IF($E$2-A305&lt;12,(M305-E305)*Dashboard!$B$18,IF($Q$2+A305&gt;=$R$2,MAX(0,M305-E305*POWER(1+$C$2,$E$2-A305))*MAX(Dashboard!$C$18,Dashboard!$B$18),IF($S$2&lt;$R$2,(M305-E305)*0.5*Dashboard!$B$18,(E305*POWER(1+$A$2,$R$2-($Q$2+A305))-E305)*0.5*Dashboard!$B$18+MAX(0,M305-E305*POWER(1+$A$2,$R$2-($Q$2+A305))*POWER(1+$C$2,$S$2-$R$2))*MAX(Dashboard!$C$18,Dashboard!$B$18)))))</f>
        <v>0</v>
      </c>
    </row>
    <row r="306" spans="1:14" x14ac:dyDescent="0.2">
      <c r="A306" s="22">
        <f t="shared" si="52"/>
        <v>301</v>
      </c>
      <c r="B306" s="23">
        <f t="shared" si="53"/>
        <v>43.138127853881393</v>
      </c>
      <c r="C306" t="str">
        <f t="shared" si="44"/>
        <v>43 y 1.66 m</v>
      </c>
      <c r="D306" s="24">
        <f>IF(A306&gt;=$E$2,IF(A306&lt;$E$2+$H$2,$P$2,0),IF(B306&lt;Dashboard!$I$6,0,IF(A306&gt;=$F$2,Dashboard!$C$22*POWER(1+$C$2,A306-$F$2),Dashboard!$C$22)))</f>
        <v>0</v>
      </c>
      <c r="E306" s="24">
        <f>IF(A306&gt;=$F$2,0,IF(A306=0,Dashboard!$G$10,IF(B306&lt;Dashboard!$I$6,IF($J$2&lt;=Dashboard!$H$10,Dashboard!$H$10,MAX(Dashboard!$H$10,MIN($J$2,Dashboard!$H$10*POWER($J$2/Dashboard!$H$10,A306/$D$2)))),$I$2-D306-Dashboard!$I$10-Dashboard!$J$10-Dashboard!$F$10*$I$2)))</f>
        <v>6881.8</v>
      </c>
      <c r="F306" s="24">
        <f t="shared" si="45"/>
        <v>0</v>
      </c>
      <c r="G306" s="24">
        <f t="shared" si="46"/>
        <v>0</v>
      </c>
      <c r="H306" s="24">
        <f t="shared" si="47"/>
        <v>0</v>
      </c>
      <c r="I306" s="24">
        <f t="shared" si="48"/>
        <v>6881.8</v>
      </c>
      <c r="J306" s="25">
        <f t="shared" si="49"/>
        <v>7.9741404289037643E-3</v>
      </c>
      <c r="K306" s="24">
        <f t="shared" si="54"/>
        <v>2052244.2188074933</v>
      </c>
      <c r="L306" s="24" t="str">
        <f t="shared" si="50"/>
        <v/>
      </c>
      <c r="M306" s="24">
        <f t="shared" si="51"/>
        <v>0</v>
      </c>
      <c r="N306" s="24">
        <f>IF(M306&lt;=0,0,IF($E$2-A306&lt;12,(M306-E306)*Dashboard!$B$18,IF($Q$2+A306&gt;=$R$2,MAX(0,M306-E306*POWER(1+$C$2,$E$2-A306))*MAX(Dashboard!$C$18,Dashboard!$B$18),IF($S$2&lt;$R$2,(M306-E306)*0.5*Dashboard!$B$18,(E306*POWER(1+$A$2,$R$2-($Q$2+A306))-E306)*0.5*Dashboard!$B$18+MAX(0,M306-E306*POWER(1+$A$2,$R$2-($Q$2+A306))*POWER(1+$C$2,$S$2-$R$2))*MAX(Dashboard!$C$18,Dashboard!$B$18)))))</f>
        <v>0</v>
      </c>
    </row>
    <row r="307" spans="1:14" x14ac:dyDescent="0.2">
      <c r="A307" s="22">
        <f t="shared" si="52"/>
        <v>302</v>
      </c>
      <c r="B307" s="23">
        <f t="shared" si="53"/>
        <v>43.221461187214729</v>
      </c>
      <c r="C307" t="str">
        <f t="shared" si="44"/>
        <v>43 y 2.66 m</v>
      </c>
      <c r="D307" s="24">
        <f>IF(A307&gt;=$E$2,IF(A307&lt;$E$2+$H$2,$P$2,0),IF(B307&lt;Dashboard!$I$6,0,IF(A307&gt;=$F$2,Dashboard!$C$22*POWER(1+$C$2,A307-$F$2),Dashboard!$C$22)))</f>
        <v>0</v>
      </c>
      <c r="E307" s="24">
        <f>IF(A307&gt;=$F$2,0,IF(A307=0,Dashboard!$G$10,IF(B307&lt;Dashboard!$I$6,IF($J$2&lt;=Dashboard!$H$10,Dashboard!$H$10,MAX(Dashboard!$H$10,MIN($J$2,Dashboard!$H$10*POWER($J$2/Dashboard!$H$10,A307/$D$2)))),$I$2-D307-Dashboard!$I$10-Dashboard!$J$10-Dashboard!$F$10*$I$2)))</f>
        <v>6881.8</v>
      </c>
      <c r="F307" s="24">
        <f t="shared" si="45"/>
        <v>0</v>
      </c>
      <c r="G307" s="24">
        <f t="shared" si="46"/>
        <v>0</v>
      </c>
      <c r="H307" s="24">
        <f t="shared" si="47"/>
        <v>0</v>
      </c>
      <c r="I307" s="24">
        <f t="shared" si="48"/>
        <v>6881.8</v>
      </c>
      <c r="J307" s="25">
        <f t="shared" si="49"/>
        <v>7.9741404289037643E-3</v>
      </c>
      <c r="K307" s="24">
        <f t="shared" si="54"/>
        <v>2075545.7788422739</v>
      </c>
      <c r="L307" s="24" t="str">
        <f t="shared" si="50"/>
        <v/>
      </c>
      <c r="M307" s="24">
        <f t="shared" si="51"/>
        <v>0</v>
      </c>
      <c r="N307" s="24">
        <f>IF(M307&lt;=0,0,IF($E$2-A307&lt;12,(M307-E307)*Dashboard!$B$18,IF($Q$2+A307&gt;=$R$2,MAX(0,M307-E307*POWER(1+$C$2,$E$2-A307))*MAX(Dashboard!$C$18,Dashboard!$B$18),IF($S$2&lt;$R$2,(M307-E307)*0.5*Dashboard!$B$18,(E307*POWER(1+$A$2,$R$2-($Q$2+A307))-E307)*0.5*Dashboard!$B$18+MAX(0,M307-E307*POWER(1+$A$2,$R$2-($Q$2+A307))*POWER(1+$C$2,$S$2-$R$2))*MAX(Dashboard!$C$18,Dashboard!$B$18)))))</f>
        <v>0</v>
      </c>
    </row>
    <row r="308" spans="1:14" x14ac:dyDescent="0.2">
      <c r="A308" s="22">
        <f t="shared" si="52"/>
        <v>303</v>
      </c>
      <c r="B308" s="23">
        <f t="shared" si="53"/>
        <v>43.304794520548064</v>
      </c>
      <c r="C308" t="str">
        <f t="shared" si="44"/>
        <v>43 y 3.66 m</v>
      </c>
      <c r="D308" s="24">
        <f>IF(A308&gt;=$E$2,IF(A308&lt;$E$2+$H$2,$P$2,0),IF(B308&lt;Dashboard!$I$6,0,IF(A308&gt;=$F$2,Dashboard!$C$22*POWER(1+$C$2,A308-$F$2),Dashboard!$C$22)))</f>
        <v>0</v>
      </c>
      <c r="E308" s="24">
        <f>IF(A308&gt;=$F$2,0,IF(A308=0,Dashboard!$G$10,IF(B308&lt;Dashboard!$I$6,IF($J$2&lt;=Dashboard!$H$10,Dashboard!$H$10,MAX(Dashboard!$H$10,MIN($J$2,Dashboard!$H$10*POWER($J$2/Dashboard!$H$10,A308/$D$2)))),$I$2-D308-Dashboard!$I$10-Dashboard!$J$10-Dashboard!$F$10*$I$2)))</f>
        <v>6881.8</v>
      </c>
      <c r="F308" s="24">
        <f t="shared" si="45"/>
        <v>0</v>
      </c>
      <c r="G308" s="24">
        <f t="shared" si="46"/>
        <v>0</v>
      </c>
      <c r="H308" s="24">
        <f t="shared" si="47"/>
        <v>0</v>
      </c>
      <c r="I308" s="24">
        <f t="shared" si="48"/>
        <v>6881.8</v>
      </c>
      <c r="J308" s="25">
        <f t="shared" si="49"/>
        <v>7.9741404289037643E-3</v>
      </c>
      <c r="K308" s="24">
        <f t="shared" si="54"/>
        <v>2099033.1487889844</v>
      </c>
      <c r="L308" s="24" t="str">
        <f t="shared" si="50"/>
        <v/>
      </c>
      <c r="M308" s="24">
        <f t="shared" si="51"/>
        <v>0</v>
      </c>
      <c r="N308" s="24">
        <f>IF(M308&lt;=0,0,IF($E$2-A308&lt;12,(M308-E308)*Dashboard!$B$18,IF($Q$2+A308&gt;=$R$2,MAX(0,M308-E308*POWER(1+$C$2,$E$2-A308))*MAX(Dashboard!$C$18,Dashboard!$B$18),IF($S$2&lt;$R$2,(M308-E308)*0.5*Dashboard!$B$18,(E308*POWER(1+$A$2,$R$2-($Q$2+A308))-E308)*0.5*Dashboard!$B$18+MAX(0,M308-E308*POWER(1+$A$2,$R$2-($Q$2+A308))*POWER(1+$C$2,$S$2-$R$2))*MAX(Dashboard!$C$18,Dashboard!$B$18)))))</f>
        <v>0</v>
      </c>
    </row>
    <row r="309" spans="1:14" x14ac:dyDescent="0.2">
      <c r="A309" s="22">
        <f t="shared" si="52"/>
        <v>304</v>
      </c>
      <c r="B309" s="23">
        <f t="shared" si="53"/>
        <v>43.3881278538814</v>
      </c>
      <c r="C309" t="str">
        <f t="shared" si="44"/>
        <v>43 y 4.66 m</v>
      </c>
      <c r="D309" s="24">
        <f>IF(A309&gt;=$E$2,IF(A309&lt;$E$2+$H$2,$P$2,0),IF(B309&lt;Dashboard!$I$6,0,IF(A309&gt;=$F$2,Dashboard!$C$22*POWER(1+$C$2,A309-$F$2),Dashboard!$C$22)))</f>
        <v>0</v>
      </c>
      <c r="E309" s="24">
        <f>IF(A309&gt;=$F$2,0,IF(A309=0,Dashboard!$G$10,IF(B309&lt;Dashboard!$I$6,IF($J$2&lt;=Dashboard!$H$10,Dashboard!$H$10,MAX(Dashboard!$H$10,MIN($J$2,Dashboard!$H$10*POWER($J$2/Dashboard!$H$10,A309/$D$2)))),$I$2-D309-Dashboard!$I$10-Dashboard!$J$10-Dashboard!$F$10*$I$2)))</f>
        <v>6881.8</v>
      </c>
      <c r="F309" s="24">
        <f t="shared" si="45"/>
        <v>0</v>
      </c>
      <c r="G309" s="24">
        <f t="shared" si="46"/>
        <v>0</v>
      </c>
      <c r="H309" s="24">
        <f t="shared" si="47"/>
        <v>0</v>
      </c>
      <c r="I309" s="24">
        <f t="shared" si="48"/>
        <v>6881.8</v>
      </c>
      <c r="J309" s="25">
        <f t="shared" si="49"/>
        <v>7.9741404289037643E-3</v>
      </c>
      <c r="K309" s="24">
        <f t="shared" si="54"/>
        <v>2122707.8103219555</v>
      </c>
      <c r="L309" s="24" t="str">
        <f t="shared" si="50"/>
        <v/>
      </c>
      <c r="M309" s="24">
        <f t="shared" si="51"/>
        <v>0</v>
      </c>
      <c r="N309" s="24">
        <f>IF(M309&lt;=0,0,IF($E$2-A309&lt;12,(M309-E309)*Dashboard!$B$18,IF($Q$2+A309&gt;=$R$2,MAX(0,M309-E309*POWER(1+$C$2,$E$2-A309))*MAX(Dashboard!$C$18,Dashboard!$B$18),IF($S$2&lt;$R$2,(M309-E309)*0.5*Dashboard!$B$18,(E309*POWER(1+$A$2,$R$2-($Q$2+A309))-E309)*0.5*Dashboard!$B$18+MAX(0,M309-E309*POWER(1+$A$2,$R$2-($Q$2+A309))*POWER(1+$C$2,$S$2-$R$2))*MAX(Dashboard!$C$18,Dashboard!$B$18)))))</f>
        <v>0</v>
      </c>
    </row>
    <row r="310" spans="1:14" x14ac:dyDescent="0.2">
      <c r="A310" s="22">
        <f t="shared" si="52"/>
        <v>305</v>
      </c>
      <c r="B310" s="23">
        <f t="shared" si="53"/>
        <v>43.471461187214736</v>
      </c>
      <c r="C310" t="str">
        <f t="shared" si="44"/>
        <v>43 y 5.66 m</v>
      </c>
      <c r="D310" s="24">
        <f>IF(A310&gt;=$E$2,IF(A310&lt;$E$2+$H$2,$P$2,0),IF(B310&lt;Dashboard!$I$6,0,IF(A310&gt;=$F$2,Dashboard!$C$22*POWER(1+$C$2,A310-$F$2),Dashboard!$C$22)))</f>
        <v>0</v>
      </c>
      <c r="E310" s="24">
        <f>IF(A310&gt;=$F$2,0,IF(A310=0,Dashboard!$G$10,IF(B310&lt;Dashboard!$I$6,IF($J$2&lt;=Dashboard!$H$10,Dashboard!$H$10,MAX(Dashboard!$H$10,MIN($J$2,Dashboard!$H$10*POWER($J$2/Dashboard!$H$10,A310/$D$2)))),$I$2-D310-Dashboard!$I$10-Dashboard!$J$10-Dashboard!$F$10*$I$2)))</f>
        <v>6881.8</v>
      </c>
      <c r="F310" s="24">
        <f t="shared" si="45"/>
        <v>0</v>
      </c>
      <c r="G310" s="24">
        <f t="shared" si="46"/>
        <v>0</v>
      </c>
      <c r="H310" s="24">
        <f t="shared" si="47"/>
        <v>0</v>
      </c>
      <c r="I310" s="24">
        <f t="shared" si="48"/>
        <v>6881.8</v>
      </c>
      <c r="J310" s="25">
        <f t="shared" si="49"/>
        <v>7.9741404289037643E-3</v>
      </c>
      <c r="K310" s="24">
        <f t="shared" si="54"/>
        <v>2146571.2569305971</v>
      </c>
      <c r="L310" s="24" t="str">
        <f t="shared" si="50"/>
        <v/>
      </c>
      <c r="M310" s="24">
        <f t="shared" si="51"/>
        <v>0</v>
      </c>
      <c r="N310" s="24">
        <f>IF(M310&lt;=0,0,IF($E$2-A310&lt;12,(M310-E310)*Dashboard!$B$18,IF($Q$2+A310&gt;=$R$2,MAX(0,M310-E310*POWER(1+$C$2,$E$2-A310))*MAX(Dashboard!$C$18,Dashboard!$B$18),IF($S$2&lt;$R$2,(M310-E310)*0.5*Dashboard!$B$18,(E310*POWER(1+$A$2,$R$2-($Q$2+A310))-E310)*0.5*Dashboard!$B$18+MAX(0,M310-E310*POWER(1+$A$2,$R$2-($Q$2+A310))*POWER(1+$C$2,$S$2-$R$2))*MAX(Dashboard!$C$18,Dashboard!$B$18)))))</f>
        <v>0</v>
      </c>
    </row>
    <row r="311" spans="1:14" x14ac:dyDescent="0.2">
      <c r="A311" s="22">
        <f t="shared" si="52"/>
        <v>306</v>
      </c>
      <c r="B311" s="23">
        <f t="shared" si="53"/>
        <v>43.554794520548072</v>
      </c>
      <c r="C311" t="str">
        <f t="shared" si="44"/>
        <v>43 y 6.66 m</v>
      </c>
      <c r="D311" s="24">
        <f>IF(A311&gt;=$E$2,IF(A311&lt;$E$2+$H$2,$P$2,0),IF(B311&lt;Dashboard!$I$6,0,IF(A311&gt;=$F$2,Dashboard!$C$22*POWER(1+$C$2,A311-$F$2),Dashboard!$C$22)))</f>
        <v>0</v>
      </c>
      <c r="E311" s="24">
        <f>IF(A311&gt;=$F$2,0,IF(A311=0,Dashboard!$G$10,IF(B311&lt;Dashboard!$I$6,IF($J$2&lt;=Dashboard!$H$10,Dashboard!$H$10,MAX(Dashboard!$H$10,MIN($J$2,Dashboard!$H$10*POWER($J$2/Dashboard!$H$10,A311/$D$2)))),$I$2-D311-Dashboard!$I$10-Dashboard!$J$10-Dashboard!$F$10*$I$2)))</f>
        <v>6881.8</v>
      </c>
      <c r="F311" s="24">
        <f t="shared" si="45"/>
        <v>0</v>
      </c>
      <c r="G311" s="24">
        <f t="shared" si="46"/>
        <v>0</v>
      </c>
      <c r="H311" s="24">
        <f t="shared" si="47"/>
        <v>0</v>
      </c>
      <c r="I311" s="24">
        <f t="shared" si="48"/>
        <v>6881.8</v>
      </c>
      <c r="J311" s="25">
        <f t="shared" si="49"/>
        <v>7.9741404289037643E-3</v>
      </c>
      <c r="K311" s="24">
        <f t="shared" si="54"/>
        <v>2170624.9940136136</v>
      </c>
      <c r="L311" s="24" t="str">
        <f t="shared" si="50"/>
        <v/>
      </c>
      <c r="M311" s="24">
        <f t="shared" si="51"/>
        <v>0</v>
      </c>
      <c r="N311" s="24">
        <f>IF(M311&lt;=0,0,IF($E$2-A311&lt;12,(M311-E311)*Dashboard!$B$18,IF($Q$2+A311&gt;=$R$2,MAX(0,M311-E311*POWER(1+$C$2,$E$2-A311))*MAX(Dashboard!$C$18,Dashboard!$B$18),IF($S$2&lt;$R$2,(M311-E311)*0.5*Dashboard!$B$18,(E311*POWER(1+$A$2,$R$2-($Q$2+A311))-E311)*0.5*Dashboard!$B$18+MAX(0,M311-E311*POWER(1+$A$2,$R$2-($Q$2+A311))*POWER(1+$C$2,$S$2-$R$2))*MAX(Dashboard!$C$18,Dashboard!$B$18)))))</f>
        <v>0</v>
      </c>
    </row>
    <row r="312" spans="1:14" x14ac:dyDescent="0.2">
      <c r="A312" s="22">
        <f t="shared" si="52"/>
        <v>307</v>
      </c>
      <c r="B312" s="23">
        <f t="shared" si="53"/>
        <v>43.638127853881407</v>
      </c>
      <c r="C312" t="str">
        <f t="shared" si="44"/>
        <v>43 y 7.66 m</v>
      </c>
      <c r="D312" s="24">
        <f>IF(A312&gt;=$E$2,IF(A312&lt;$E$2+$H$2,$P$2,0),IF(B312&lt;Dashboard!$I$6,0,IF(A312&gt;=$F$2,Dashboard!$C$22*POWER(1+$C$2,A312-$F$2),Dashboard!$C$22)))</f>
        <v>0</v>
      </c>
      <c r="E312" s="24">
        <f>IF(A312&gt;=$F$2,0,IF(A312=0,Dashboard!$G$10,IF(B312&lt;Dashboard!$I$6,IF($J$2&lt;=Dashboard!$H$10,Dashboard!$H$10,MAX(Dashboard!$H$10,MIN($J$2,Dashboard!$H$10*POWER($J$2/Dashboard!$H$10,A312/$D$2)))),$I$2-D312-Dashboard!$I$10-Dashboard!$J$10-Dashboard!$F$10*$I$2)))</f>
        <v>6881.8</v>
      </c>
      <c r="F312" s="24">
        <f t="shared" si="45"/>
        <v>0</v>
      </c>
      <c r="G312" s="24">
        <f t="shared" si="46"/>
        <v>0</v>
      </c>
      <c r="H312" s="24">
        <f t="shared" si="47"/>
        <v>0</v>
      </c>
      <c r="I312" s="24">
        <f t="shared" si="48"/>
        <v>6881.8</v>
      </c>
      <c r="J312" s="25">
        <f t="shared" si="49"/>
        <v>7.9741404289037643E-3</v>
      </c>
      <c r="K312" s="24">
        <f t="shared" si="54"/>
        <v>2194870.5389739699</v>
      </c>
      <c r="L312" s="24" t="str">
        <f t="shared" si="50"/>
        <v/>
      </c>
      <c r="M312" s="24">
        <f t="shared" si="51"/>
        <v>0</v>
      </c>
      <c r="N312" s="24">
        <f>IF(M312&lt;=0,0,IF($E$2-A312&lt;12,(M312-E312)*Dashboard!$B$18,IF($Q$2+A312&gt;=$R$2,MAX(0,M312-E312*POWER(1+$C$2,$E$2-A312))*MAX(Dashboard!$C$18,Dashboard!$B$18),IF($S$2&lt;$R$2,(M312-E312)*0.5*Dashboard!$B$18,(E312*POWER(1+$A$2,$R$2-($Q$2+A312))-E312)*0.5*Dashboard!$B$18+MAX(0,M312-E312*POWER(1+$A$2,$R$2-($Q$2+A312))*POWER(1+$C$2,$S$2-$R$2))*MAX(Dashboard!$C$18,Dashboard!$B$18)))))</f>
        <v>0</v>
      </c>
    </row>
    <row r="313" spans="1:14" x14ac:dyDescent="0.2">
      <c r="A313" s="22">
        <f t="shared" si="52"/>
        <v>308</v>
      </c>
      <c r="B313" s="23">
        <f t="shared" si="53"/>
        <v>43.721461187214743</v>
      </c>
      <c r="C313" t="str">
        <f t="shared" si="44"/>
        <v>43 y 8.66 m</v>
      </c>
      <c r="D313" s="24">
        <f>IF(A313&gt;=$E$2,IF(A313&lt;$E$2+$H$2,$P$2,0),IF(B313&lt;Dashboard!$I$6,0,IF(A313&gt;=$F$2,Dashboard!$C$22*POWER(1+$C$2,A313-$F$2),Dashboard!$C$22)))</f>
        <v>0</v>
      </c>
      <c r="E313" s="24">
        <f>IF(A313&gt;=$F$2,0,IF(A313=0,Dashboard!$G$10,IF(B313&lt;Dashboard!$I$6,IF($J$2&lt;=Dashboard!$H$10,Dashboard!$H$10,MAX(Dashboard!$H$10,MIN($J$2,Dashboard!$H$10*POWER($J$2/Dashboard!$H$10,A313/$D$2)))),$I$2-D313-Dashboard!$I$10-Dashboard!$J$10-Dashboard!$F$10*$I$2)))</f>
        <v>6881.8</v>
      </c>
      <c r="F313" s="24">
        <f t="shared" si="45"/>
        <v>0</v>
      </c>
      <c r="G313" s="24">
        <f t="shared" si="46"/>
        <v>0</v>
      </c>
      <c r="H313" s="24">
        <f t="shared" si="47"/>
        <v>0</v>
      </c>
      <c r="I313" s="24">
        <f t="shared" si="48"/>
        <v>6881.8</v>
      </c>
      <c r="J313" s="25">
        <f t="shared" si="49"/>
        <v>7.9741404289037643E-3</v>
      </c>
      <c r="K313" s="24">
        <f t="shared" si="54"/>
        <v>2219309.4213146153</v>
      </c>
      <c r="L313" s="24" t="str">
        <f t="shared" si="50"/>
        <v/>
      </c>
      <c r="M313" s="24">
        <f t="shared" si="51"/>
        <v>0</v>
      </c>
      <c r="N313" s="24">
        <f>IF(M313&lt;=0,0,IF($E$2-A313&lt;12,(M313-E313)*Dashboard!$B$18,IF($Q$2+A313&gt;=$R$2,MAX(0,M313-E313*POWER(1+$C$2,$E$2-A313))*MAX(Dashboard!$C$18,Dashboard!$B$18),IF($S$2&lt;$R$2,(M313-E313)*0.5*Dashboard!$B$18,(E313*POWER(1+$A$2,$R$2-($Q$2+A313))-E313)*0.5*Dashboard!$B$18+MAX(0,M313-E313*POWER(1+$A$2,$R$2-($Q$2+A313))*POWER(1+$C$2,$S$2-$R$2))*MAX(Dashboard!$C$18,Dashboard!$B$18)))))</f>
        <v>0</v>
      </c>
    </row>
    <row r="314" spans="1:14" x14ac:dyDescent="0.2">
      <c r="A314" s="22">
        <f t="shared" si="52"/>
        <v>309</v>
      </c>
      <c r="B314" s="23">
        <f t="shared" si="53"/>
        <v>43.804794520548079</v>
      </c>
      <c r="C314" t="str">
        <f t="shared" si="44"/>
        <v>43 y 9.66 m</v>
      </c>
      <c r="D314" s="24">
        <f>IF(A314&gt;=$E$2,IF(A314&lt;$E$2+$H$2,$P$2,0),IF(B314&lt;Dashboard!$I$6,0,IF(A314&gt;=$F$2,Dashboard!$C$22*POWER(1+$C$2,A314-$F$2),Dashboard!$C$22)))</f>
        <v>0</v>
      </c>
      <c r="E314" s="24">
        <f>IF(A314&gt;=$F$2,0,IF(A314=0,Dashboard!$G$10,IF(B314&lt;Dashboard!$I$6,IF($J$2&lt;=Dashboard!$H$10,Dashboard!$H$10,MAX(Dashboard!$H$10,MIN($J$2,Dashboard!$H$10*POWER($J$2/Dashboard!$H$10,A314/$D$2)))),$I$2-D314-Dashboard!$I$10-Dashboard!$J$10-Dashboard!$F$10*$I$2)))</f>
        <v>6881.8</v>
      </c>
      <c r="F314" s="24">
        <f t="shared" si="45"/>
        <v>0</v>
      </c>
      <c r="G314" s="24">
        <f t="shared" si="46"/>
        <v>0</v>
      </c>
      <c r="H314" s="24">
        <f t="shared" si="47"/>
        <v>0</v>
      </c>
      <c r="I314" s="24">
        <f t="shared" si="48"/>
        <v>6881.8</v>
      </c>
      <c r="J314" s="25">
        <f t="shared" si="49"/>
        <v>7.9741404289037643E-3</v>
      </c>
      <c r="K314" s="24">
        <f t="shared" si="54"/>
        <v>2243943.1827349705</v>
      </c>
      <c r="L314" s="24" t="str">
        <f t="shared" si="50"/>
        <v/>
      </c>
      <c r="M314" s="24">
        <f t="shared" si="51"/>
        <v>0</v>
      </c>
      <c r="N314" s="24">
        <f>IF(M314&lt;=0,0,IF($E$2-A314&lt;12,(M314-E314)*Dashboard!$B$18,IF($Q$2+A314&gt;=$R$2,MAX(0,M314-E314*POWER(1+$C$2,$E$2-A314))*MAX(Dashboard!$C$18,Dashboard!$B$18),IF($S$2&lt;$R$2,(M314-E314)*0.5*Dashboard!$B$18,(E314*POWER(1+$A$2,$R$2-($Q$2+A314))-E314)*0.5*Dashboard!$B$18+MAX(0,M314-E314*POWER(1+$A$2,$R$2-($Q$2+A314))*POWER(1+$C$2,$S$2-$R$2))*MAX(Dashboard!$C$18,Dashboard!$B$18)))))</f>
        <v>0</v>
      </c>
    </row>
    <row r="315" spans="1:14" x14ac:dyDescent="0.2">
      <c r="A315" s="22">
        <f t="shared" si="52"/>
        <v>310</v>
      </c>
      <c r="B315" s="23">
        <f t="shared" si="53"/>
        <v>43.888127853881414</v>
      </c>
      <c r="C315" t="str">
        <f t="shared" si="44"/>
        <v>43 y 10.66 m</v>
      </c>
      <c r="D315" s="24">
        <f>IF(A315&gt;=$E$2,IF(A315&lt;$E$2+$H$2,$P$2,0),IF(B315&lt;Dashboard!$I$6,0,IF(A315&gt;=$F$2,Dashboard!$C$22*POWER(1+$C$2,A315-$F$2),Dashboard!$C$22)))</f>
        <v>0</v>
      </c>
      <c r="E315" s="24">
        <f>IF(A315&gt;=$F$2,0,IF(A315=0,Dashboard!$G$10,IF(B315&lt;Dashboard!$I$6,IF($J$2&lt;=Dashboard!$H$10,Dashboard!$H$10,MAX(Dashboard!$H$10,MIN($J$2,Dashboard!$H$10*POWER($J$2/Dashboard!$H$10,A315/$D$2)))),$I$2-D315-Dashboard!$I$10-Dashboard!$J$10-Dashboard!$F$10*$I$2)))</f>
        <v>6881.8</v>
      </c>
      <c r="F315" s="24">
        <f t="shared" si="45"/>
        <v>0</v>
      </c>
      <c r="G315" s="24">
        <f t="shared" si="46"/>
        <v>0</v>
      </c>
      <c r="H315" s="24">
        <f t="shared" si="47"/>
        <v>0</v>
      </c>
      <c r="I315" s="24">
        <f t="shared" si="48"/>
        <v>6881.8</v>
      </c>
      <c r="J315" s="25">
        <f t="shared" si="49"/>
        <v>7.9741404289037643E-3</v>
      </c>
      <c r="K315" s="24">
        <f t="shared" si="54"/>
        <v>2268773.3772281837</v>
      </c>
      <c r="L315" s="24" t="str">
        <f t="shared" si="50"/>
        <v/>
      </c>
      <c r="M315" s="24">
        <f t="shared" si="51"/>
        <v>0</v>
      </c>
      <c r="N315" s="24">
        <f>IF(M315&lt;=0,0,IF($E$2-A315&lt;12,(M315-E315)*Dashboard!$B$18,IF($Q$2+A315&gt;=$R$2,MAX(0,M315-E315*POWER(1+$C$2,$E$2-A315))*MAX(Dashboard!$C$18,Dashboard!$B$18),IF($S$2&lt;$R$2,(M315-E315)*0.5*Dashboard!$B$18,(E315*POWER(1+$A$2,$R$2-($Q$2+A315))-E315)*0.5*Dashboard!$B$18+MAX(0,M315-E315*POWER(1+$A$2,$R$2-($Q$2+A315))*POWER(1+$C$2,$S$2-$R$2))*MAX(Dashboard!$C$18,Dashboard!$B$18)))))</f>
        <v>0</v>
      </c>
    </row>
    <row r="316" spans="1:14" x14ac:dyDescent="0.2">
      <c r="A316" s="22">
        <f t="shared" si="52"/>
        <v>311</v>
      </c>
      <c r="B316" s="23">
        <f t="shared" si="53"/>
        <v>43.97146118721475</v>
      </c>
      <c r="C316" t="str">
        <f t="shared" si="44"/>
        <v>43 y 11.66 m</v>
      </c>
      <c r="D316" s="24">
        <f>IF(A316&gt;=$E$2,IF(A316&lt;$E$2+$H$2,$P$2,0),IF(B316&lt;Dashboard!$I$6,0,IF(A316&gt;=$F$2,Dashboard!$C$22*POWER(1+$C$2,A316-$F$2),Dashboard!$C$22)))</f>
        <v>0</v>
      </c>
      <c r="E316" s="24">
        <f>IF(A316&gt;=$F$2,0,IF(A316=0,Dashboard!$G$10,IF(B316&lt;Dashboard!$I$6,IF($J$2&lt;=Dashboard!$H$10,Dashboard!$H$10,MAX(Dashboard!$H$10,MIN($J$2,Dashboard!$H$10*POWER($J$2/Dashboard!$H$10,A316/$D$2)))),$I$2-D316-Dashboard!$I$10-Dashboard!$J$10-Dashboard!$F$10*$I$2)))</f>
        <v>6881.8</v>
      </c>
      <c r="F316" s="24">
        <f t="shared" si="45"/>
        <v>0</v>
      </c>
      <c r="G316" s="24">
        <f t="shared" si="46"/>
        <v>0</v>
      </c>
      <c r="H316" s="24">
        <f t="shared" si="47"/>
        <v>0</v>
      </c>
      <c r="I316" s="24">
        <f t="shared" si="48"/>
        <v>6881.8</v>
      </c>
      <c r="J316" s="25">
        <f t="shared" si="49"/>
        <v>7.9741404289037643E-3</v>
      </c>
      <c r="K316" s="24">
        <f t="shared" si="54"/>
        <v>2293801.5711791627</v>
      </c>
      <c r="L316" s="24" t="str">
        <f t="shared" si="50"/>
        <v/>
      </c>
      <c r="M316" s="24">
        <f t="shared" si="51"/>
        <v>0</v>
      </c>
      <c r="N316" s="24">
        <f>IF(M316&lt;=0,0,IF($E$2-A316&lt;12,(M316-E316)*Dashboard!$B$18,IF($Q$2+A316&gt;=$R$2,MAX(0,M316-E316*POWER(1+$C$2,$E$2-A316))*MAX(Dashboard!$C$18,Dashboard!$B$18),IF($S$2&lt;$R$2,(M316-E316)*0.5*Dashboard!$B$18,(E316*POWER(1+$A$2,$R$2-($Q$2+A316))-E316)*0.5*Dashboard!$B$18+MAX(0,M316-E316*POWER(1+$A$2,$R$2-($Q$2+A316))*POWER(1+$C$2,$S$2-$R$2))*MAX(Dashboard!$C$18,Dashboard!$B$18)))))</f>
        <v>0</v>
      </c>
    </row>
    <row r="317" spans="1:14" x14ac:dyDescent="0.2">
      <c r="A317" s="22">
        <f t="shared" si="52"/>
        <v>312</v>
      </c>
      <c r="B317" s="23">
        <f t="shared" si="53"/>
        <v>44.054794520548086</v>
      </c>
      <c r="C317" t="str">
        <f t="shared" si="44"/>
        <v>44 y 0.66 m</v>
      </c>
      <c r="D317" s="24">
        <f>IF(A317&gt;=$E$2,IF(A317&lt;$E$2+$H$2,$P$2,0),IF(B317&lt;Dashboard!$I$6,0,IF(A317&gt;=$F$2,Dashboard!$C$22*POWER(1+$C$2,A317-$F$2),Dashboard!$C$22)))</f>
        <v>0</v>
      </c>
      <c r="E317" s="24">
        <f>IF(A317&gt;=$F$2,0,IF(A317=0,Dashboard!$G$10,IF(B317&lt;Dashboard!$I$6,IF($J$2&lt;=Dashboard!$H$10,Dashboard!$H$10,MAX(Dashboard!$H$10,MIN($J$2,Dashboard!$H$10*POWER($J$2/Dashboard!$H$10,A317/$D$2)))),$I$2-D317-Dashboard!$I$10-Dashboard!$J$10-Dashboard!$F$10*$I$2)))</f>
        <v>6881.8</v>
      </c>
      <c r="F317" s="24">
        <f t="shared" si="45"/>
        <v>0</v>
      </c>
      <c r="G317" s="24">
        <f t="shared" si="46"/>
        <v>0</v>
      </c>
      <c r="H317" s="24">
        <f t="shared" si="47"/>
        <v>0</v>
      </c>
      <c r="I317" s="24">
        <f t="shared" si="48"/>
        <v>6881.8</v>
      </c>
      <c r="J317" s="25">
        <f t="shared" si="49"/>
        <v>7.9741404289037643E-3</v>
      </c>
      <c r="K317" s="24">
        <f t="shared" si="54"/>
        <v>2319029.3434633887</v>
      </c>
      <c r="L317" s="24" t="str">
        <f t="shared" si="50"/>
        <v/>
      </c>
      <c r="M317" s="24">
        <f t="shared" si="51"/>
        <v>0</v>
      </c>
      <c r="N317" s="24">
        <f>IF(M317&lt;=0,0,IF($E$2-A317&lt;12,(M317-E317)*Dashboard!$B$18,IF($Q$2+A317&gt;=$R$2,MAX(0,M317-E317*POWER(1+$C$2,$E$2-A317))*MAX(Dashboard!$C$18,Dashboard!$B$18),IF($S$2&lt;$R$2,(M317-E317)*0.5*Dashboard!$B$18,(E317*POWER(1+$A$2,$R$2-($Q$2+A317))-E317)*0.5*Dashboard!$B$18+MAX(0,M317-E317*POWER(1+$A$2,$R$2-($Q$2+A317))*POWER(1+$C$2,$S$2-$R$2))*MAX(Dashboard!$C$18,Dashboard!$B$18)))))</f>
        <v>0</v>
      </c>
    </row>
    <row r="318" spans="1:14" x14ac:dyDescent="0.2">
      <c r="A318" s="22">
        <f t="shared" si="52"/>
        <v>313</v>
      </c>
      <c r="B318" s="23">
        <f t="shared" si="53"/>
        <v>44.138127853881421</v>
      </c>
      <c r="C318" t="str">
        <f t="shared" si="44"/>
        <v>44 y 1.66 m</v>
      </c>
      <c r="D318" s="24">
        <f>IF(A318&gt;=$E$2,IF(A318&lt;$E$2+$H$2,$P$2,0),IF(B318&lt;Dashboard!$I$6,0,IF(A318&gt;=$F$2,Dashboard!$C$22*POWER(1+$C$2,A318-$F$2),Dashboard!$C$22)))</f>
        <v>0</v>
      </c>
      <c r="E318" s="24">
        <f>IF(A318&gt;=$F$2,0,IF(A318=0,Dashboard!$G$10,IF(B318&lt;Dashboard!$I$6,IF($J$2&lt;=Dashboard!$H$10,Dashboard!$H$10,MAX(Dashboard!$H$10,MIN($J$2,Dashboard!$H$10*POWER($J$2/Dashboard!$H$10,A318/$D$2)))),$I$2-D318-Dashboard!$I$10-Dashboard!$J$10-Dashboard!$F$10*$I$2)))</f>
        <v>6881.8</v>
      </c>
      <c r="F318" s="24">
        <f t="shared" si="45"/>
        <v>0</v>
      </c>
      <c r="G318" s="24">
        <f t="shared" si="46"/>
        <v>0</v>
      </c>
      <c r="H318" s="24">
        <f t="shared" si="47"/>
        <v>0</v>
      </c>
      <c r="I318" s="24">
        <f t="shared" si="48"/>
        <v>6881.8</v>
      </c>
      <c r="J318" s="25">
        <f t="shared" si="49"/>
        <v>7.9741404289037643E-3</v>
      </c>
      <c r="K318" s="24">
        <f t="shared" si="54"/>
        <v>2344458.2855465179</v>
      </c>
      <c r="L318" s="24" t="str">
        <f t="shared" si="50"/>
        <v/>
      </c>
      <c r="M318" s="24">
        <f t="shared" si="51"/>
        <v>0</v>
      </c>
      <c r="N318" s="24">
        <f>IF(M318&lt;=0,0,IF($E$2-A318&lt;12,(M318-E318)*Dashboard!$B$18,IF($Q$2+A318&gt;=$R$2,MAX(0,M318-E318*POWER(1+$C$2,$E$2-A318))*MAX(Dashboard!$C$18,Dashboard!$B$18),IF($S$2&lt;$R$2,(M318-E318)*0.5*Dashboard!$B$18,(E318*POWER(1+$A$2,$R$2-($Q$2+A318))-E318)*0.5*Dashboard!$B$18+MAX(0,M318-E318*POWER(1+$A$2,$R$2-($Q$2+A318))*POWER(1+$C$2,$S$2-$R$2))*MAX(Dashboard!$C$18,Dashboard!$B$18)))))</f>
        <v>0</v>
      </c>
    </row>
    <row r="319" spans="1:14" x14ac:dyDescent="0.2">
      <c r="A319" s="22">
        <f t="shared" si="52"/>
        <v>314</v>
      </c>
      <c r="B319" s="23">
        <f t="shared" si="53"/>
        <v>44.221461187214757</v>
      </c>
      <c r="C319" t="str">
        <f t="shared" si="44"/>
        <v>44 y 2.66 m</v>
      </c>
      <c r="D319" s="24">
        <f>IF(A319&gt;=$E$2,IF(A319&lt;$E$2+$H$2,$P$2,0),IF(B319&lt;Dashboard!$I$6,0,IF(A319&gt;=$F$2,Dashboard!$C$22*POWER(1+$C$2,A319-$F$2),Dashboard!$C$22)))</f>
        <v>0</v>
      </c>
      <c r="E319" s="24">
        <f>IF(A319&gt;=$F$2,0,IF(A319=0,Dashboard!$G$10,IF(B319&lt;Dashboard!$I$6,IF($J$2&lt;=Dashboard!$H$10,Dashboard!$H$10,MAX(Dashboard!$H$10,MIN($J$2,Dashboard!$H$10*POWER($J$2/Dashboard!$H$10,A319/$D$2)))),$I$2-D319-Dashboard!$I$10-Dashboard!$J$10-Dashboard!$F$10*$I$2)))</f>
        <v>6881.8</v>
      </c>
      <c r="F319" s="24">
        <f t="shared" si="45"/>
        <v>0</v>
      </c>
      <c r="G319" s="24">
        <f t="shared" si="46"/>
        <v>0</v>
      </c>
      <c r="H319" s="24">
        <f t="shared" si="47"/>
        <v>0</v>
      </c>
      <c r="I319" s="24">
        <f t="shared" si="48"/>
        <v>6881.8</v>
      </c>
      <c r="J319" s="25">
        <f t="shared" si="49"/>
        <v>7.9741404289037643E-3</v>
      </c>
      <c r="K319" s="24">
        <f t="shared" si="54"/>
        <v>2370090.0015847762</v>
      </c>
      <c r="L319" s="24" t="str">
        <f t="shared" si="50"/>
        <v/>
      </c>
      <c r="M319" s="24">
        <f t="shared" si="51"/>
        <v>0</v>
      </c>
      <c r="N319" s="24">
        <f>IF(M319&lt;=0,0,IF($E$2-A319&lt;12,(M319-E319)*Dashboard!$B$18,IF($Q$2+A319&gt;=$R$2,MAX(0,M319-E319*POWER(1+$C$2,$E$2-A319))*MAX(Dashboard!$C$18,Dashboard!$B$18),IF($S$2&lt;$R$2,(M319-E319)*0.5*Dashboard!$B$18,(E319*POWER(1+$A$2,$R$2-($Q$2+A319))-E319)*0.5*Dashboard!$B$18+MAX(0,M319-E319*POWER(1+$A$2,$R$2-($Q$2+A319))*POWER(1+$C$2,$S$2-$R$2))*MAX(Dashboard!$C$18,Dashboard!$B$18)))))</f>
        <v>0</v>
      </c>
    </row>
    <row r="320" spans="1:14" x14ac:dyDescent="0.2">
      <c r="A320" s="22">
        <f t="shared" si="52"/>
        <v>315</v>
      </c>
      <c r="B320" s="23">
        <f t="shared" si="53"/>
        <v>44.304794520548093</v>
      </c>
      <c r="C320" t="str">
        <f t="shared" si="44"/>
        <v>44 y 3.66 m</v>
      </c>
      <c r="D320" s="24">
        <f>IF(A320&gt;=$E$2,IF(A320&lt;$E$2+$H$2,$P$2,0),IF(B320&lt;Dashboard!$I$6,0,IF(A320&gt;=$F$2,Dashboard!$C$22*POWER(1+$C$2,A320-$F$2),Dashboard!$C$22)))</f>
        <v>0</v>
      </c>
      <c r="E320" s="24">
        <f>IF(A320&gt;=$F$2,0,IF(A320=0,Dashboard!$G$10,IF(B320&lt;Dashboard!$I$6,IF($J$2&lt;=Dashboard!$H$10,Dashboard!$H$10,MAX(Dashboard!$H$10,MIN($J$2,Dashboard!$H$10*POWER($J$2/Dashboard!$H$10,A320/$D$2)))),$I$2-D320-Dashboard!$I$10-Dashboard!$J$10-Dashboard!$F$10*$I$2)))</f>
        <v>6881.8</v>
      </c>
      <c r="F320" s="24">
        <f t="shared" si="45"/>
        <v>0</v>
      </c>
      <c r="G320" s="24">
        <f t="shared" si="46"/>
        <v>0</v>
      </c>
      <c r="H320" s="24">
        <f t="shared" si="47"/>
        <v>0</v>
      </c>
      <c r="I320" s="24">
        <f t="shared" si="48"/>
        <v>6881.8</v>
      </c>
      <c r="J320" s="25">
        <f t="shared" si="49"/>
        <v>7.9741404289037643E-3</v>
      </c>
      <c r="K320" s="24">
        <f t="shared" si="54"/>
        <v>2395926.1085261572</v>
      </c>
      <c r="L320" s="24" t="str">
        <f t="shared" si="50"/>
        <v/>
      </c>
      <c r="M320" s="24">
        <f t="shared" si="51"/>
        <v>0</v>
      </c>
      <c r="N320" s="24">
        <f>IF(M320&lt;=0,0,IF($E$2-A320&lt;12,(M320-E320)*Dashboard!$B$18,IF($Q$2+A320&gt;=$R$2,MAX(0,M320-E320*POWER(1+$C$2,$E$2-A320))*MAX(Dashboard!$C$18,Dashboard!$B$18),IF($S$2&lt;$R$2,(M320-E320)*0.5*Dashboard!$B$18,(E320*POWER(1+$A$2,$R$2-($Q$2+A320))-E320)*0.5*Dashboard!$B$18+MAX(0,M320-E320*POWER(1+$A$2,$R$2-($Q$2+A320))*POWER(1+$C$2,$S$2-$R$2))*MAX(Dashboard!$C$18,Dashboard!$B$18)))))</f>
        <v>0</v>
      </c>
    </row>
    <row r="321" spans="1:14" x14ac:dyDescent="0.2">
      <c r="A321" s="22">
        <f t="shared" si="52"/>
        <v>316</v>
      </c>
      <c r="B321" s="23">
        <f t="shared" si="53"/>
        <v>44.388127853881429</v>
      </c>
      <c r="C321" t="str">
        <f t="shared" si="44"/>
        <v>44 y 4.66 m</v>
      </c>
      <c r="D321" s="24">
        <f>IF(A321&gt;=$E$2,IF(A321&lt;$E$2+$H$2,$P$2,0),IF(B321&lt;Dashboard!$I$6,0,IF(A321&gt;=$F$2,Dashboard!$C$22*POWER(1+$C$2,A321-$F$2),Dashboard!$C$22)))</f>
        <v>0</v>
      </c>
      <c r="E321" s="24">
        <f>IF(A321&gt;=$F$2,0,IF(A321=0,Dashboard!$G$10,IF(B321&lt;Dashboard!$I$6,IF($J$2&lt;=Dashboard!$H$10,Dashboard!$H$10,MAX(Dashboard!$H$10,MIN($J$2,Dashboard!$H$10*POWER($J$2/Dashboard!$H$10,A321/$D$2)))),$I$2-D321-Dashboard!$I$10-Dashboard!$J$10-Dashboard!$F$10*$I$2)))</f>
        <v>6881.8</v>
      </c>
      <c r="F321" s="24">
        <f t="shared" si="45"/>
        <v>0</v>
      </c>
      <c r="G321" s="24">
        <f t="shared" si="46"/>
        <v>0</v>
      </c>
      <c r="H321" s="24">
        <f t="shared" si="47"/>
        <v>0</v>
      </c>
      <c r="I321" s="24">
        <f t="shared" si="48"/>
        <v>6881.8</v>
      </c>
      <c r="J321" s="25">
        <f t="shared" si="49"/>
        <v>7.9741404289037643E-3</v>
      </c>
      <c r="K321" s="24">
        <f t="shared" si="54"/>
        <v>2421968.2362124249</v>
      </c>
      <c r="L321" s="24" t="str">
        <f t="shared" si="50"/>
        <v/>
      </c>
      <c r="M321" s="24">
        <f t="shared" si="51"/>
        <v>0</v>
      </c>
      <c r="N321" s="24">
        <f>IF(M321&lt;=0,0,IF($E$2-A321&lt;12,(M321-E321)*Dashboard!$B$18,IF($Q$2+A321&gt;=$R$2,MAX(0,M321-E321*POWER(1+$C$2,$E$2-A321))*MAX(Dashboard!$C$18,Dashboard!$B$18),IF($S$2&lt;$R$2,(M321-E321)*0.5*Dashboard!$B$18,(E321*POWER(1+$A$2,$R$2-($Q$2+A321))-E321)*0.5*Dashboard!$B$18+MAX(0,M321-E321*POWER(1+$A$2,$R$2-($Q$2+A321))*POWER(1+$C$2,$S$2-$R$2))*MAX(Dashboard!$C$18,Dashboard!$B$18)))))</f>
        <v>0</v>
      </c>
    </row>
    <row r="322" spans="1:14" x14ac:dyDescent="0.2">
      <c r="A322" s="22">
        <f t="shared" si="52"/>
        <v>317</v>
      </c>
      <c r="B322" s="23">
        <f t="shared" si="53"/>
        <v>44.471461187214764</v>
      </c>
      <c r="C322" t="str">
        <f t="shared" si="44"/>
        <v>44 y 5.66 m</v>
      </c>
      <c r="D322" s="24">
        <f>IF(A322&gt;=$E$2,IF(A322&lt;$E$2+$H$2,$P$2,0),IF(B322&lt;Dashboard!$I$6,0,IF(A322&gt;=$F$2,Dashboard!$C$22*POWER(1+$C$2,A322-$F$2),Dashboard!$C$22)))</f>
        <v>0</v>
      </c>
      <c r="E322" s="24">
        <f>IF(A322&gt;=$F$2,0,IF(A322=0,Dashboard!$G$10,IF(B322&lt;Dashboard!$I$6,IF($J$2&lt;=Dashboard!$H$10,Dashboard!$H$10,MAX(Dashboard!$H$10,MIN($J$2,Dashboard!$H$10*POWER($J$2/Dashboard!$H$10,A322/$D$2)))),$I$2-D322-Dashboard!$I$10-Dashboard!$J$10-Dashboard!$F$10*$I$2)))</f>
        <v>6881.8</v>
      </c>
      <c r="F322" s="24">
        <f t="shared" si="45"/>
        <v>0</v>
      </c>
      <c r="G322" s="24">
        <f t="shared" si="46"/>
        <v>0</v>
      </c>
      <c r="H322" s="24">
        <f t="shared" si="47"/>
        <v>0</v>
      </c>
      <c r="I322" s="24">
        <f t="shared" si="48"/>
        <v>6881.8</v>
      </c>
      <c r="J322" s="25">
        <f t="shared" si="49"/>
        <v>7.9741404289037643E-3</v>
      </c>
      <c r="K322" s="24">
        <f t="shared" si="54"/>
        <v>2448218.0274819308</v>
      </c>
      <c r="L322" s="24" t="str">
        <f t="shared" si="50"/>
        <v/>
      </c>
      <c r="M322" s="24">
        <f t="shared" si="51"/>
        <v>0</v>
      </c>
      <c r="N322" s="24">
        <f>IF(M322&lt;=0,0,IF($E$2-A322&lt;12,(M322-E322)*Dashboard!$B$18,IF($Q$2+A322&gt;=$R$2,MAX(0,M322-E322*POWER(1+$C$2,$E$2-A322))*MAX(Dashboard!$C$18,Dashboard!$B$18),IF($S$2&lt;$R$2,(M322-E322)*0.5*Dashboard!$B$18,(E322*POWER(1+$A$2,$R$2-($Q$2+A322))-E322)*0.5*Dashboard!$B$18+MAX(0,M322-E322*POWER(1+$A$2,$R$2-($Q$2+A322))*POWER(1+$C$2,$S$2-$R$2))*MAX(Dashboard!$C$18,Dashboard!$B$18)))))</f>
        <v>0</v>
      </c>
    </row>
    <row r="323" spans="1:14" x14ac:dyDescent="0.2">
      <c r="A323" s="22">
        <f t="shared" si="52"/>
        <v>318</v>
      </c>
      <c r="B323" s="23">
        <f t="shared" si="53"/>
        <v>44.5547945205481</v>
      </c>
      <c r="C323" t="str">
        <f t="shared" si="44"/>
        <v>44 y 6.66 m</v>
      </c>
      <c r="D323" s="24">
        <f>IF(A323&gt;=$E$2,IF(A323&lt;$E$2+$H$2,$P$2,0),IF(B323&lt;Dashboard!$I$6,0,IF(A323&gt;=$F$2,Dashboard!$C$22*POWER(1+$C$2,A323-$F$2),Dashboard!$C$22)))</f>
        <v>0</v>
      </c>
      <c r="E323" s="24">
        <f>IF(A323&gt;=$F$2,0,IF(A323=0,Dashboard!$G$10,IF(B323&lt;Dashboard!$I$6,IF($J$2&lt;=Dashboard!$H$10,Dashboard!$H$10,MAX(Dashboard!$H$10,MIN($J$2,Dashboard!$H$10*POWER($J$2/Dashboard!$H$10,A323/$D$2)))),$I$2-D323-Dashboard!$I$10-Dashboard!$J$10-Dashboard!$F$10*$I$2)))</f>
        <v>6881.8</v>
      </c>
      <c r="F323" s="24">
        <f t="shared" si="45"/>
        <v>0</v>
      </c>
      <c r="G323" s="24">
        <f t="shared" si="46"/>
        <v>0</v>
      </c>
      <c r="H323" s="24">
        <f t="shared" si="47"/>
        <v>0</v>
      </c>
      <c r="I323" s="24">
        <f t="shared" si="48"/>
        <v>6881.8</v>
      </c>
      <c r="J323" s="25">
        <f t="shared" si="49"/>
        <v>7.9741404289037643E-3</v>
      </c>
      <c r="K323" s="24">
        <f t="shared" si="54"/>
        <v>2474677.1382732489</v>
      </c>
      <c r="L323" s="24" t="str">
        <f t="shared" si="50"/>
        <v/>
      </c>
      <c r="M323" s="24">
        <f t="shared" si="51"/>
        <v>0</v>
      </c>
      <c r="N323" s="24">
        <f>IF(M323&lt;=0,0,IF($E$2-A323&lt;12,(M323-E323)*Dashboard!$B$18,IF($Q$2+A323&gt;=$R$2,MAX(0,M323-E323*POWER(1+$C$2,$E$2-A323))*MAX(Dashboard!$C$18,Dashboard!$B$18),IF($S$2&lt;$R$2,(M323-E323)*0.5*Dashboard!$B$18,(E323*POWER(1+$A$2,$R$2-($Q$2+A323))-E323)*0.5*Dashboard!$B$18+MAX(0,M323-E323*POWER(1+$A$2,$R$2-($Q$2+A323))*POWER(1+$C$2,$S$2-$R$2))*MAX(Dashboard!$C$18,Dashboard!$B$18)))))</f>
        <v>0</v>
      </c>
    </row>
    <row r="324" spans="1:14" x14ac:dyDescent="0.2">
      <c r="A324" s="22">
        <f t="shared" si="52"/>
        <v>319</v>
      </c>
      <c r="B324" s="23">
        <f t="shared" si="53"/>
        <v>44.638127853881436</v>
      </c>
      <c r="C324" t="str">
        <f t="shared" si="44"/>
        <v>44 y 7.66 m</v>
      </c>
      <c r="D324" s="24">
        <f>IF(A324&gt;=$E$2,IF(A324&lt;$E$2+$H$2,$P$2,0),IF(B324&lt;Dashboard!$I$6,0,IF(A324&gt;=$F$2,Dashboard!$C$22*POWER(1+$C$2,A324-$F$2),Dashboard!$C$22)))</f>
        <v>0</v>
      </c>
      <c r="E324" s="24">
        <f>IF(A324&gt;=$F$2,0,IF(A324=0,Dashboard!$G$10,IF(B324&lt;Dashboard!$I$6,IF($J$2&lt;=Dashboard!$H$10,Dashboard!$H$10,MAX(Dashboard!$H$10,MIN($J$2,Dashboard!$H$10*POWER($J$2/Dashboard!$H$10,A324/$D$2)))),$I$2-D324-Dashboard!$I$10-Dashboard!$J$10-Dashboard!$F$10*$I$2)))</f>
        <v>6881.8</v>
      </c>
      <c r="F324" s="24">
        <f t="shared" si="45"/>
        <v>0</v>
      </c>
      <c r="G324" s="24">
        <f t="shared" si="46"/>
        <v>0</v>
      </c>
      <c r="H324" s="24">
        <f t="shared" si="47"/>
        <v>0</v>
      </c>
      <c r="I324" s="24">
        <f t="shared" si="48"/>
        <v>6881.8</v>
      </c>
      <c r="J324" s="25">
        <f t="shared" si="49"/>
        <v>7.9741404289037643E-3</v>
      </c>
      <c r="K324" s="24">
        <f t="shared" si="54"/>
        <v>2501347.2377296411</v>
      </c>
      <c r="L324" s="24" t="str">
        <f t="shared" si="50"/>
        <v/>
      </c>
      <c r="M324" s="24">
        <f t="shared" si="51"/>
        <v>0</v>
      </c>
      <c r="N324" s="24">
        <f>IF(M324&lt;=0,0,IF($E$2-A324&lt;12,(M324-E324)*Dashboard!$B$18,IF($Q$2+A324&gt;=$R$2,MAX(0,M324-E324*POWER(1+$C$2,$E$2-A324))*MAX(Dashboard!$C$18,Dashboard!$B$18),IF($S$2&lt;$R$2,(M324-E324)*0.5*Dashboard!$B$18,(E324*POWER(1+$A$2,$R$2-($Q$2+A324))-E324)*0.5*Dashboard!$B$18+MAX(0,M324-E324*POWER(1+$A$2,$R$2-($Q$2+A324))*POWER(1+$C$2,$S$2-$R$2))*MAX(Dashboard!$C$18,Dashboard!$B$18)))))</f>
        <v>0</v>
      </c>
    </row>
    <row r="325" spans="1:14" x14ac:dyDescent="0.2">
      <c r="A325" s="22">
        <f t="shared" si="52"/>
        <v>320</v>
      </c>
      <c r="B325" s="23">
        <f t="shared" si="53"/>
        <v>44.721461187214771</v>
      </c>
      <c r="C325" t="str">
        <f t="shared" ref="C325:C388" si="55">INT(B325)&amp;" y "&amp;ROUND((B325-INT(B325))*12,2)&amp;" m"</f>
        <v>44 y 8.66 m</v>
      </c>
      <c r="D325" s="24">
        <f>IF(A325&gt;=$E$2,IF(A325&lt;$E$2+$H$2,$P$2,0),IF(B325&lt;Dashboard!$I$6,0,IF(A325&gt;=$F$2,Dashboard!$C$22*POWER(1+$C$2,A325-$F$2),Dashboard!$C$22)))</f>
        <v>0</v>
      </c>
      <c r="E325" s="24">
        <f>IF(A325&gt;=$F$2,0,IF(A325=0,Dashboard!$G$10,IF(B325&lt;Dashboard!$I$6,IF($J$2&lt;=Dashboard!$H$10,Dashboard!$H$10,MAX(Dashboard!$H$10,MIN($J$2,Dashboard!$H$10*POWER($J$2/Dashboard!$H$10,A325/$D$2)))),$I$2-D325-Dashboard!$I$10-Dashboard!$J$10-Dashboard!$F$10*$I$2)))</f>
        <v>6881.8</v>
      </c>
      <c r="F325" s="24">
        <f t="shared" ref="F325:F388" si="56">IF(A325&gt;=$F$2,$X$2*POWER(1+$C$2,A325-$F$2)+D325,0)</f>
        <v>0</v>
      </c>
      <c r="G325" s="24">
        <f t="shared" ref="G325:G388" si="57">IF(F325&lt;=0,0,IF(F325*12&lt;=18200,F325,IF(F325*12&lt;=40712,(18200+(F325*12-18200)/0.84)/12,IF(F325*12&lt;=103712,(45000+(F325*12-40712)/0.7)/12,IF(F325*12&lt;=138362,(135000+(F325*12-103712)/0.63)/12,(190000+(F325*12-138362)/0.55)/12)))))</f>
        <v>0</v>
      </c>
      <c r="H325" s="24">
        <f t="shared" ref="H325:H388" si="58">IF(A325=$E$2,$W$2,0)</f>
        <v>0</v>
      </c>
      <c r="I325" s="24">
        <f t="shared" ref="I325:I388" si="59">E325-G325-H325</f>
        <v>6881.8</v>
      </c>
      <c r="J325" s="25">
        <f t="shared" ref="J325:J388" si="60">IF(A325&gt;=$F$2,$B$2,$A$2)</f>
        <v>7.9741404289037643E-3</v>
      </c>
      <c r="K325" s="24">
        <f t="shared" si="54"/>
        <v>2528230.0083043515</v>
      </c>
      <c r="L325" s="24" t="str">
        <f t="shared" ref="L325:L388" si="61">IF(A325&gt;=$F$2,K325,"")</f>
        <v/>
      </c>
      <c r="M325" s="24">
        <f t="shared" ref="M325:M388" si="62">IF(AND(A325&lt;$E$2,E325&gt;0),E325*POWER(1+$A$2,$E$2-A325),0)</f>
        <v>0</v>
      </c>
      <c r="N325" s="24">
        <f>IF(M325&lt;=0,0,IF($E$2-A325&lt;12,(M325-E325)*Dashboard!$B$18,IF($Q$2+A325&gt;=$R$2,MAX(0,M325-E325*POWER(1+$C$2,$E$2-A325))*MAX(Dashboard!$C$18,Dashboard!$B$18),IF($S$2&lt;$R$2,(M325-E325)*0.5*Dashboard!$B$18,(E325*POWER(1+$A$2,$R$2-($Q$2+A325))-E325)*0.5*Dashboard!$B$18+MAX(0,M325-E325*POWER(1+$A$2,$R$2-($Q$2+A325))*POWER(1+$C$2,$S$2-$R$2))*MAX(Dashboard!$C$18,Dashboard!$B$18)))))</f>
        <v>0</v>
      </c>
    </row>
    <row r="326" spans="1:14" x14ac:dyDescent="0.2">
      <c r="A326" s="22">
        <f t="shared" ref="A326:A389" si="63">A325+1</f>
        <v>321</v>
      </c>
      <c r="B326" s="23">
        <f t="shared" ref="B326:B389" si="64">B325+1/12</f>
        <v>44.804794520548107</v>
      </c>
      <c r="C326" t="str">
        <f t="shared" si="55"/>
        <v>44 y 9.66 m</v>
      </c>
      <c r="D326" s="24">
        <f>IF(A326&gt;=$E$2,IF(A326&lt;$E$2+$H$2,$P$2,0),IF(B326&lt;Dashboard!$I$6,0,IF(A326&gt;=$F$2,Dashboard!$C$22*POWER(1+$C$2,A326-$F$2),Dashboard!$C$22)))</f>
        <v>0</v>
      </c>
      <c r="E326" s="24">
        <f>IF(A326&gt;=$F$2,0,IF(A326=0,Dashboard!$G$10,IF(B326&lt;Dashboard!$I$6,IF($J$2&lt;=Dashboard!$H$10,Dashboard!$H$10,MAX(Dashboard!$H$10,MIN($J$2,Dashboard!$H$10*POWER($J$2/Dashboard!$H$10,A326/$D$2)))),$I$2-D326-Dashboard!$I$10-Dashboard!$J$10-Dashboard!$F$10*$I$2)))</f>
        <v>6881.8</v>
      </c>
      <c r="F326" s="24">
        <f t="shared" si="56"/>
        <v>0</v>
      </c>
      <c r="G326" s="24">
        <f t="shared" si="57"/>
        <v>0</v>
      </c>
      <c r="H326" s="24">
        <f t="shared" si="58"/>
        <v>0</v>
      </c>
      <c r="I326" s="24">
        <f t="shared" si="59"/>
        <v>6881.8</v>
      </c>
      <c r="J326" s="25">
        <f t="shared" si="60"/>
        <v>7.9741404289037643E-3</v>
      </c>
      <c r="K326" s="24">
        <f t="shared" ref="K326:K389" si="65">(K325+I326)*(1+J326)</f>
        <v>2555327.1458667424</v>
      </c>
      <c r="L326" s="24" t="str">
        <f t="shared" si="61"/>
        <v/>
      </c>
      <c r="M326" s="24">
        <f t="shared" si="62"/>
        <v>0</v>
      </c>
      <c r="N326" s="24">
        <f>IF(M326&lt;=0,0,IF($E$2-A326&lt;12,(M326-E326)*Dashboard!$B$18,IF($Q$2+A326&gt;=$R$2,MAX(0,M326-E326*POWER(1+$C$2,$E$2-A326))*MAX(Dashboard!$C$18,Dashboard!$B$18),IF($S$2&lt;$R$2,(M326-E326)*0.5*Dashboard!$B$18,(E326*POWER(1+$A$2,$R$2-($Q$2+A326))-E326)*0.5*Dashboard!$B$18+MAX(0,M326-E326*POWER(1+$A$2,$R$2-($Q$2+A326))*POWER(1+$C$2,$S$2-$R$2))*MAX(Dashboard!$C$18,Dashboard!$B$18)))))</f>
        <v>0</v>
      </c>
    </row>
    <row r="327" spans="1:14" x14ac:dyDescent="0.2">
      <c r="A327" s="22">
        <f t="shared" si="63"/>
        <v>322</v>
      </c>
      <c r="B327" s="23">
        <f t="shared" si="64"/>
        <v>44.888127853881443</v>
      </c>
      <c r="C327" t="str">
        <f t="shared" si="55"/>
        <v>44 y 10.66 m</v>
      </c>
      <c r="D327" s="24">
        <f>IF(A327&gt;=$E$2,IF(A327&lt;$E$2+$H$2,$P$2,0),IF(B327&lt;Dashboard!$I$6,0,IF(A327&gt;=$F$2,Dashboard!$C$22*POWER(1+$C$2,A327-$F$2),Dashboard!$C$22)))</f>
        <v>0</v>
      </c>
      <c r="E327" s="24">
        <f>IF(A327&gt;=$F$2,0,IF(A327=0,Dashboard!$G$10,IF(B327&lt;Dashboard!$I$6,IF($J$2&lt;=Dashboard!$H$10,Dashboard!$H$10,MAX(Dashboard!$H$10,MIN($J$2,Dashboard!$H$10*POWER($J$2/Dashboard!$H$10,A327/$D$2)))),$I$2-D327-Dashboard!$I$10-Dashboard!$J$10-Dashboard!$F$10*$I$2)))</f>
        <v>6881.8</v>
      </c>
      <c r="F327" s="24">
        <f t="shared" si="56"/>
        <v>0</v>
      </c>
      <c r="G327" s="24">
        <f t="shared" si="57"/>
        <v>0</v>
      </c>
      <c r="H327" s="24">
        <f t="shared" si="58"/>
        <v>0</v>
      </c>
      <c r="I327" s="24">
        <f t="shared" si="59"/>
        <v>6881.8</v>
      </c>
      <c r="J327" s="25">
        <f t="shared" si="60"/>
        <v>7.9741404289037643E-3</v>
      </c>
      <c r="K327" s="24">
        <f t="shared" si="65"/>
        <v>2582640.3598092771</v>
      </c>
      <c r="L327" s="24" t="str">
        <f t="shared" si="61"/>
        <v/>
      </c>
      <c r="M327" s="24">
        <f t="shared" si="62"/>
        <v>0</v>
      </c>
      <c r="N327" s="24">
        <f>IF(M327&lt;=0,0,IF($E$2-A327&lt;12,(M327-E327)*Dashboard!$B$18,IF($Q$2+A327&gt;=$R$2,MAX(0,M327-E327*POWER(1+$C$2,$E$2-A327))*MAX(Dashboard!$C$18,Dashboard!$B$18),IF($S$2&lt;$R$2,(M327-E327)*0.5*Dashboard!$B$18,(E327*POWER(1+$A$2,$R$2-($Q$2+A327))-E327)*0.5*Dashboard!$B$18+MAX(0,M327-E327*POWER(1+$A$2,$R$2-($Q$2+A327))*POWER(1+$C$2,$S$2-$R$2))*MAX(Dashboard!$C$18,Dashboard!$B$18)))))</f>
        <v>0</v>
      </c>
    </row>
    <row r="328" spans="1:14" x14ac:dyDescent="0.2">
      <c r="A328" s="22">
        <f t="shared" si="63"/>
        <v>323</v>
      </c>
      <c r="B328" s="23">
        <f t="shared" si="64"/>
        <v>44.971461187214778</v>
      </c>
      <c r="C328" t="str">
        <f t="shared" si="55"/>
        <v>44 y 11.66 m</v>
      </c>
      <c r="D328" s="24">
        <f>IF(A328&gt;=$E$2,IF(A328&lt;$E$2+$H$2,$P$2,0),IF(B328&lt;Dashboard!$I$6,0,IF(A328&gt;=$F$2,Dashboard!$C$22*POWER(1+$C$2,A328-$F$2),Dashboard!$C$22)))</f>
        <v>0</v>
      </c>
      <c r="E328" s="24">
        <f>IF(A328&gt;=$F$2,0,IF(A328=0,Dashboard!$G$10,IF(B328&lt;Dashboard!$I$6,IF($J$2&lt;=Dashboard!$H$10,Dashboard!$H$10,MAX(Dashboard!$H$10,MIN($J$2,Dashboard!$H$10*POWER($J$2/Dashboard!$H$10,A328/$D$2)))),$I$2-D328-Dashboard!$I$10-Dashboard!$J$10-Dashboard!$F$10*$I$2)))</f>
        <v>6881.8</v>
      </c>
      <c r="F328" s="24">
        <f t="shared" si="56"/>
        <v>0</v>
      </c>
      <c r="G328" s="24">
        <f t="shared" si="57"/>
        <v>0</v>
      </c>
      <c r="H328" s="24">
        <f t="shared" si="58"/>
        <v>0</v>
      </c>
      <c r="I328" s="24">
        <f t="shared" si="59"/>
        <v>6881.8</v>
      </c>
      <c r="J328" s="25">
        <f t="shared" si="60"/>
        <v>7.9741404289037643E-3</v>
      </c>
      <c r="K328" s="24">
        <f t="shared" si="65"/>
        <v>2610171.3731553541</v>
      </c>
      <c r="L328" s="24" t="str">
        <f t="shared" si="61"/>
        <v/>
      </c>
      <c r="M328" s="24">
        <f t="shared" si="62"/>
        <v>0</v>
      </c>
      <c r="N328" s="24">
        <f>IF(M328&lt;=0,0,IF($E$2-A328&lt;12,(M328-E328)*Dashboard!$B$18,IF($Q$2+A328&gt;=$R$2,MAX(0,M328-E328*POWER(1+$C$2,$E$2-A328))*MAX(Dashboard!$C$18,Dashboard!$B$18),IF($S$2&lt;$R$2,(M328-E328)*0.5*Dashboard!$B$18,(E328*POWER(1+$A$2,$R$2-($Q$2+A328))-E328)*0.5*Dashboard!$B$18+MAX(0,M328-E328*POWER(1+$A$2,$R$2-($Q$2+A328))*POWER(1+$C$2,$S$2-$R$2))*MAX(Dashboard!$C$18,Dashboard!$B$18)))))</f>
        <v>0</v>
      </c>
    </row>
    <row r="329" spans="1:14" x14ac:dyDescent="0.2">
      <c r="A329" s="22">
        <f t="shared" si="63"/>
        <v>324</v>
      </c>
      <c r="B329" s="23">
        <f t="shared" si="64"/>
        <v>45.054794520548114</v>
      </c>
      <c r="C329" t="str">
        <f t="shared" si="55"/>
        <v>45 y 0.66 m</v>
      </c>
      <c r="D329" s="24">
        <f>IF(A329&gt;=$E$2,IF(A329&lt;$E$2+$H$2,$P$2,0),IF(B329&lt;Dashboard!$I$6,0,IF(A329&gt;=$F$2,Dashboard!$C$22*POWER(1+$C$2,A329-$F$2),Dashboard!$C$22)))</f>
        <v>0</v>
      </c>
      <c r="E329" s="24">
        <f>IF(A329&gt;=$F$2,0,IF(A329=0,Dashboard!$G$10,IF(B329&lt;Dashboard!$I$6,IF($J$2&lt;=Dashboard!$H$10,Dashboard!$H$10,MAX(Dashboard!$H$10,MIN($J$2,Dashboard!$H$10*POWER($J$2/Dashboard!$H$10,A329/$D$2)))),$I$2-D329-Dashboard!$I$10-Dashboard!$J$10-Dashboard!$F$10*$I$2)))</f>
        <v>6881.8</v>
      </c>
      <c r="F329" s="24">
        <f t="shared" si="56"/>
        <v>0</v>
      </c>
      <c r="G329" s="24">
        <f t="shared" si="57"/>
        <v>0</v>
      </c>
      <c r="H329" s="24">
        <f t="shared" si="58"/>
        <v>0</v>
      </c>
      <c r="I329" s="24">
        <f t="shared" si="59"/>
        <v>6881.8</v>
      </c>
      <c r="J329" s="25">
        <f t="shared" si="60"/>
        <v>7.9741404289037643E-3</v>
      </c>
      <c r="K329" s="24">
        <f t="shared" si="65"/>
        <v>2637921.922668003</v>
      </c>
      <c r="L329" s="24" t="str">
        <f t="shared" si="61"/>
        <v/>
      </c>
      <c r="M329" s="24">
        <f t="shared" si="62"/>
        <v>0</v>
      </c>
      <c r="N329" s="24">
        <f>IF(M329&lt;=0,0,IF($E$2-A329&lt;12,(M329-E329)*Dashboard!$B$18,IF($Q$2+A329&gt;=$R$2,MAX(0,M329-E329*POWER(1+$C$2,$E$2-A329))*MAX(Dashboard!$C$18,Dashboard!$B$18),IF($S$2&lt;$R$2,(M329-E329)*0.5*Dashboard!$B$18,(E329*POWER(1+$A$2,$R$2-($Q$2+A329))-E329)*0.5*Dashboard!$B$18+MAX(0,M329-E329*POWER(1+$A$2,$R$2-($Q$2+A329))*POWER(1+$C$2,$S$2-$R$2))*MAX(Dashboard!$C$18,Dashboard!$B$18)))))</f>
        <v>0</v>
      </c>
    </row>
    <row r="330" spans="1:14" x14ac:dyDescent="0.2">
      <c r="A330" s="22">
        <f t="shared" si="63"/>
        <v>325</v>
      </c>
      <c r="B330" s="23">
        <f t="shared" si="64"/>
        <v>45.13812785388145</v>
      </c>
      <c r="C330" t="str">
        <f t="shared" si="55"/>
        <v>45 y 1.66 m</v>
      </c>
      <c r="D330" s="24">
        <f>IF(A330&gt;=$E$2,IF(A330&lt;$E$2+$H$2,$P$2,0),IF(B330&lt;Dashboard!$I$6,0,IF(A330&gt;=$F$2,Dashboard!$C$22*POWER(1+$C$2,A330-$F$2),Dashboard!$C$22)))</f>
        <v>0</v>
      </c>
      <c r="E330" s="24">
        <f>IF(A330&gt;=$F$2,0,IF(A330=0,Dashboard!$G$10,IF(B330&lt;Dashboard!$I$6,IF($J$2&lt;=Dashboard!$H$10,Dashboard!$H$10,MAX(Dashboard!$H$10,MIN($J$2,Dashboard!$H$10*POWER($J$2/Dashboard!$H$10,A330/$D$2)))),$I$2-D330-Dashboard!$I$10-Dashboard!$J$10-Dashboard!$F$10*$I$2)))</f>
        <v>6881.8</v>
      </c>
      <c r="F330" s="24">
        <f t="shared" si="56"/>
        <v>0</v>
      </c>
      <c r="G330" s="24">
        <f t="shared" si="57"/>
        <v>0</v>
      </c>
      <c r="H330" s="24">
        <f t="shared" si="58"/>
        <v>0</v>
      </c>
      <c r="I330" s="24">
        <f t="shared" si="59"/>
        <v>6881.8</v>
      </c>
      <c r="J330" s="25">
        <f t="shared" si="60"/>
        <v>7.9741404289037643E-3</v>
      </c>
      <c r="K330" s="24">
        <f t="shared" si="65"/>
        <v>2665893.7589594447</v>
      </c>
      <c r="L330" s="24" t="str">
        <f t="shared" si="61"/>
        <v/>
      </c>
      <c r="M330" s="24">
        <f t="shared" si="62"/>
        <v>0</v>
      </c>
      <c r="N330" s="24">
        <f>IF(M330&lt;=0,0,IF($E$2-A330&lt;12,(M330-E330)*Dashboard!$B$18,IF($Q$2+A330&gt;=$R$2,MAX(0,M330-E330*POWER(1+$C$2,$E$2-A330))*MAX(Dashboard!$C$18,Dashboard!$B$18),IF($S$2&lt;$R$2,(M330-E330)*0.5*Dashboard!$B$18,(E330*POWER(1+$A$2,$R$2-($Q$2+A330))-E330)*0.5*Dashboard!$B$18+MAX(0,M330-E330*POWER(1+$A$2,$R$2-($Q$2+A330))*POWER(1+$C$2,$S$2-$R$2))*MAX(Dashboard!$C$18,Dashboard!$B$18)))))</f>
        <v>0</v>
      </c>
    </row>
    <row r="331" spans="1:14" x14ac:dyDescent="0.2">
      <c r="A331" s="22">
        <f t="shared" si="63"/>
        <v>326</v>
      </c>
      <c r="B331" s="23">
        <f t="shared" si="64"/>
        <v>45.221461187214786</v>
      </c>
      <c r="C331" t="str">
        <f t="shared" si="55"/>
        <v>45 y 2.66 m</v>
      </c>
      <c r="D331" s="24">
        <f>IF(A331&gt;=$E$2,IF(A331&lt;$E$2+$H$2,$P$2,0),IF(B331&lt;Dashboard!$I$6,0,IF(A331&gt;=$F$2,Dashboard!$C$22*POWER(1+$C$2,A331-$F$2),Dashboard!$C$22)))</f>
        <v>0</v>
      </c>
      <c r="E331" s="24">
        <f>IF(A331&gt;=$F$2,0,IF(A331=0,Dashboard!$G$10,IF(B331&lt;Dashboard!$I$6,IF($J$2&lt;=Dashboard!$H$10,Dashboard!$H$10,MAX(Dashboard!$H$10,MIN($J$2,Dashboard!$H$10*POWER($J$2/Dashboard!$H$10,A331/$D$2)))),$I$2-D331-Dashboard!$I$10-Dashboard!$J$10-Dashboard!$F$10*$I$2)))</f>
        <v>6881.8</v>
      </c>
      <c r="F331" s="24">
        <f t="shared" si="56"/>
        <v>0</v>
      </c>
      <c r="G331" s="24">
        <f t="shared" si="57"/>
        <v>0</v>
      </c>
      <c r="H331" s="24">
        <f t="shared" si="58"/>
        <v>0</v>
      </c>
      <c r="I331" s="24">
        <f t="shared" si="59"/>
        <v>6881.8</v>
      </c>
      <c r="J331" s="25">
        <f t="shared" si="60"/>
        <v>7.9741404289037643E-3</v>
      </c>
      <c r="K331" s="24">
        <f t="shared" si="65"/>
        <v>2694088.6466015289</v>
      </c>
      <c r="L331" s="24" t="str">
        <f t="shared" si="61"/>
        <v/>
      </c>
      <c r="M331" s="24">
        <f t="shared" si="62"/>
        <v>0</v>
      </c>
      <c r="N331" s="24">
        <f>IF(M331&lt;=0,0,IF($E$2-A331&lt;12,(M331-E331)*Dashboard!$B$18,IF($Q$2+A331&gt;=$R$2,MAX(0,M331-E331*POWER(1+$C$2,$E$2-A331))*MAX(Dashboard!$C$18,Dashboard!$B$18),IF($S$2&lt;$R$2,(M331-E331)*0.5*Dashboard!$B$18,(E331*POWER(1+$A$2,$R$2-($Q$2+A331))-E331)*0.5*Dashboard!$B$18+MAX(0,M331-E331*POWER(1+$A$2,$R$2-($Q$2+A331))*POWER(1+$C$2,$S$2-$R$2))*MAX(Dashboard!$C$18,Dashboard!$B$18)))))</f>
        <v>0</v>
      </c>
    </row>
    <row r="332" spans="1:14" x14ac:dyDescent="0.2">
      <c r="A332" s="22">
        <f t="shared" si="63"/>
        <v>327</v>
      </c>
      <c r="B332" s="23">
        <f t="shared" si="64"/>
        <v>45.304794520548121</v>
      </c>
      <c r="C332" t="str">
        <f t="shared" si="55"/>
        <v>45 y 3.66 m</v>
      </c>
      <c r="D332" s="24">
        <f>IF(A332&gt;=$E$2,IF(A332&lt;$E$2+$H$2,$P$2,0),IF(B332&lt;Dashboard!$I$6,0,IF(A332&gt;=$F$2,Dashboard!$C$22*POWER(1+$C$2,A332-$F$2),Dashboard!$C$22)))</f>
        <v>0</v>
      </c>
      <c r="E332" s="24">
        <f>IF(A332&gt;=$F$2,0,IF(A332=0,Dashboard!$G$10,IF(B332&lt;Dashboard!$I$6,IF($J$2&lt;=Dashboard!$H$10,Dashboard!$H$10,MAX(Dashboard!$H$10,MIN($J$2,Dashboard!$H$10*POWER($J$2/Dashboard!$H$10,A332/$D$2)))),$I$2-D332-Dashboard!$I$10-Dashboard!$J$10-Dashboard!$F$10*$I$2)))</f>
        <v>6881.8</v>
      </c>
      <c r="F332" s="24">
        <f t="shared" si="56"/>
        <v>0</v>
      </c>
      <c r="G332" s="24">
        <f t="shared" si="57"/>
        <v>0</v>
      </c>
      <c r="H332" s="24">
        <f t="shared" si="58"/>
        <v>0</v>
      </c>
      <c r="I332" s="24">
        <f t="shared" si="59"/>
        <v>6881.8</v>
      </c>
      <c r="J332" s="25">
        <f t="shared" si="60"/>
        <v>7.9741404289037643E-3</v>
      </c>
      <c r="K332" s="24">
        <f t="shared" si="65"/>
        <v>2722508.3642370482</v>
      </c>
      <c r="L332" s="24" t="str">
        <f t="shared" si="61"/>
        <v/>
      </c>
      <c r="M332" s="24">
        <f t="shared" si="62"/>
        <v>0</v>
      </c>
      <c r="N332" s="24">
        <f>IF(M332&lt;=0,0,IF($E$2-A332&lt;12,(M332-E332)*Dashboard!$B$18,IF($Q$2+A332&gt;=$R$2,MAX(0,M332-E332*POWER(1+$C$2,$E$2-A332))*MAX(Dashboard!$C$18,Dashboard!$B$18),IF($S$2&lt;$R$2,(M332-E332)*0.5*Dashboard!$B$18,(E332*POWER(1+$A$2,$R$2-($Q$2+A332))-E332)*0.5*Dashboard!$B$18+MAX(0,M332-E332*POWER(1+$A$2,$R$2-($Q$2+A332))*POWER(1+$C$2,$S$2-$R$2))*MAX(Dashboard!$C$18,Dashboard!$B$18)))))</f>
        <v>0</v>
      </c>
    </row>
    <row r="333" spans="1:14" x14ac:dyDescent="0.2">
      <c r="A333" s="22">
        <f t="shared" si="63"/>
        <v>328</v>
      </c>
      <c r="B333" s="23">
        <f t="shared" si="64"/>
        <v>45.388127853881457</v>
      </c>
      <c r="C333" t="str">
        <f t="shared" si="55"/>
        <v>45 y 4.66 m</v>
      </c>
      <c r="D333" s="24">
        <f>IF(A333&gt;=$E$2,IF(A333&lt;$E$2+$H$2,$P$2,0),IF(B333&lt;Dashboard!$I$6,0,IF(A333&gt;=$F$2,Dashboard!$C$22*POWER(1+$C$2,A333-$F$2),Dashboard!$C$22)))</f>
        <v>0</v>
      </c>
      <c r="E333" s="24">
        <f>IF(A333&gt;=$F$2,0,IF(A333=0,Dashboard!$G$10,IF(B333&lt;Dashboard!$I$6,IF($J$2&lt;=Dashboard!$H$10,Dashboard!$H$10,MAX(Dashboard!$H$10,MIN($J$2,Dashboard!$H$10*POWER($J$2/Dashboard!$H$10,A333/$D$2)))),$I$2-D333-Dashboard!$I$10-Dashboard!$J$10-Dashboard!$F$10*$I$2)))</f>
        <v>6881.8</v>
      </c>
      <c r="F333" s="24">
        <f t="shared" si="56"/>
        <v>0</v>
      </c>
      <c r="G333" s="24">
        <f t="shared" si="57"/>
        <v>0</v>
      </c>
      <c r="H333" s="24">
        <f t="shared" si="58"/>
        <v>0</v>
      </c>
      <c r="I333" s="24">
        <f t="shared" si="59"/>
        <v>6881.8</v>
      </c>
      <c r="J333" s="25">
        <f t="shared" si="60"/>
        <v>7.9741404289037643E-3</v>
      </c>
      <c r="K333" s="24">
        <f t="shared" si="65"/>
        <v>2751154.7046919428</v>
      </c>
      <c r="L333" s="24" t="str">
        <f t="shared" si="61"/>
        <v/>
      </c>
      <c r="M333" s="24">
        <f t="shared" si="62"/>
        <v>0</v>
      </c>
      <c r="N333" s="24">
        <f>IF(M333&lt;=0,0,IF($E$2-A333&lt;12,(M333-E333)*Dashboard!$B$18,IF($Q$2+A333&gt;=$R$2,MAX(0,M333-E333*POWER(1+$C$2,$E$2-A333))*MAX(Dashboard!$C$18,Dashboard!$B$18),IF($S$2&lt;$R$2,(M333-E333)*0.5*Dashboard!$B$18,(E333*POWER(1+$A$2,$R$2-($Q$2+A333))-E333)*0.5*Dashboard!$B$18+MAX(0,M333-E333*POWER(1+$A$2,$R$2-($Q$2+A333))*POWER(1+$C$2,$S$2-$R$2))*MAX(Dashboard!$C$18,Dashboard!$B$18)))))</f>
        <v>0</v>
      </c>
    </row>
    <row r="334" spans="1:14" x14ac:dyDescent="0.2">
      <c r="A334" s="22">
        <f t="shared" si="63"/>
        <v>329</v>
      </c>
      <c r="B334" s="23">
        <f t="shared" si="64"/>
        <v>45.471461187214793</v>
      </c>
      <c r="C334" t="str">
        <f t="shared" si="55"/>
        <v>45 y 5.66 m</v>
      </c>
      <c r="D334" s="24">
        <f>IF(A334&gt;=$E$2,IF(A334&lt;$E$2+$H$2,$P$2,0),IF(B334&lt;Dashboard!$I$6,0,IF(A334&gt;=$F$2,Dashboard!$C$22*POWER(1+$C$2,A334-$F$2),Dashboard!$C$22)))</f>
        <v>0</v>
      </c>
      <c r="E334" s="24">
        <f>IF(A334&gt;=$F$2,0,IF(A334=0,Dashboard!$G$10,IF(B334&lt;Dashboard!$I$6,IF($J$2&lt;=Dashboard!$H$10,Dashboard!$H$10,MAX(Dashboard!$H$10,MIN($J$2,Dashboard!$H$10*POWER($J$2/Dashboard!$H$10,A334/$D$2)))),$I$2-D334-Dashboard!$I$10-Dashboard!$J$10-Dashboard!$F$10*$I$2)))</f>
        <v>6881.8</v>
      </c>
      <c r="F334" s="24">
        <f t="shared" si="56"/>
        <v>0</v>
      </c>
      <c r="G334" s="24">
        <f t="shared" si="57"/>
        <v>0</v>
      </c>
      <c r="H334" s="24">
        <f t="shared" si="58"/>
        <v>0</v>
      </c>
      <c r="I334" s="24">
        <f t="shared" si="59"/>
        <v>6881.8</v>
      </c>
      <c r="J334" s="25">
        <f t="shared" si="60"/>
        <v>7.9741404289037643E-3</v>
      </c>
      <c r="K334" s="24">
        <f t="shared" si="65"/>
        <v>2780029.4750883989</v>
      </c>
      <c r="L334" s="24" t="str">
        <f t="shared" si="61"/>
        <v/>
      </c>
      <c r="M334" s="24">
        <f t="shared" si="62"/>
        <v>0</v>
      </c>
      <c r="N334" s="24">
        <f>IF(M334&lt;=0,0,IF($E$2-A334&lt;12,(M334-E334)*Dashboard!$B$18,IF($Q$2+A334&gt;=$R$2,MAX(0,M334-E334*POWER(1+$C$2,$E$2-A334))*MAX(Dashboard!$C$18,Dashboard!$B$18),IF($S$2&lt;$R$2,(M334-E334)*0.5*Dashboard!$B$18,(E334*POWER(1+$A$2,$R$2-($Q$2+A334))-E334)*0.5*Dashboard!$B$18+MAX(0,M334-E334*POWER(1+$A$2,$R$2-($Q$2+A334))*POWER(1+$C$2,$S$2-$R$2))*MAX(Dashboard!$C$18,Dashboard!$B$18)))))</f>
        <v>0</v>
      </c>
    </row>
    <row r="335" spans="1:14" x14ac:dyDescent="0.2">
      <c r="A335" s="22">
        <f t="shared" si="63"/>
        <v>330</v>
      </c>
      <c r="B335" s="23">
        <f t="shared" si="64"/>
        <v>45.554794520548128</v>
      </c>
      <c r="C335" t="str">
        <f t="shared" si="55"/>
        <v>45 y 6.66 m</v>
      </c>
      <c r="D335" s="24">
        <f>IF(A335&gt;=$E$2,IF(A335&lt;$E$2+$H$2,$P$2,0),IF(B335&lt;Dashboard!$I$6,0,IF(A335&gt;=$F$2,Dashboard!$C$22*POWER(1+$C$2,A335-$F$2),Dashboard!$C$22)))</f>
        <v>0</v>
      </c>
      <c r="E335" s="24">
        <f>IF(A335&gt;=$F$2,0,IF(A335=0,Dashboard!$G$10,IF(B335&lt;Dashboard!$I$6,IF($J$2&lt;=Dashboard!$H$10,Dashboard!$H$10,MAX(Dashboard!$H$10,MIN($J$2,Dashboard!$H$10*POWER($J$2/Dashboard!$H$10,A335/$D$2)))),$I$2-D335-Dashboard!$I$10-Dashboard!$J$10-Dashboard!$F$10*$I$2)))</f>
        <v>6881.8</v>
      </c>
      <c r="F335" s="24">
        <f t="shared" si="56"/>
        <v>0</v>
      </c>
      <c r="G335" s="24">
        <f t="shared" si="57"/>
        <v>0</v>
      </c>
      <c r="H335" s="24">
        <f t="shared" si="58"/>
        <v>0</v>
      </c>
      <c r="I335" s="24">
        <f t="shared" si="59"/>
        <v>6881.8</v>
      </c>
      <c r="J335" s="25">
        <f t="shared" si="60"/>
        <v>7.9741404289037643E-3</v>
      </c>
      <c r="K335" s="24">
        <f t="shared" si="65"/>
        <v>2809134.496958849</v>
      </c>
      <c r="L335" s="24" t="str">
        <f t="shared" si="61"/>
        <v/>
      </c>
      <c r="M335" s="24">
        <f t="shared" si="62"/>
        <v>0</v>
      </c>
      <c r="N335" s="24">
        <f>IF(M335&lt;=0,0,IF($E$2-A335&lt;12,(M335-E335)*Dashboard!$B$18,IF($Q$2+A335&gt;=$R$2,MAX(0,M335-E335*POWER(1+$C$2,$E$2-A335))*MAX(Dashboard!$C$18,Dashboard!$B$18),IF($S$2&lt;$R$2,(M335-E335)*0.5*Dashboard!$B$18,(E335*POWER(1+$A$2,$R$2-($Q$2+A335))-E335)*0.5*Dashboard!$B$18+MAX(0,M335-E335*POWER(1+$A$2,$R$2-($Q$2+A335))*POWER(1+$C$2,$S$2-$R$2))*MAX(Dashboard!$C$18,Dashboard!$B$18)))))</f>
        <v>0</v>
      </c>
    </row>
    <row r="336" spans="1:14" x14ac:dyDescent="0.2">
      <c r="A336" s="22">
        <f t="shared" si="63"/>
        <v>331</v>
      </c>
      <c r="B336" s="23">
        <f t="shared" si="64"/>
        <v>45.638127853881464</v>
      </c>
      <c r="C336" t="str">
        <f t="shared" si="55"/>
        <v>45 y 7.66 m</v>
      </c>
      <c r="D336" s="24">
        <f>IF(A336&gt;=$E$2,IF(A336&lt;$E$2+$H$2,$P$2,0),IF(B336&lt;Dashboard!$I$6,0,IF(A336&gt;=$F$2,Dashboard!$C$22*POWER(1+$C$2,A336-$F$2),Dashboard!$C$22)))</f>
        <v>0</v>
      </c>
      <c r="E336" s="24">
        <f>IF(A336&gt;=$F$2,0,IF(A336=0,Dashboard!$G$10,IF(B336&lt;Dashboard!$I$6,IF($J$2&lt;=Dashboard!$H$10,Dashboard!$H$10,MAX(Dashboard!$H$10,MIN($J$2,Dashboard!$H$10*POWER($J$2/Dashboard!$H$10,A336/$D$2)))),$I$2-D336-Dashboard!$I$10-Dashboard!$J$10-Dashboard!$F$10*$I$2)))</f>
        <v>6881.8</v>
      </c>
      <c r="F336" s="24">
        <f t="shared" si="56"/>
        <v>0</v>
      </c>
      <c r="G336" s="24">
        <f t="shared" si="57"/>
        <v>0</v>
      </c>
      <c r="H336" s="24">
        <f t="shared" si="58"/>
        <v>0</v>
      </c>
      <c r="I336" s="24">
        <f t="shared" si="59"/>
        <v>6881.8</v>
      </c>
      <c r="J336" s="25">
        <f t="shared" si="60"/>
        <v>7.9741404289037643E-3</v>
      </c>
      <c r="K336" s="24">
        <f t="shared" si="65"/>
        <v>2838471.6063608802</v>
      </c>
      <c r="L336" s="24" t="str">
        <f t="shared" si="61"/>
        <v/>
      </c>
      <c r="M336" s="24">
        <f t="shared" si="62"/>
        <v>0</v>
      </c>
      <c r="N336" s="24">
        <f>IF(M336&lt;=0,0,IF($E$2-A336&lt;12,(M336-E336)*Dashboard!$B$18,IF($Q$2+A336&gt;=$R$2,MAX(0,M336-E336*POWER(1+$C$2,$E$2-A336))*MAX(Dashboard!$C$18,Dashboard!$B$18),IF($S$2&lt;$R$2,(M336-E336)*0.5*Dashboard!$B$18,(E336*POWER(1+$A$2,$R$2-($Q$2+A336))-E336)*0.5*Dashboard!$B$18+MAX(0,M336-E336*POWER(1+$A$2,$R$2-($Q$2+A336))*POWER(1+$C$2,$S$2-$R$2))*MAX(Dashboard!$C$18,Dashboard!$B$18)))))</f>
        <v>0</v>
      </c>
    </row>
    <row r="337" spans="1:14" x14ac:dyDescent="0.2">
      <c r="A337" s="22">
        <f t="shared" si="63"/>
        <v>332</v>
      </c>
      <c r="B337" s="23">
        <f t="shared" si="64"/>
        <v>45.7214611872148</v>
      </c>
      <c r="C337" t="str">
        <f t="shared" si="55"/>
        <v>45 y 8.66 m</v>
      </c>
      <c r="D337" s="24">
        <f>IF(A337&gt;=$E$2,IF(A337&lt;$E$2+$H$2,$P$2,0),IF(B337&lt;Dashboard!$I$6,0,IF(A337&gt;=$F$2,Dashboard!$C$22*POWER(1+$C$2,A337-$F$2),Dashboard!$C$22)))</f>
        <v>0</v>
      </c>
      <c r="E337" s="24">
        <f>IF(A337&gt;=$F$2,0,IF(A337=0,Dashboard!$G$10,IF(B337&lt;Dashboard!$I$6,IF($J$2&lt;=Dashboard!$H$10,Dashboard!$H$10,MAX(Dashboard!$H$10,MIN($J$2,Dashboard!$H$10*POWER($J$2/Dashboard!$H$10,A337/$D$2)))),$I$2-D337-Dashboard!$I$10-Dashboard!$J$10-Dashboard!$F$10*$I$2)))</f>
        <v>6881.8</v>
      </c>
      <c r="F337" s="24">
        <f t="shared" si="56"/>
        <v>0</v>
      </c>
      <c r="G337" s="24">
        <f t="shared" si="57"/>
        <v>0</v>
      </c>
      <c r="H337" s="24">
        <f t="shared" si="58"/>
        <v>0</v>
      </c>
      <c r="I337" s="24">
        <f t="shared" si="59"/>
        <v>6881.8</v>
      </c>
      <c r="J337" s="25">
        <f t="shared" si="60"/>
        <v>7.9741404289037643E-3</v>
      </c>
      <c r="K337" s="24">
        <f t="shared" si="65"/>
        <v>2868042.6539930613</v>
      </c>
      <c r="L337" s="24" t="str">
        <f t="shared" si="61"/>
        <v/>
      </c>
      <c r="M337" s="24">
        <f t="shared" si="62"/>
        <v>0</v>
      </c>
      <c r="N337" s="24">
        <f>IF(M337&lt;=0,0,IF($E$2-A337&lt;12,(M337-E337)*Dashboard!$B$18,IF($Q$2+A337&gt;=$R$2,MAX(0,M337-E337*POWER(1+$C$2,$E$2-A337))*MAX(Dashboard!$C$18,Dashboard!$B$18),IF($S$2&lt;$R$2,(M337-E337)*0.5*Dashboard!$B$18,(E337*POWER(1+$A$2,$R$2-($Q$2+A337))-E337)*0.5*Dashboard!$B$18+MAX(0,M337-E337*POWER(1+$A$2,$R$2-($Q$2+A337))*POWER(1+$C$2,$S$2-$R$2))*MAX(Dashboard!$C$18,Dashboard!$B$18)))))</f>
        <v>0</v>
      </c>
    </row>
    <row r="338" spans="1:14" x14ac:dyDescent="0.2">
      <c r="A338" s="22">
        <f t="shared" si="63"/>
        <v>333</v>
      </c>
      <c r="B338" s="23">
        <f t="shared" si="64"/>
        <v>45.804794520548135</v>
      </c>
      <c r="C338" t="str">
        <f t="shared" si="55"/>
        <v>45 y 9.66 m</v>
      </c>
      <c r="D338" s="24">
        <f>IF(A338&gt;=$E$2,IF(A338&lt;$E$2+$H$2,$P$2,0),IF(B338&lt;Dashboard!$I$6,0,IF(A338&gt;=$F$2,Dashboard!$C$22*POWER(1+$C$2,A338-$F$2),Dashboard!$C$22)))</f>
        <v>0</v>
      </c>
      <c r="E338" s="24">
        <f>IF(A338&gt;=$F$2,0,IF(A338=0,Dashboard!$G$10,IF(B338&lt;Dashboard!$I$6,IF($J$2&lt;=Dashboard!$H$10,Dashboard!$H$10,MAX(Dashboard!$H$10,MIN($J$2,Dashboard!$H$10*POWER($J$2/Dashboard!$H$10,A338/$D$2)))),$I$2-D338-Dashboard!$I$10-Dashboard!$J$10-Dashboard!$F$10*$I$2)))</f>
        <v>6881.8</v>
      </c>
      <c r="F338" s="24">
        <f t="shared" si="56"/>
        <v>0</v>
      </c>
      <c r="G338" s="24">
        <f t="shared" si="57"/>
        <v>0</v>
      </c>
      <c r="H338" s="24">
        <f t="shared" si="58"/>
        <v>0</v>
      </c>
      <c r="I338" s="24">
        <f t="shared" si="59"/>
        <v>6881.8</v>
      </c>
      <c r="J338" s="25">
        <f t="shared" si="60"/>
        <v>7.9741404289037643E-3</v>
      </c>
      <c r="K338" s="24">
        <f t="shared" si="65"/>
        <v>2897849.5053116912</v>
      </c>
      <c r="L338" s="24" t="str">
        <f t="shared" si="61"/>
        <v/>
      </c>
      <c r="M338" s="24">
        <f t="shared" si="62"/>
        <v>0</v>
      </c>
      <c r="N338" s="24">
        <f>IF(M338&lt;=0,0,IF($E$2-A338&lt;12,(M338-E338)*Dashboard!$B$18,IF($Q$2+A338&gt;=$R$2,MAX(0,M338-E338*POWER(1+$C$2,$E$2-A338))*MAX(Dashboard!$C$18,Dashboard!$B$18),IF($S$2&lt;$R$2,(M338-E338)*0.5*Dashboard!$B$18,(E338*POWER(1+$A$2,$R$2-($Q$2+A338))-E338)*0.5*Dashboard!$B$18+MAX(0,M338-E338*POWER(1+$A$2,$R$2-($Q$2+A338))*POWER(1+$C$2,$S$2-$R$2))*MAX(Dashboard!$C$18,Dashboard!$B$18)))))</f>
        <v>0</v>
      </c>
    </row>
    <row r="339" spans="1:14" x14ac:dyDescent="0.2">
      <c r="A339" s="22">
        <f t="shared" si="63"/>
        <v>334</v>
      </c>
      <c r="B339" s="23">
        <f t="shared" si="64"/>
        <v>45.888127853881471</v>
      </c>
      <c r="C339" t="str">
        <f t="shared" si="55"/>
        <v>45 y 10.66 m</v>
      </c>
      <c r="D339" s="24">
        <f>IF(A339&gt;=$E$2,IF(A339&lt;$E$2+$H$2,$P$2,0),IF(B339&lt;Dashboard!$I$6,0,IF(A339&gt;=$F$2,Dashboard!$C$22*POWER(1+$C$2,A339-$F$2),Dashboard!$C$22)))</f>
        <v>0</v>
      </c>
      <c r="E339" s="24">
        <f>IF(A339&gt;=$F$2,0,IF(A339=0,Dashboard!$G$10,IF(B339&lt;Dashboard!$I$6,IF($J$2&lt;=Dashboard!$H$10,Dashboard!$H$10,MAX(Dashboard!$H$10,MIN($J$2,Dashboard!$H$10*POWER($J$2/Dashboard!$H$10,A339/$D$2)))),$I$2-D339-Dashboard!$I$10-Dashboard!$J$10-Dashboard!$F$10*$I$2)))</f>
        <v>6881.8</v>
      </c>
      <c r="F339" s="24">
        <f t="shared" si="56"/>
        <v>0</v>
      </c>
      <c r="G339" s="24">
        <f t="shared" si="57"/>
        <v>0</v>
      </c>
      <c r="H339" s="24">
        <f t="shared" si="58"/>
        <v>0</v>
      </c>
      <c r="I339" s="24">
        <f t="shared" si="59"/>
        <v>6881.8</v>
      </c>
      <c r="J339" s="25">
        <f t="shared" si="60"/>
        <v>7.9741404289037643E-3</v>
      </c>
      <c r="K339" s="24">
        <f t="shared" si="65"/>
        <v>2927894.0406484795</v>
      </c>
      <c r="L339" s="24" t="str">
        <f t="shared" si="61"/>
        <v/>
      </c>
      <c r="M339" s="24">
        <f t="shared" si="62"/>
        <v>0</v>
      </c>
      <c r="N339" s="24">
        <f>IF(M339&lt;=0,0,IF($E$2-A339&lt;12,(M339-E339)*Dashboard!$B$18,IF($Q$2+A339&gt;=$R$2,MAX(0,M339-E339*POWER(1+$C$2,$E$2-A339))*MAX(Dashboard!$C$18,Dashboard!$B$18),IF($S$2&lt;$R$2,(M339-E339)*0.5*Dashboard!$B$18,(E339*POWER(1+$A$2,$R$2-($Q$2+A339))-E339)*0.5*Dashboard!$B$18+MAX(0,M339-E339*POWER(1+$A$2,$R$2-($Q$2+A339))*POWER(1+$C$2,$S$2-$R$2))*MAX(Dashboard!$C$18,Dashboard!$B$18)))))</f>
        <v>0</v>
      </c>
    </row>
    <row r="340" spans="1:14" x14ac:dyDescent="0.2">
      <c r="A340" s="22">
        <f t="shared" si="63"/>
        <v>335</v>
      </c>
      <c r="B340" s="23">
        <f t="shared" si="64"/>
        <v>45.971461187214807</v>
      </c>
      <c r="C340" t="str">
        <f t="shared" si="55"/>
        <v>45 y 11.66 m</v>
      </c>
      <c r="D340" s="24">
        <f>IF(A340&gt;=$E$2,IF(A340&lt;$E$2+$H$2,$P$2,0),IF(B340&lt;Dashboard!$I$6,0,IF(A340&gt;=$F$2,Dashboard!$C$22*POWER(1+$C$2,A340-$F$2),Dashboard!$C$22)))</f>
        <v>0</v>
      </c>
      <c r="E340" s="24">
        <f>IF(A340&gt;=$F$2,0,IF(A340=0,Dashboard!$G$10,IF(B340&lt;Dashboard!$I$6,IF($J$2&lt;=Dashboard!$H$10,Dashboard!$H$10,MAX(Dashboard!$H$10,MIN($J$2,Dashboard!$H$10*POWER($J$2/Dashboard!$H$10,A340/$D$2)))),$I$2-D340-Dashboard!$I$10-Dashboard!$J$10-Dashboard!$F$10*$I$2)))</f>
        <v>6881.8</v>
      </c>
      <c r="F340" s="24">
        <f t="shared" si="56"/>
        <v>0</v>
      </c>
      <c r="G340" s="24">
        <f t="shared" si="57"/>
        <v>0</v>
      </c>
      <c r="H340" s="24">
        <f t="shared" si="58"/>
        <v>0</v>
      </c>
      <c r="I340" s="24">
        <f t="shared" si="59"/>
        <v>6881.8</v>
      </c>
      <c r="J340" s="25">
        <f t="shared" si="60"/>
        <v>7.9741404289037643E-3</v>
      </c>
      <c r="K340" s="24">
        <f t="shared" si="65"/>
        <v>2958178.1553291646</v>
      </c>
      <c r="L340" s="24" t="str">
        <f t="shared" si="61"/>
        <v/>
      </c>
      <c r="M340" s="24">
        <f t="shared" si="62"/>
        <v>0</v>
      </c>
      <c r="N340" s="24">
        <f>IF(M340&lt;=0,0,IF($E$2-A340&lt;12,(M340-E340)*Dashboard!$B$18,IF($Q$2+A340&gt;=$R$2,MAX(0,M340-E340*POWER(1+$C$2,$E$2-A340))*MAX(Dashboard!$C$18,Dashboard!$B$18),IF($S$2&lt;$R$2,(M340-E340)*0.5*Dashboard!$B$18,(E340*POWER(1+$A$2,$R$2-($Q$2+A340))-E340)*0.5*Dashboard!$B$18+MAX(0,M340-E340*POWER(1+$A$2,$R$2-($Q$2+A340))*POWER(1+$C$2,$S$2-$R$2))*MAX(Dashboard!$C$18,Dashboard!$B$18)))))</f>
        <v>0</v>
      </c>
    </row>
    <row r="341" spans="1:14" x14ac:dyDescent="0.2">
      <c r="A341" s="22">
        <f t="shared" si="63"/>
        <v>336</v>
      </c>
      <c r="B341" s="23">
        <f t="shared" si="64"/>
        <v>46.054794520548143</v>
      </c>
      <c r="C341" t="str">
        <f t="shared" si="55"/>
        <v>46 y 0.66 m</v>
      </c>
      <c r="D341" s="24">
        <f>IF(A341&gt;=$E$2,IF(A341&lt;$E$2+$H$2,$P$2,0),IF(B341&lt;Dashboard!$I$6,0,IF(A341&gt;=$F$2,Dashboard!$C$22*POWER(1+$C$2,A341-$F$2),Dashboard!$C$22)))</f>
        <v>0</v>
      </c>
      <c r="E341" s="24">
        <f>IF(A341&gt;=$F$2,0,IF(A341=0,Dashboard!$G$10,IF(B341&lt;Dashboard!$I$6,IF($J$2&lt;=Dashboard!$H$10,Dashboard!$H$10,MAX(Dashboard!$H$10,MIN($J$2,Dashboard!$H$10*POWER($J$2/Dashboard!$H$10,A341/$D$2)))),$I$2-D341-Dashboard!$I$10-Dashboard!$J$10-Dashboard!$F$10*$I$2)))</f>
        <v>6881.8</v>
      </c>
      <c r="F341" s="24">
        <f t="shared" si="56"/>
        <v>0</v>
      </c>
      <c r="G341" s="24">
        <f t="shared" si="57"/>
        <v>0</v>
      </c>
      <c r="H341" s="24">
        <f t="shared" si="58"/>
        <v>0</v>
      </c>
      <c r="I341" s="24">
        <f t="shared" si="59"/>
        <v>6881.8</v>
      </c>
      <c r="J341" s="25">
        <f t="shared" si="60"/>
        <v>7.9741404289037643E-3</v>
      </c>
      <c r="K341" s="24">
        <f t="shared" si="65"/>
        <v>2988703.7597930781</v>
      </c>
      <c r="L341" s="24" t="str">
        <f t="shared" si="61"/>
        <v/>
      </c>
      <c r="M341" s="24">
        <f t="shared" si="62"/>
        <v>0</v>
      </c>
      <c r="N341" s="24">
        <f>IF(M341&lt;=0,0,IF($E$2-A341&lt;12,(M341-E341)*Dashboard!$B$18,IF($Q$2+A341&gt;=$R$2,MAX(0,M341-E341*POWER(1+$C$2,$E$2-A341))*MAX(Dashboard!$C$18,Dashboard!$B$18),IF($S$2&lt;$R$2,(M341-E341)*0.5*Dashboard!$B$18,(E341*POWER(1+$A$2,$R$2-($Q$2+A341))-E341)*0.5*Dashboard!$B$18+MAX(0,M341-E341*POWER(1+$A$2,$R$2-($Q$2+A341))*POWER(1+$C$2,$S$2-$R$2))*MAX(Dashboard!$C$18,Dashboard!$B$18)))))</f>
        <v>0</v>
      </c>
    </row>
    <row r="342" spans="1:14" x14ac:dyDescent="0.2">
      <c r="A342" s="22">
        <f t="shared" si="63"/>
        <v>337</v>
      </c>
      <c r="B342" s="23">
        <f t="shared" si="64"/>
        <v>46.138127853881478</v>
      </c>
      <c r="C342" t="str">
        <f t="shared" si="55"/>
        <v>46 y 1.66 m</v>
      </c>
      <c r="D342" s="24">
        <f>IF(A342&gt;=$E$2,IF(A342&lt;$E$2+$H$2,$P$2,0),IF(B342&lt;Dashboard!$I$6,0,IF(A342&gt;=$F$2,Dashboard!$C$22*POWER(1+$C$2,A342-$F$2),Dashboard!$C$22)))</f>
        <v>0</v>
      </c>
      <c r="E342" s="24">
        <f>IF(A342&gt;=$F$2,0,IF(A342=0,Dashboard!$G$10,IF(B342&lt;Dashboard!$I$6,IF($J$2&lt;=Dashboard!$H$10,Dashboard!$H$10,MAX(Dashboard!$H$10,MIN($J$2,Dashboard!$H$10*POWER($J$2/Dashboard!$H$10,A342/$D$2)))),$I$2-D342-Dashboard!$I$10-Dashboard!$J$10-Dashboard!$F$10*$I$2)))</f>
        <v>6881.8</v>
      </c>
      <c r="F342" s="24">
        <f t="shared" si="56"/>
        <v>0</v>
      </c>
      <c r="G342" s="24">
        <f t="shared" si="57"/>
        <v>0</v>
      </c>
      <c r="H342" s="24">
        <f t="shared" si="58"/>
        <v>0</v>
      </c>
      <c r="I342" s="24">
        <f t="shared" si="59"/>
        <v>6881.8</v>
      </c>
      <c r="J342" s="25">
        <f t="shared" si="60"/>
        <v>7.9741404289037643E-3</v>
      </c>
      <c r="K342" s="24">
        <f t="shared" si="65"/>
        <v>3019472.7797136642</v>
      </c>
      <c r="L342" s="24" t="str">
        <f t="shared" si="61"/>
        <v/>
      </c>
      <c r="M342" s="24">
        <f t="shared" si="62"/>
        <v>0</v>
      </c>
      <c r="N342" s="24">
        <f>IF(M342&lt;=0,0,IF($E$2-A342&lt;12,(M342-E342)*Dashboard!$B$18,IF($Q$2+A342&gt;=$R$2,MAX(0,M342-E342*POWER(1+$C$2,$E$2-A342))*MAX(Dashboard!$C$18,Dashboard!$B$18),IF($S$2&lt;$R$2,(M342-E342)*0.5*Dashboard!$B$18,(E342*POWER(1+$A$2,$R$2-($Q$2+A342))-E342)*0.5*Dashboard!$B$18+MAX(0,M342-E342*POWER(1+$A$2,$R$2-($Q$2+A342))*POWER(1+$C$2,$S$2-$R$2))*MAX(Dashboard!$C$18,Dashboard!$B$18)))))</f>
        <v>0</v>
      </c>
    </row>
    <row r="343" spans="1:14" x14ac:dyDescent="0.2">
      <c r="A343" s="22">
        <f t="shared" si="63"/>
        <v>338</v>
      </c>
      <c r="B343" s="23">
        <f t="shared" si="64"/>
        <v>46.221461187214814</v>
      </c>
      <c r="C343" t="str">
        <f t="shared" si="55"/>
        <v>46 y 2.66 m</v>
      </c>
      <c r="D343" s="24">
        <f>IF(A343&gt;=$E$2,IF(A343&lt;$E$2+$H$2,$P$2,0),IF(B343&lt;Dashboard!$I$6,0,IF(A343&gt;=$F$2,Dashboard!$C$22*POWER(1+$C$2,A343-$F$2),Dashboard!$C$22)))</f>
        <v>0</v>
      </c>
      <c r="E343" s="24">
        <f>IF(A343&gt;=$F$2,0,IF(A343=0,Dashboard!$G$10,IF(B343&lt;Dashboard!$I$6,IF($J$2&lt;=Dashboard!$H$10,Dashboard!$H$10,MAX(Dashboard!$H$10,MIN($J$2,Dashboard!$H$10*POWER($J$2/Dashboard!$H$10,A343/$D$2)))),$I$2-D343-Dashboard!$I$10-Dashboard!$J$10-Dashboard!$F$10*$I$2)))</f>
        <v>6881.8</v>
      </c>
      <c r="F343" s="24">
        <f t="shared" si="56"/>
        <v>0</v>
      </c>
      <c r="G343" s="24">
        <f t="shared" si="57"/>
        <v>0</v>
      </c>
      <c r="H343" s="24">
        <f t="shared" si="58"/>
        <v>0</v>
      </c>
      <c r="I343" s="24">
        <f t="shared" si="59"/>
        <v>6881.8</v>
      </c>
      <c r="J343" s="25">
        <f t="shared" si="60"/>
        <v>7.9741404289037643E-3</v>
      </c>
      <c r="K343" s="24">
        <f t="shared" si="65"/>
        <v>3050487.1561199566</v>
      </c>
      <c r="L343" s="24" t="str">
        <f t="shared" si="61"/>
        <v/>
      </c>
      <c r="M343" s="24">
        <f t="shared" si="62"/>
        <v>0</v>
      </c>
      <c r="N343" s="24">
        <f>IF(M343&lt;=0,0,IF($E$2-A343&lt;12,(M343-E343)*Dashboard!$B$18,IF($Q$2+A343&gt;=$R$2,MAX(0,M343-E343*POWER(1+$C$2,$E$2-A343))*MAX(Dashboard!$C$18,Dashboard!$B$18),IF($S$2&lt;$R$2,(M343-E343)*0.5*Dashboard!$B$18,(E343*POWER(1+$A$2,$R$2-($Q$2+A343))-E343)*0.5*Dashboard!$B$18+MAX(0,M343-E343*POWER(1+$A$2,$R$2-($Q$2+A343))*POWER(1+$C$2,$S$2-$R$2))*MAX(Dashboard!$C$18,Dashboard!$B$18)))))</f>
        <v>0</v>
      </c>
    </row>
    <row r="344" spans="1:14" x14ac:dyDescent="0.2">
      <c r="A344" s="22">
        <f t="shared" si="63"/>
        <v>339</v>
      </c>
      <c r="B344" s="23">
        <f t="shared" si="64"/>
        <v>46.30479452054815</v>
      </c>
      <c r="C344" t="str">
        <f t="shared" si="55"/>
        <v>46 y 3.66 m</v>
      </c>
      <c r="D344" s="24">
        <f>IF(A344&gt;=$E$2,IF(A344&lt;$E$2+$H$2,$P$2,0),IF(B344&lt;Dashboard!$I$6,0,IF(A344&gt;=$F$2,Dashboard!$C$22*POWER(1+$C$2,A344-$F$2),Dashboard!$C$22)))</f>
        <v>0</v>
      </c>
      <c r="E344" s="24">
        <f>IF(A344&gt;=$F$2,0,IF(A344=0,Dashboard!$G$10,IF(B344&lt;Dashboard!$I$6,IF($J$2&lt;=Dashboard!$H$10,Dashboard!$H$10,MAX(Dashboard!$H$10,MIN($J$2,Dashboard!$H$10*POWER($J$2/Dashboard!$H$10,A344/$D$2)))),$I$2-D344-Dashboard!$I$10-Dashboard!$J$10-Dashboard!$F$10*$I$2)))</f>
        <v>6881.8</v>
      </c>
      <c r="F344" s="24">
        <f t="shared" si="56"/>
        <v>0</v>
      </c>
      <c r="G344" s="24">
        <f t="shared" si="57"/>
        <v>0</v>
      </c>
      <c r="H344" s="24">
        <f t="shared" si="58"/>
        <v>0</v>
      </c>
      <c r="I344" s="24">
        <f t="shared" si="59"/>
        <v>6881.8</v>
      </c>
      <c r="J344" s="25">
        <f t="shared" si="60"/>
        <v>7.9741404289037643E-3</v>
      </c>
      <c r="K344" s="24">
        <f t="shared" si="65"/>
        <v>3081748.8455190277</v>
      </c>
      <c r="L344" s="24" t="str">
        <f t="shared" si="61"/>
        <v/>
      </c>
      <c r="M344" s="24">
        <f t="shared" si="62"/>
        <v>0</v>
      </c>
      <c r="N344" s="24">
        <f>IF(M344&lt;=0,0,IF($E$2-A344&lt;12,(M344-E344)*Dashboard!$B$18,IF($Q$2+A344&gt;=$R$2,MAX(0,M344-E344*POWER(1+$C$2,$E$2-A344))*MAX(Dashboard!$C$18,Dashboard!$B$18),IF($S$2&lt;$R$2,(M344-E344)*0.5*Dashboard!$B$18,(E344*POWER(1+$A$2,$R$2-($Q$2+A344))-E344)*0.5*Dashboard!$B$18+MAX(0,M344-E344*POWER(1+$A$2,$R$2-($Q$2+A344))*POWER(1+$C$2,$S$2-$R$2))*MAX(Dashboard!$C$18,Dashboard!$B$18)))))</f>
        <v>0</v>
      </c>
    </row>
    <row r="345" spans="1:14" x14ac:dyDescent="0.2">
      <c r="A345" s="22">
        <f t="shared" si="63"/>
        <v>340</v>
      </c>
      <c r="B345" s="23">
        <f t="shared" si="64"/>
        <v>46.388127853881485</v>
      </c>
      <c r="C345" t="str">
        <f t="shared" si="55"/>
        <v>46 y 4.66 m</v>
      </c>
      <c r="D345" s="24">
        <f>IF(A345&gt;=$E$2,IF(A345&lt;$E$2+$H$2,$P$2,0),IF(B345&lt;Dashboard!$I$6,0,IF(A345&gt;=$F$2,Dashboard!$C$22*POWER(1+$C$2,A345-$F$2),Dashboard!$C$22)))</f>
        <v>0</v>
      </c>
      <c r="E345" s="24">
        <f>IF(A345&gt;=$F$2,0,IF(A345=0,Dashboard!$G$10,IF(B345&lt;Dashboard!$I$6,IF($J$2&lt;=Dashboard!$H$10,Dashboard!$H$10,MAX(Dashboard!$H$10,MIN($J$2,Dashboard!$H$10*POWER($J$2/Dashboard!$H$10,A345/$D$2)))),$I$2-D345-Dashboard!$I$10-Dashboard!$J$10-Dashboard!$F$10*$I$2)))</f>
        <v>6881.8</v>
      </c>
      <c r="F345" s="24">
        <f t="shared" si="56"/>
        <v>0</v>
      </c>
      <c r="G345" s="24">
        <f t="shared" si="57"/>
        <v>0</v>
      </c>
      <c r="H345" s="24">
        <f t="shared" si="58"/>
        <v>0</v>
      </c>
      <c r="I345" s="24">
        <f t="shared" si="59"/>
        <v>6881.8</v>
      </c>
      <c r="J345" s="25">
        <f t="shared" si="60"/>
        <v>7.9741404289037643E-3</v>
      </c>
      <c r="K345" s="24">
        <f t="shared" si="65"/>
        <v>3113259.8200194119</v>
      </c>
      <c r="L345" s="24" t="str">
        <f t="shared" si="61"/>
        <v/>
      </c>
      <c r="M345" s="24">
        <f t="shared" si="62"/>
        <v>0</v>
      </c>
      <c r="N345" s="24">
        <f>IF(M345&lt;=0,0,IF($E$2-A345&lt;12,(M345-E345)*Dashboard!$B$18,IF($Q$2+A345&gt;=$R$2,MAX(0,M345-E345*POWER(1+$C$2,$E$2-A345))*MAX(Dashboard!$C$18,Dashboard!$B$18),IF($S$2&lt;$R$2,(M345-E345)*0.5*Dashboard!$B$18,(E345*POWER(1+$A$2,$R$2-($Q$2+A345))-E345)*0.5*Dashboard!$B$18+MAX(0,M345-E345*POWER(1+$A$2,$R$2-($Q$2+A345))*POWER(1+$C$2,$S$2-$R$2))*MAX(Dashboard!$C$18,Dashboard!$B$18)))))</f>
        <v>0</v>
      </c>
    </row>
    <row r="346" spans="1:14" x14ac:dyDescent="0.2">
      <c r="A346" s="22">
        <f t="shared" si="63"/>
        <v>341</v>
      </c>
      <c r="B346" s="23">
        <f t="shared" si="64"/>
        <v>46.471461187214821</v>
      </c>
      <c r="C346" t="str">
        <f t="shared" si="55"/>
        <v>46 y 5.66 m</v>
      </c>
      <c r="D346" s="24">
        <f>IF(A346&gt;=$E$2,IF(A346&lt;$E$2+$H$2,$P$2,0),IF(B346&lt;Dashboard!$I$6,0,IF(A346&gt;=$F$2,Dashboard!$C$22*POWER(1+$C$2,A346-$F$2),Dashboard!$C$22)))</f>
        <v>0</v>
      </c>
      <c r="E346" s="24">
        <f>IF(A346&gt;=$F$2,0,IF(A346=0,Dashboard!$G$10,IF(B346&lt;Dashboard!$I$6,IF($J$2&lt;=Dashboard!$H$10,Dashboard!$H$10,MAX(Dashboard!$H$10,MIN($J$2,Dashboard!$H$10*POWER($J$2/Dashboard!$H$10,A346/$D$2)))),$I$2-D346-Dashboard!$I$10-Dashboard!$J$10-Dashboard!$F$10*$I$2)))</f>
        <v>6881.8</v>
      </c>
      <c r="F346" s="24">
        <f t="shared" si="56"/>
        <v>0</v>
      </c>
      <c r="G346" s="24">
        <f t="shared" si="57"/>
        <v>0</v>
      </c>
      <c r="H346" s="24">
        <f t="shared" si="58"/>
        <v>0</v>
      </c>
      <c r="I346" s="24">
        <f t="shared" si="59"/>
        <v>6881.8</v>
      </c>
      <c r="J346" s="25">
        <f t="shared" si="60"/>
        <v>7.9741404289037643E-3</v>
      </c>
      <c r="K346" s="24">
        <f t="shared" si="65"/>
        <v>3145022.0674555139</v>
      </c>
      <c r="L346" s="24" t="str">
        <f t="shared" si="61"/>
        <v/>
      </c>
      <c r="M346" s="24">
        <f t="shared" si="62"/>
        <v>0</v>
      </c>
      <c r="N346" s="24">
        <f>IF(M346&lt;=0,0,IF($E$2-A346&lt;12,(M346-E346)*Dashboard!$B$18,IF($Q$2+A346&gt;=$R$2,MAX(0,M346-E346*POWER(1+$C$2,$E$2-A346))*MAX(Dashboard!$C$18,Dashboard!$B$18),IF($S$2&lt;$R$2,(M346-E346)*0.5*Dashboard!$B$18,(E346*POWER(1+$A$2,$R$2-($Q$2+A346))-E346)*0.5*Dashboard!$B$18+MAX(0,M346-E346*POWER(1+$A$2,$R$2-($Q$2+A346))*POWER(1+$C$2,$S$2-$R$2))*MAX(Dashboard!$C$18,Dashboard!$B$18)))))</f>
        <v>0</v>
      </c>
    </row>
    <row r="347" spans="1:14" x14ac:dyDescent="0.2">
      <c r="A347" s="22">
        <f t="shared" si="63"/>
        <v>342</v>
      </c>
      <c r="B347" s="23">
        <f t="shared" si="64"/>
        <v>46.554794520548157</v>
      </c>
      <c r="C347" t="str">
        <f t="shared" si="55"/>
        <v>46 y 6.66 m</v>
      </c>
      <c r="D347" s="24">
        <f>IF(A347&gt;=$E$2,IF(A347&lt;$E$2+$H$2,$P$2,0),IF(B347&lt;Dashboard!$I$6,0,IF(A347&gt;=$F$2,Dashboard!$C$22*POWER(1+$C$2,A347-$F$2),Dashboard!$C$22)))</f>
        <v>0</v>
      </c>
      <c r="E347" s="24">
        <f>IF(A347&gt;=$F$2,0,IF(A347=0,Dashboard!$G$10,IF(B347&lt;Dashboard!$I$6,IF($J$2&lt;=Dashboard!$H$10,Dashboard!$H$10,MAX(Dashboard!$H$10,MIN($J$2,Dashboard!$H$10*POWER($J$2/Dashboard!$H$10,A347/$D$2)))),$I$2-D347-Dashboard!$I$10-Dashboard!$J$10-Dashboard!$F$10*$I$2)))</f>
        <v>6881.8</v>
      </c>
      <c r="F347" s="24">
        <f t="shared" si="56"/>
        <v>0</v>
      </c>
      <c r="G347" s="24">
        <f t="shared" si="57"/>
        <v>0</v>
      </c>
      <c r="H347" s="24">
        <f t="shared" si="58"/>
        <v>0</v>
      </c>
      <c r="I347" s="24">
        <f t="shared" si="59"/>
        <v>6881.8</v>
      </c>
      <c r="J347" s="25">
        <f t="shared" si="60"/>
        <v>7.9741404289037643E-3</v>
      </c>
      <c r="K347" s="24">
        <f t="shared" si="65"/>
        <v>3177037.5915130088</v>
      </c>
      <c r="L347" s="24" t="str">
        <f t="shared" si="61"/>
        <v/>
      </c>
      <c r="M347" s="24">
        <f t="shared" si="62"/>
        <v>0</v>
      </c>
      <c r="N347" s="24">
        <f>IF(M347&lt;=0,0,IF($E$2-A347&lt;12,(M347-E347)*Dashboard!$B$18,IF($Q$2+A347&gt;=$R$2,MAX(0,M347-E347*POWER(1+$C$2,$E$2-A347))*MAX(Dashboard!$C$18,Dashboard!$B$18),IF($S$2&lt;$R$2,(M347-E347)*0.5*Dashboard!$B$18,(E347*POWER(1+$A$2,$R$2-($Q$2+A347))-E347)*0.5*Dashboard!$B$18+MAX(0,M347-E347*POWER(1+$A$2,$R$2-($Q$2+A347))*POWER(1+$C$2,$S$2-$R$2))*MAX(Dashboard!$C$18,Dashboard!$B$18)))))</f>
        <v>0</v>
      </c>
    </row>
    <row r="348" spans="1:14" x14ac:dyDescent="0.2">
      <c r="A348" s="22">
        <f t="shared" si="63"/>
        <v>343</v>
      </c>
      <c r="B348" s="23">
        <f t="shared" si="64"/>
        <v>46.638127853881493</v>
      </c>
      <c r="C348" t="str">
        <f t="shared" si="55"/>
        <v>46 y 7.66 m</v>
      </c>
      <c r="D348" s="24">
        <f>IF(A348&gt;=$E$2,IF(A348&lt;$E$2+$H$2,$P$2,0),IF(B348&lt;Dashboard!$I$6,0,IF(A348&gt;=$F$2,Dashboard!$C$22*POWER(1+$C$2,A348-$F$2),Dashboard!$C$22)))</f>
        <v>0</v>
      </c>
      <c r="E348" s="24">
        <f>IF(A348&gt;=$F$2,0,IF(A348=0,Dashboard!$G$10,IF(B348&lt;Dashboard!$I$6,IF($J$2&lt;=Dashboard!$H$10,Dashboard!$H$10,MAX(Dashboard!$H$10,MIN($J$2,Dashboard!$H$10*POWER($J$2/Dashboard!$H$10,A348/$D$2)))),$I$2-D348-Dashboard!$I$10-Dashboard!$J$10-Dashboard!$F$10*$I$2)))</f>
        <v>6881.8</v>
      </c>
      <c r="F348" s="24">
        <f t="shared" si="56"/>
        <v>0</v>
      </c>
      <c r="G348" s="24">
        <f t="shared" si="57"/>
        <v>0</v>
      </c>
      <c r="H348" s="24">
        <f t="shared" si="58"/>
        <v>0</v>
      </c>
      <c r="I348" s="24">
        <f t="shared" si="59"/>
        <v>6881.8</v>
      </c>
      <c r="J348" s="25">
        <f t="shared" si="60"/>
        <v>7.9741404289037643E-3</v>
      </c>
      <c r="K348" s="24">
        <f t="shared" si="65"/>
        <v>3209308.4118552431</v>
      </c>
      <c r="L348" s="24" t="str">
        <f t="shared" si="61"/>
        <v/>
      </c>
      <c r="M348" s="24">
        <f t="shared" si="62"/>
        <v>0</v>
      </c>
      <c r="N348" s="24">
        <f>IF(M348&lt;=0,0,IF($E$2-A348&lt;12,(M348-E348)*Dashboard!$B$18,IF($Q$2+A348&gt;=$R$2,MAX(0,M348-E348*POWER(1+$C$2,$E$2-A348))*MAX(Dashboard!$C$18,Dashboard!$B$18),IF($S$2&lt;$R$2,(M348-E348)*0.5*Dashboard!$B$18,(E348*POWER(1+$A$2,$R$2-($Q$2+A348))-E348)*0.5*Dashboard!$B$18+MAX(0,M348-E348*POWER(1+$A$2,$R$2-($Q$2+A348))*POWER(1+$C$2,$S$2-$R$2))*MAX(Dashboard!$C$18,Dashboard!$B$18)))))</f>
        <v>0</v>
      </c>
    </row>
    <row r="349" spans="1:14" x14ac:dyDescent="0.2">
      <c r="A349" s="22">
        <f t="shared" si="63"/>
        <v>344</v>
      </c>
      <c r="B349" s="23">
        <f t="shared" si="64"/>
        <v>46.721461187214828</v>
      </c>
      <c r="C349" t="str">
        <f t="shared" si="55"/>
        <v>46 y 8.66 m</v>
      </c>
      <c r="D349" s="24">
        <f>IF(A349&gt;=$E$2,IF(A349&lt;$E$2+$H$2,$P$2,0),IF(B349&lt;Dashboard!$I$6,0,IF(A349&gt;=$F$2,Dashboard!$C$22*POWER(1+$C$2,A349-$F$2),Dashboard!$C$22)))</f>
        <v>0</v>
      </c>
      <c r="E349" s="24">
        <f>IF(A349&gt;=$F$2,0,IF(A349=0,Dashboard!$G$10,IF(B349&lt;Dashboard!$I$6,IF($J$2&lt;=Dashboard!$H$10,Dashboard!$H$10,MAX(Dashboard!$H$10,MIN($J$2,Dashboard!$H$10*POWER($J$2/Dashboard!$H$10,A349/$D$2)))),$I$2-D349-Dashboard!$I$10-Dashboard!$J$10-Dashboard!$F$10*$I$2)))</f>
        <v>6881.8</v>
      </c>
      <c r="F349" s="24">
        <f t="shared" si="56"/>
        <v>0</v>
      </c>
      <c r="G349" s="24">
        <f t="shared" si="57"/>
        <v>0</v>
      </c>
      <c r="H349" s="24">
        <f t="shared" si="58"/>
        <v>0</v>
      </c>
      <c r="I349" s="24">
        <f t="shared" si="59"/>
        <v>6881.8</v>
      </c>
      <c r="J349" s="25">
        <f t="shared" si="60"/>
        <v>7.9741404289037643E-3</v>
      </c>
      <c r="K349" s="24">
        <f t="shared" si="65"/>
        <v>3241836.5642506424</v>
      </c>
      <c r="L349" s="24" t="str">
        <f t="shared" si="61"/>
        <v/>
      </c>
      <c r="M349" s="24">
        <f t="shared" si="62"/>
        <v>0</v>
      </c>
      <c r="N349" s="24">
        <f>IF(M349&lt;=0,0,IF($E$2-A349&lt;12,(M349-E349)*Dashboard!$B$18,IF($Q$2+A349&gt;=$R$2,MAX(0,M349-E349*POWER(1+$C$2,$E$2-A349))*MAX(Dashboard!$C$18,Dashboard!$B$18),IF($S$2&lt;$R$2,(M349-E349)*0.5*Dashboard!$B$18,(E349*POWER(1+$A$2,$R$2-($Q$2+A349))-E349)*0.5*Dashboard!$B$18+MAX(0,M349-E349*POWER(1+$A$2,$R$2-($Q$2+A349))*POWER(1+$C$2,$S$2-$R$2))*MAX(Dashboard!$C$18,Dashboard!$B$18)))))</f>
        <v>0</v>
      </c>
    </row>
    <row r="350" spans="1:14" x14ac:dyDescent="0.2">
      <c r="A350" s="22">
        <f t="shared" si="63"/>
        <v>345</v>
      </c>
      <c r="B350" s="23">
        <f t="shared" si="64"/>
        <v>46.804794520548164</v>
      </c>
      <c r="C350" t="str">
        <f t="shared" si="55"/>
        <v>46 y 9.66 m</v>
      </c>
      <c r="D350" s="24">
        <f>IF(A350&gt;=$E$2,IF(A350&lt;$E$2+$H$2,$P$2,0),IF(B350&lt;Dashboard!$I$6,0,IF(A350&gt;=$F$2,Dashboard!$C$22*POWER(1+$C$2,A350-$F$2),Dashboard!$C$22)))</f>
        <v>0</v>
      </c>
      <c r="E350" s="24">
        <f>IF(A350&gt;=$F$2,0,IF(A350=0,Dashboard!$G$10,IF(B350&lt;Dashboard!$I$6,IF($J$2&lt;=Dashboard!$H$10,Dashboard!$H$10,MAX(Dashboard!$H$10,MIN($J$2,Dashboard!$H$10*POWER($J$2/Dashboard!$H$10,A350/$D$2)))),$I$2-D350-Dashboard!$I$10-Dashboard!$J$10-Dashboard!$F$10*$I$2)))</f>
        <v>6881.8</v>
      </c>
      <c r="F350" s="24">
        <f t="shared" si="56"/>
        <v>0</v>
      </c>
      <c r="G350" s="24">
        <f t="shared" si="57"/>
        <v>0</v>
      </c>
      <c r="H350" s="24">
        <f t="shared" si="58"/>
        <v>0</v>
      </c>
      <c r="I350" s="24">
        <f t="shared" si="59"/>
        <v>6881.8</v>
      </c>
      <c r="J350" s="25">
        <f t="shared" si="60"/>
        <v>7.9741404289037643E-3</v>
      </c>
      <c r="K350" s="24">
        <f t="shared" si="65"/>
        <v>3274624.1007011356</v>
      </c>
      <c r="L350" s="24" t="str">
        <f t="shared" si="61"/>
        <v/>
      </c>
      <c r="M350" s="24">
        <f t="shared" si="62"/>
        <v>0</v>
      </c>
      <c r="N350" s="24">
        <f>IF(M350&lt;=0,0,IF($E$2-A350&lt;12,(M350-E350)*Dashboard!$B$18,IF($Q$2+A350&gt;=$R$2,MAX(0,M350-E350*POWER(1+$C$2,$E$2-A350))*MAX(Dashboard!$C$18,Dashboard!$B$18),IF($S$2&lt;$R$2,(M350-E350)*0.5*Dashboard!$B$18,(E350*POWER(1+$A$2,$R$2-($Q$2+A350))-E350)*0.5*Dashboard!$B$18+MAX(0,M350-E350*POWER(1+$A$2,$R$2-($Q$2+A350))*POWER(1+$C$2,$S$2-$R$2))*MAX(Dashboard!$C$18,Dashboard!$B$18)))))</f>
        <v>0</v>
      </c>
    </row>
    <row r="351" spans="1:14" x14ac:dyDescent="0.2">
      <c r="A351" s="22">
        <f t="shared" si="63"/>
        <v>346</v>
      </c>
      <c r="B351" s="23">
        <f t="shared" si="64"/>
        <v>46.8881278538815</v>
      </c>
      <c r="C351" t="str">
        <f t="shared" si="55"/>
        <v>46 y 10.66 m</v>
      </c>
      <c r="D351" s="24">
        <f>IF(A351&gt;=$E$2,IF(A351&lt;$E$2+$H$2,$P$2,0),IF(B351&lt;Dashboard!$I$6,0,IF(A351&gt;=$F$2,Dashboard!$C$22*POWER(1+$C$2,A351-$F$2),Dashboard!$C$22)))</f>
        <v>0</v>
      </c>
      <c r="E351" s="24">
        <f>IF(A351&gt;=$F$2,0,IF(A351=0,Dashboard!$G$10,IF(B351&lt;Dashboard!$I$6,IF($J$2&lt;=Dashboard!$H$10,Dashboard!$H$10,MAX(Dashboard!$H$10,MIN($J$2,Dashboard!$H$10*POWER($J$2/Dashboard!$H$10,A351/$D$2)))),$I$2-D351-Dashboard!$I$10-Dashboard!$J$10-Dashboard!$F$10*$I$2)))</f>
        <v>6881.8</v>
      </c>
      <c r="F351" s="24">
        <f t="shared" si="56"/>
        <v>0</v>
      </c>
      <c r="G351" s="24">
        <f t="shared" si="57"/>
        <v>0</v>
      </c>
      <c r="H351" s="24">
        <f t="shared" si="58"/>
        <v>0</v>
      </c>
      <c r="I351" s="24">
        <f t="shared" si="59"/>
        <v>6881.8</v>
      </c>
      <c r="J351" s="25">
        <f t="shared" si="60"/>
        <v>7.9741404289037643E-3</v>
      </c>
      <c r="K351" s="24">
        <f t="shared" si="65"/>
        <v>3307673.0895716026</v>
      </c>
      <c r="L351" s="24" t="str">
        <f t="shared" si="61"/>
        <v/>
      </c>
      <c r="M351" s="24">
        <f t="shared" si="62"/>
        <v>0</v>
      </c>
      <c r="N351" s="24">
        <f>IF(M351&lt;=0,0,IF($E$2-A351&lt;12,(M351-E351)*Dashboard!$B$18,IF($Q$2+A351&gt;=$R$2,MAX(0,M351-E351*POWER(1+$C$2,$E$2-A351))*MAX(Dashboard!$C$18,Dashboard!$B$18),IF($S$2&lt;$R$2,(M351-E351)*0.5*Dashboard!$B$18,(E351*POWER(1+$A$2,$R$2-($Q$2+A351))-E351)*0.5*Dashboard!$B$18+MAX(0,M351-E351*POWER(1+$A$2,$R$2-($Q$2+A351))*POWER(1+$C$2,$S$2-$R$2))*MAX(Dashboard!$C$18,Dashboard!$B$18)))))</f>
        <v>0</v>
      </c>
    </row>
    <row r="352" spans="1:14" x14ac:dyDescent="0.2">
      <c r="A352" s="22">
        <f t="shared" si="63"/>
        <v>347</v>
      </c>
      <c r="B352" s="23">
        <f t="shared" si="64"/>
        <v>46.971461187214835</v>
      </c>
      <c r="C352" t="str">
        <f t="shared" si="55"/>
        <v>46 y 11.66 m</v>
      </c>
      <c r="D352" s="24">
        <f>IF(A352&gt;=$E$2,IF(A352&lt;$E$2+$H$2,$P$2,0),IF(B352&lt;Dashboard!$I$6,0,IF(A352&gt;=$F$2,Dashboard!$C$22*POWER(1+$C$2,A352-$F$2),Dashboard!$C$22)))</f>
        <v>0</v>
      </c>
      <c r="E352" s="24">
        <f>IF(A352&gt;=$F$2,0,IF(A352=0,Dashboard!$G$10,IF(B352&lt;Dashboard!$I$6,IF($J$2&lt;=Dashboard!$H$10,Dashboard!$H$10,MAX(Dashboard!$H$10,MIN($J$2,Dashboard!$H$10*POWER($J$2/Dashboard!$H$10,A352/$D$2)))),$I$2-D352-Dashboard!$I$10-Dashboard!$J$10-Dashboard!$F$10*$I$2)))</f>
        <v>6881.8</v>
      </c>
      <c r="F352" s="24">
        <f t="shared" si="56"/>
        <v>0</v>
      </c>
      <c r="G352" s="24">
        <f t="shared" si="57"/>
        <v>0</v>
      </c>
      <c r="H352" s="24">
        <f t="shared" si="58"/>
        <v>0</v>
      </c>
      <c r="I352" s="24">
        <f t="shared" si="59"/>
        <v>6881.8</v>
      </c>
      <c r="J352" s="25">
        <f t="shared" si="60"/>
        <v>7.9741404289037643E-3</v>
      </c>
      <c r="K352" s="24">
        <f t="shared" si="65"/>
        <v>3340985.6157203559</v>
      </c>
      <c r="L352" s="24" t="str">
        <f t="shared" si="61"/>
        <v/>
      </c>
      <c r="M352" s="24">
        <f t="shared" si="62"/>
        <v>0</v>
      </c>
      <c r="N352" s="24">
        <f>IF(M352&lt;=0,0,IF($E$2-A352&lt;12,(M352-E352)*Dashboard!$B$18,IF($Q$2+A352&gt;=$R$2,MAX(0,M352-E352*POWER(1+$C$2,$E$2-A352))*MAX(Dashboard!$C$18,Dashboard!$B$18),IF($S$2&lt;$R$2,(M352-E352)*0.5*Dashboard!$B$18,(E352*POWER(1+$A$2,$R$2-($Q$2+A352))-E352)*0.5*Dashboard!$B$18+MAX(0,M352-E352*POWER(1+$A$2,$R$2-($Q$2+A352))*POWER(1+$C$2,$S$2-$R$2))*MAX(Dashboard!$C$18,Dashboard!$B$18)))))</f>
        <v>0</v>
      </c>
    </row>
    <row r="353" spans="1:14" x14ac:dyDescent="0.2">
      <c r="A353" s="22">
        <f t="shared" si="63"/>
        <v>348</v>
      </c>
      <c r="B353" s="23">
        <f t="shared" si="64"/>
        <v>47.054794520548171</v>
      </c>
      <c r="C353" t="str">
        <f t="shared" si="55"/>
        <v>47 y 0.66 m</v>
      </c>
      <c r="D353" s="24">
        <f>IF(A353&gt;=$E$2,IF(A353&lt;$E$2+$H$2,$P$2,0),IF(B353&lt;Dashboard!$I$6,0,IF(A353&gt;=$F$2,Dashboard!$C$22*POWER(1+$C$2,A353-$F$2),Dashboard!$C$22)))</f>
        <v>0</v>
      </c>
      <c r="E353" s="24">
        <f>IF(A353&gt;=$F$2,0,IF(A353=0,Dashboard!$G$10,IF(B353&lt;Dashboard!$I$6,IF($J$2&lt;=Dashboard!$H$10,Dashboard!$H$10,MAX(Dashboard!$H$10,MIN($J$2,Dashboard!$H$10*POWER($J$2/Dashboard!$H$10,A353/$D$2)))),$I$2-D353-Dashboard!$I$10-Dashboard!$J$10-Dashboard!$F$10*$I$2)))</f>
        <v>6881.8</v>
      </c>
      <c r="F353" s="24">
        <f t="shared" si="56"/>
        <v>0</v>
      </c>
      <c r="G353" s="24">
        <f t="shared" si="57"/>
        <v>0</v>
      </c>
      <c r="H353" s="24">
        <f t="shared" si="58"/>
        <v>0</v>
      </c>
      <c r="I353" s="24">
        <f t="shared" si="59"/>
        <v>6881.8</v>
      </c>
      <c r="J353" s="25">
        <f t="shared" si="60"/>
        <v>7.9741404289037643E-3</v>
      </c>
      <c r="K353" s="24">
        <f t="shared" si="65"/>
        <v>3374563.7806306612</v>
      </c>
      <c r="L353" s="24" t="str">
        <f t="shared" si="61"/>
        <v/>
      </c>
      <c r="M353" s="24">
        <f t="shared" si="62"/>
        <v>0</v>
      </c>
      <c r="N353" s="24">
        <f>IF(M353&lt;=0,0,IF($E$2-A353&lt;12,(M353-E353)*Dashboard!$B$18,IF($Q$2+A353&gt;=$R$2,MAX(0,M353-E353*POWER(1+$C$2,$E$2-A353))*MAX(Dashboard!$C$18,Dashboard!$B$18),IF($S$2&lt;$R$2,(M353-E353)*0.5*Dashboard!$B$18,(E353*POWER(1+$A$2,$R$2-($Q$2+A353))-E353)*0.5*Dashboard!$B$18+MAX(0,M353-E353*POWER(1+$A$2,$R$2-($Q$2+A353))*POWER(1+$C$2,$S$2-$R$2))*MAX(Dashboard!$C$18,Dashboard!$B$18)))))</f>
        <v>0</v>
      </c>
    </row>
    <row r="354" spans="1:14" x14ac:dyDescent="0.2">
      <c r="A354" s="22">
        <f t="shared" si="63"/>
        <v>349</v>
      </c>
      <c r="B354" s="23">
        <f t="shared" si="64"/>
        <v>47.138127853881507</v>
      </c>
      <c r="C354" t="str">
        <f t="shared" si="55"/>
        <v>47 y 1.66 m</v>
      </c>
      <c r="D354" s="24">
        <f>IF(A354&gt;=$E$2,IF(A354&lt;$E$2+$H$2,$P$2,0),IF(B354&lt;Dashboard!$I$6,0,IF(A354&gt;=$F$2,Dashboard!$C$22*POWER(1+$C$2,A354-$F$2),Dashboard!$C$22)))</f>
        <v>0</v>
      </c>
      <c r="E354" s="24">
        <f>IF(A354&gt;=$F$2,0,IF(A354=0,Dashboard!$G$10,IF(B354&lt;Dashboard!$I$6,IF($J$2&lt;=Dashboard!$H$10,Dashboard!$H$10,MAX(Dashboard!$H$10,MIN($J$2,Dashboard!$H$10*POWER($J$2/Dashboard!$H$10,A354/$D$2)))),$I$2-D354-Dashboard!$I$10-Dashboard!$J$10-Dashboard!$F$10*$I$2)))</f>
        <v>6881.8</v>
      </c>
      <c r="F354" s="24">
        <f t="shared" si="56"/>
        <v>0</v>
      </c>
      <c r="G354" s="24">
        <f t="shared" si="57"/>
        <v>0</v>
      </c>
      <c r="H354" s="24">
        <f t="shared" si="58"/>
        <v>0</v>
      </c>
      <c r="I354" s="24">
        <f t="shared" si="59"/>
        <v>6881.8</v>
      </c>
      <c r="J354" s="25">
        <f t="shared" si="60"/>
        <v>7.9741404289037643E-3</v>
      </c>
      <c r="K354" s="24">
        <f t="shared" si="65"/>
        <v>3408409.7025433057</v>
      </c>
      <c r="L354" s="24" t="str">
        <f t="shared" si="61"/>
        <v/>
      </c>
      <c r="M354" s="24">
        <f t="shared" si="62"/>
        <v>0</v>
      </c>
      <c r="N354" s="24">
        <f>IF(M354&lt;=0,0,IF($E$2-A354&lt;12,(M354-E354)*Dashboard!$B$18,IF($Q$2+A354&gt;=$R$2,MAX(0,M354-E354*POWER(1+$C$2,$E$2-A354))*MAX(Dashboard!$C$18,Dashboard!$B$18),IF($S$2&lt;$R$2,(M354-E354)*0.5*Dashboard!$B$18,(E354*POWER(1+$A$2,$R$2-($Q$2+A354))-E354)*0.5*Dashboard!$B$18+MAX(0,M354-E354*POWER(1+$A$2,$R$2-($Q$2+A354))*POWER(1+$C$2,$S$2-$R$2))*MAX(Dashboard!$C$18,Dashboard!$B$18)))))</f>
        <v>0</v>
      </c>
    </row>
    <row r="355" spans="1:14" x14ac:dyDescent="0.2">
      <c r="A355" s="22">
        <f t="shared" si="63"/>
        <v>350</v>
      </c>
      <c r="B355" s="23">
        <f t="shared" si="64"/>
        <v>47.221461187214842</v>
      </c>
      <c r="C355" t="str">
        <f t="shared" si="55"/>
        <v>47 y 2.66 m</v>
      </c>
      <c r="D355" s="24">
        <f>IF(A355&gt;=$E$2,IF(A355&lt;$E$2+$H$2,$P$2,0),IF(B355&lt;Dashboard!$I$6,0,IF(A355&gt;=$F$2,Dashboard!$C$22*POWER(1+$C$2,A355-$F$2),Dashboard!$C$22)))</f>
        <v>0</v>
      </c>
      <c r="E355" s="24">
        <f>IF(A355&gt;=$F$2,0,IF(A355=0,Dashboard!$G$10,IF(B355&lt;Dashboard!$I$6,IF($J$2&lt;=Dashboard!$H$10,Dashboard!$H$10,MAX(Dashboard!$H$10,MIN($J$2,Dashboard!$H$10*POWER($J$2/Dashboard!$H$10,A355/$D$2)))),$I$2-D355-Dashboard!$I$10-Dashboard!$J$10-Dashboard!$F$10*$I$2)))</f>
        <v>6881.8</v>
      </c>
      <c r="F355" s="24">
        <f t="shared" si="56"/>
        <v>0</v>
      </c>
      <c r="G355" s="24">
        <f t="shared" si="57"/>
        <v>0</v>
      </c>
      <c r="H355" s="24">
        <f t="shared" si="58"/>
        <v>0</v>
      </c>
      <c r="I355" s="24">
        <f t="shared" si="59"/>
        <v>6881.8</v>
      </c>
      <c r="J355" s="25">
        <f t="shared" si="60"/>
        <v>7.9741404289037643E-3</v>
      </c>
      <c r="K355" s="24">
        <f t="shared" si="65"/>
        <v>3442525.5165902274</v>
      </c>
      <c r="L355" s="24" t="str">
        <f t="shared" si="61"/>
        <v/>
      </c>
      <c r="M355" s="24">
        <f t="shared" si="62"/>
        <v>0</v>
      </c>
      <c r="N355" s="24">
        <f>IF(M355&lt;=0,0,IF($E$2-A355&lt;12,(M355-E355)*Dashboard!$B$18,IF($Q$2+A355&gt;=$R$2,MAX(0,M355-E355*POWER(1+$C$2,$E$2-A355))*MAX(Dashboard!$C$18,Dashboard!$B$18),IF($S$2&lt;$R$2,(M355-E355)*0.5*Dashboard!$B$18,(E355*POWER(1+$A$2,$R$2-($Q$2+A355))-E355)*0.5*Dashboard!$B$18+MAX(0,M355-E355*POWER(1+$A$2,$R$2-($Q$2+A355))*POWER(1+$C$2,$S$2-$R$2))*MAX(Dashboard!$C$18,Dashboard!$B$18)))))</f>
        <v>0</v>
      </c>
    </row>
    <row r="356" spans="1:14" x14ac:dyDescent="0.2">
      <c r="A356" s="22">
        <f t="shared" si="63"/>
        <v>351</v>
      </c>
      <c r="B356" s="23">
        <f t="shared" si="64"/>
        <v>47.304794520548178</v>
      </c>
      <c r="C356" t="str">
        <f t="shared" si="55"/>
        <v>47 y 3.66 m</v>
      </c>
      <c r="D356" s="24">
        <f>IF(A356&gt;=$E$2,IF(A356&lt;$E$2+$H$2,$P$2,0),IF(B356&lt;Dashboard!$I$6,0,IF(A356&gt;=$F$2,Dashboard!$C$22*POWER(1+$C$2,A356-$F$2),Dashboard!$C$22)))</f>
        <v>0</v>
      </c>
      <c r="E356" s="24">
        <f>IF(A356&gt;=$F$2,0,IF(A356=0,Dashboard!$G$10,IF(B356&lt;Dashboard!$I$6,IF($J$2&lt;=Dashboard!$H$10,Dashboard!$H$10,MAX(Dashboard!$H$10,MIN($J$2,Dashboard!$H$10*POWER($J$2/Dashboard!$H$10,A356/$D$2)))),$I$2-D356-Dashboard!$I$10-Dashboard!$J$10-Dashboard!$F$10*$I$2)))</f>
        <v>6881.8</v>
      </c>
      <c r="F356" s="24">
        <f t="shared" si="56"/>
        <v>0</v>
      </c>
      <c r="G356" s="24">
        <f t="shared" si="57"/>
        <v>0</v>
      </c>
      <c r="H356" s="24">
        <f t="shared" si="58"/>
        <v>0</v>
      </c>
      <c r="I356" s="24">
        <f t="shared" si="59"/>
        <v>6881.8</v>
      </c>
      <c r="J356" s="25">
        <f t="shared" si="60"/>
        <v>7.9741404289037643E-3</v>
      </c>
      <c r="K356" s="24">
        <f t="shared" si="65"/>
        <v>3476913.374929206</v>
      </c>
      <c r="L356" s="24" t="str">
        <f t="shared" si="61"/>
        <v/>
      </c>
      <c r="M356" s="24">
        <f t="shared" si="62"/>
        <v>0</v>
      </c>
      <c r="N356" s="24">
        <f>IF(M356&lt;=0,0,IF($E$2-A356&lt;12,(M356-E356)*Dashboard!$B$18,IF($Q$2+A356&gt;=$R$2,MAX(0,M356-E356*POWER(1+$C$2,$E$2-A356))*MAX(Dashboard!$C$18,Dashboard!$B$18),IF($S$2&lt;$R$2,(M356-E356)*0.5*Dashboard!$B$18,(E356*POWER(1+$A$2,$R$2-($Q$2+A356))-E356)*0.5*Dashboard!$B$18+MAX(0,M356-E356*POWER(1+$A$2,$R$2-($Q$2+A356))*POWER(1+$C$2,$S$2-$R$2))*MAX(Dashboard!$C$18,Dashboard!$B$18)))))</f>
        <v>0</v>
      </c>
    </row>
    <row r="357" spans="1:14" x14ac:dyDescent="0.2">
      <c r="A357" s="22">
        <f t="shared" si="63"/>
        <v>352</v>
      </c>
      <c r="B357" s="23">
        <f t="shared" si="64"/>
        <v>47.388127853881514</v>
      </c>
      <c r="C357" t="str">
        <f t="shared" si="55"/>
        <v>47 y 4.66 m</v>
      </c>
      <c r="D357" s="24">
        <f>IF(A357&gt;=$E$2,IF(A357&lt;$E$2+$H$2,$P$2,0),IF(B357&lt;Dashboard!$I$6,0,IF(A357&gt;=$F$2,Dashboard!$C$22*POWER(1+$C$2,A357-$F$2),Dashboard!$C$22)))</f>
        <v>0</v>
      </c>
      <c r="E357" s="24">
        <f>IF(A357&gt;=$F$2,0,IF(A357=0,Dashboard!$G$10,IF(B357&lt;Dashboard!$I$6,IF($J$2&lt;=Dashboard!$H$10,Dashboard!$H$10,MAX(Dashboard!$H$10,MIN($J$2,Dashboard!$H$10*POWER($J$2/Dashboard!$H$10,A357/$D$2)))),$I$2-D357-Dashboard!$I$10-Dashboard!$J$10-Dashboard!$F$10*$I$2)))</f>
        <v>6881.8</v>
      </c>
      <c r="F357" s="24">
        <f t="shared" si="56"/>
        <v>0</v>
      </c>
      <c r="G357" s="24">
        <f t="shared" si="57"/>
        <v>0</v>
      </c>
      <c r="H357" s="24">
        <f t="shared" si="58"/>
        <v>0</v>
      </c>
      <c r="I357" s="24">
        <f t="shared" si="59"/>
        <v>6881.8</v>
      </c>
      <c r="J357" s="25">
        <f t="shared" si="60"/>
        <v>7.9741404289037643E-3</v>
      </c>
      <c r="K357" s="24">
        <f t="shared" si="65"/>
        <v>3511575.4468796286</v>
      </c>
      <c r="L357" s="24" t="str">
        <f t="shared" si="61"/>
        <v/>
      </c>
      <c r="M357" s="24">
        <f t="shared" si="62"/>
        <v>0</v>
      </c>
      <c r="N357" s="24">
        <f>IF(M357&lt;=0,0,IF($E$2-A357&lt;12,(M357-E357)*Dashboard!$B$18,IF($Q$2+A357&gt;=$R$2,MAX(0,M357-E357*POWER(1+$C$2,$E$2-A357))*MAX(Dashboard!$C$18,Dashboard!$B$18),IF($S$2&lt;$R$2,(M357-E357)*0.5*Dashboard!$B$18,(E357*POWER(1+$A$2,$R$2-($Q$2+A357))-E357)*0.5*Dashboard!$B$18+MAX(0,M357-E357*POWER(1+$A$2,$R$2-($Q$2+A357))*POWER(1+$C$2,$S$2-$R$2))*MAX(Dashboard!$C$18,Dashboard!$B$18)))))</f>
        <v>0</v>
      </c>
    </row>
    <row r="358" spans="1:14" x14ac:dyDescent="0.2">
      <c r="A358" s="22">
        <f t="shared" si="63"/>
        <v>353</v>
      </c>
      <c r="B358" s="23">
        <f t="shared" si="64"/>
        <v>47.47146118721485</v>
      </c>
      <c r="C358" t="str">
        <f t="shared" si="55"/>
        <v>47 y 5.66 m</v>
      </c>
      <c r="D358" s="24">
        <f>IF(A358&gt;=$E$2,IF(A358&lt;$E$2+$H$2,$P$2,0),IF(B358&lt;Dashboard!$I$6,0,IF(A358&gt;=$F$2,Dashboard!$C$22*POWER(1+$C$2,A358-$F$2),Dashboard!$C$22)))</f>
        <v>0</v>
      </c>
      <c r="E358" s="24">
        <f>IF(A358&gt;=$F$2,0,IF(A358=0,Dashboard!$G$10,IF(B358&lt;Dashboard!$I$6,IF($J$2&lt;=Dashboard!$H$10,Dashboard!$H$10,MAX(Dashboard!$H$10,MIN($J$2,Dashboard!$H$10*POWER($J$2/Dashboard!$H$10,A358/$D$2)))),$I$2-D358-Dashboard!$I$10-Dashboard!$J$10-Dashboard!$F$10*$I$2)))</f>
        <v>6881.8</v>
      </c>
      <c r="F358" s="24">
        <f t="shared" si="56"/>
        <v>0</v>
      </c>
      <c r="G358" s="24">
        <f t="shared" si="57"/>
        <v>0</v>
      </c>
      <c r="H358" s="24">
        <f t="shared" si="58"/>
        <v>0</v>
      </c>
      <c r="I358" s="24">
        <f t="shared" si="59"/>
        <v>6881.8</v>
      </c>
      <c r="J358" s="25">
        <f t="shared" si="60"/>
        <v>7.9741404289037643E-3</v>
      </c>
      <c r="K358" s="24">
        <f t="shared" si="65"/>
        <v>3546513.9190593408</v>
      </c>
      <c r="L358" s="24" t="str">
        <f t="shared" si="61"/>
        <v/>
      </c>
      <c r="M358" s="24">
        <f t="shared" si="62"/>
        <v>0</v>
      </c>
      <c r="N358" s="24">
        <f>IF(M358&lt;=0,0,IF($E$2-A358&lt;12,(M358-E358)*Dashboard!$B$18,IF($Q$2+A358&gt;=$R$2,MAX(0,M358-E358*POWER(1+$C$2,$E$2-A358))*MAX(Dashboard!$C$18,Dashboard!$B$18),IF($S$2&lt;$R$2,(M358-E358)*0.5*Dashboard!$B$18,(E358*POWER(1+$A$2,$R$2-($Q$2+A358))-E358)*0.5*Dashboard!$B$18+MAX(0,M358-E358*POWER(1+$A$2,$R$2-($Q$2+A358))*POWER(1+$C$2,$S$2-$R$2))*MAX(Dashboard!$C$18,Dashboard!$B$18)))))</f>
        <v>0</v>
      </c>
    </row>
    <row r="359" spans="1:14" x14ac:dyDescent="0.2">
      <c r="A359" s="22">
        <f t="shared" si="63"/>
        <v>354</v>
      </c>
      <c r="B359" s="23">
        <f t="shared" si="64"/>
        <v>47.554794520548185</v>
      </c>
      <c r="C359" t="str">
        <f t="shared" si="55"/>
        <v>47 y 6.66 m</v>
      </c>
      <c r="D359" s="24">
        <f>IF(A359&gt;=$E$2,IF(A359&lt;$E$2+$H$2,$P$2,0),IF(B359&lt;Dashboard!$I$6,0,IF(A359&gt;=$F$2,Dashboard!$C$22*POWER(1+$C$2,A359-$F$2),Dashboard!$C$22)))</f>
        <v>0</v>
      </c>
      <c r="E359" s="24">
        <f>IF(A359&gt;=$F$2,0,IF(A359=0,Dashboard!$G$10,IF(B359&lt;Dashboard!$I$6,IF($J$2&lt;=Dashboard!$H$10,Dashboard!$H$10,MAX(Dashboard!$H$10,MIN($J$2,Dashboard!$H$10*POWER($J$2/Dashboard!$H$10,A359/$D$2)))),$I$2-D359-Dashboard!$I$10-Dashboard!$J$10-Dashboard!$F$10*$I$2)))</f>
        <v>6881.8</v>
      </c>
      <c r="F359" s="24">
        <f t="shared" si="56"/>
        <v>0</v>
      </c>
      <c r="G359" s="24">
        <f t="shared" si="57"/>
        <v>0</v>
      </c>
      <c r="H359" s="24">
        <f t="shared" si="58"/>
        <v>0</v>
      </c>
      <c r="I359" s="24">
        <f t="shared" si="59"/>
        <v>6881.8</v>
      </c>
      <c r="J359" s="25">
        <f t="shared" si="60"/>
        <v>7.9741404289037643E-3</v>
      </c>
      <c r="K359" s="24">
        <f t="shared" si="65"/>
        <v>3581730.9955225852</v>
      </c>
      <c r="L359" s="24" t="str">
        <f t="shared" si="61"/>
        <v/>
      </c>
      <c r="M359" s="24">
        <f t="shared" si="62"/>
        <v>0</v>
      </c>
      <c r="N359" s="24">
        <f>IF(M359&lt;=0,0,IF($E$2-A359&lt;12,(M359-E359)*Dashboard!$B$18,IF($Q$2+A359&gt;=$R$2,MAX(0,M359-E359*POWER(1+$C$2,$E$2-A359))*MAX(Dashboard!$C$18,Dashboard!$B$18),IF($S$2&lt;$R$2,(M359-E359)*0.5*Dashboard!$B$18,(E359*POWER(1+$A$2,$R$2-($Q$2+A359))-E359)*0.5*Dashboard!$B$18+MAX(0,M359-E359*POWER(1+$A$2,$R$2-($Q$2+A359))*POWER(1+$C$2,$S$2-$R$2))*MAX(Dashboard!$C$18,Dashboard!$B$18)))))</f>
        <v>0</v>
      </c>
    </row>
    <row r="360" spans="1:14" x14ac:dyDescent="0.2">
      <c r="A360" s="22">
        <f t="shared" si="63"/>
        <v>355</v>
      </c>
      <c r="B360" s="23">
        <f t="shared" si="64"/>
        <v>47.638127853881521</v>
      </c>
      <c r="C360" t="str">
        <f t="shared" si="55"/>
        <v>47 y 7.66 m</v>
      </c>
      <c r="D360" s="24">
        <f>IF(A360&gt;=$E$2,IF(A360&lt;$E$2+$H$2,$P$2,0),IF(B360&lt;Dashboard!$I$6,0,IF(A360&gt;=$F$2,Dashboard!$C$22*POWER(1+$C$2,A360-$F$2),Dashboard!$C$22)))</f>
        <v>0</v>
      </c>
      <c r="E360" s="24">
        <f>IF(A360&gt;=$F$2,0,IF(A360=0,Dashboard!$G$10,IF(B360&lt;Dashboard!$I$6,IF($J$2&lt;=Dashboard!$H$10,Dashboard!$H$10,MAX(Dashboard!$H$10,MIN($J$2,Dashboard!$H$10*POWER($J$2/Dashboard!$H$10,A360/$D$2)))),$I$2-D360-Dashboard!$I$10-Dashboard!$J$10-Dashboard!$F$10*$I$2)))</f>
        <v>6881.8</v>
      </c>
      <c r="F360" s="24">
        <f t="shared" si="56"/>
        <v>0</v>
      </c>
      <c r="G360" s="24">
        <f t="shared" si="57"/>
        <v>0</v>
      </c>
      <c r="H360" s="24">
        <f t="shared" si="58"/>
        <v>0</v>
      </c>
      <c r="I360" s="24">
        <f t="shared" si="59"/>
        <v>6881.8</v>
      </c>
      <c r="J360" s="25">
        <f t="shared" si="60"/>
        <v>7.9741404289037643E-3</v>
      </c>
      <c r="K360" s="24">
        <f t="shared" si="65"/>
        <v>3617228.8978990433</v>
      </c>
      <c r="L360" s="24" t="str">
        <f t="shared" si="61"/>
        <v/>
      </c>
      <c r="M360" s="24">
        <f t="shared" si="62"/>
        <v>0</v>
      </c>
      <c r="N360" s="24">
        <f>IF(M360&lt;=0,0,IF($E$2-A360&lt;12,(M360-E360)*Dashboard!$B$18,IF($Q$2+A360&gt;=$R$2,MAX(0,M360-E360*POWER(1+$C$2,$E$2-A360))*MAX(Dashboard!$C$18,Dashboard!$B$18),IF($S$2&lt;$R$2,(M360-E360)*0.5*Dashboard!$B$18,(E360*POWER(1+$A$2,$R$2-($Q$2+A360))-E360)*0.5*Dashboard!$B$18+MAX(0,M360-E360*POWER(1+$A$2,$R$2-($Q$2+A360))*POWER(1+$C$2,$S$2-$R$2))*MAX(Dashboard!$C$18,Dashboard!$B$18)))))</f>
        <v>0</v>
      </c>
    </row>
    <row r="361" spans="1:14" x14ac:dyDescent="0.2">
      <c r="A361" s="22">
        <f t="shared" si="63"/>
        <v>356</v>
      </c>
      <c r="B361" s="23">
        <f t="shared" si="64"/>
        <v>47.721461187214857</v>
      </c>
      <c r="C361" t="str">
        <f t="shared" si="55"/>
        <v>47 y 8.66 m</v>
      </c>
      <c r="D361" s="24">
        <f>IF(A361&gt;=$E$2,IF(A361&lt;$E$2+$H$2,$P$2,0),IF(B361&lt;Dashboard!$I$6,0,IF(A361&gt;=$F$2,Dashboard!$C$22*POWER(1+$C$2,A361-$F$2),Dashboard!$C$22)))</f>
        <v>0</v>
      </c>
      <c r="E361" s="24">
        <f>IF(A361&gt;=$F$2,0,IF(A361=0,Dashboard!$G$10,IF(B361&lt;Dashboard!$I$6,IF($J$2&lt;=Dashboard!$H$10,Dashboard!$H$10,MAX(Dashboard!$H$10,MIN($J$2,Dashboard!$H$10*POWER($J$2/Dashboard!$H$10,A361/$D$2)))),$I$2-D361-Dashboard!$I$10-Dashboard!$J$10-Dashboard!$F$10*$I$2)))</f>
        <v>6881.8</v>
      </c>
      <c r="F361" s="24">
        <f t="shared" si="56"/>
        <v>0</v>
      </c>
      <c r="G361" s="24">
        <f t="shared" si="57"/>
        <v>0</v>
      </c>
      <c r="H361" s="24">
        <f t="shared" si="58"/>
        <v>0</v>
      </c>
      <c r="I361" s="24">
        <f t="shared" si="59"/>
        <v>6881.8</v>
      </c>
      <c r="J361" s="25">
        <f t="shared" si="60"/>
        <v>7.9741404289037643E-3</v>
      </c>
      <c r="K361" s="24">
        <f t="shared" si="65"/>
        <v>3653009.8655339824</v>
      </c>
      <c r="L361" s="24" t="str">
        <f t="shared" si="61"/>
        <v/>
      </c>
      <c r="M361" s="24">
        <f t="shared" si="62"/>
        <v>0</v>
      </c>
      <c r="N361" s="24">
        <f>IF(M361&lt;=0,0,IF($E$2-A361&lt;12,(M361-E361)*Dashboard!$B$18,IF($Q$2+A361&gt;=$R$2,MAX(0,M361-E361*POWER(1+$C$2,$E$2-A361))*MAX(Dashboard!$C$18,Dashboard!$B$18),IF($S$2&lt;$R$2,(M361-E361)*0.5*Dashboard!$B$18,(E361*POWER(1+$A$2,$R$2-($Q$2+A361))-E361)*0.5*Dashboard!$B$18+MAX(0,M361-E361*POWER(1+$A$2,$R$2-($Q$2+A361))*POWER(1+$C$2,$S$2-$R$2))*MAX(Dashboard!$C$18,Dashboard!$B$18)))))</f>
        <v>0</v>
      </c>
    </row>
    <row r="362" spans="1:14" x14ac:dyDescent="0.2">
      <c r="A362" s="22">
        <f t="shared" si="63"/>
        <v>357</v>
      </c>
      <c r="B362" s="23">
        <f t="shared" si="64"/>
        <v>47.804794520548192</v>
      </c>
      <c r="C362" t="str">
        <f t="shared" si="55"/>
        <v>47 y 9.66 m</v>
      </c>
      <c r="D362" s="24">
        <f>IF(A362&gt;=$E$2,IF(A362&lt;$E$2+$H$2,$P$2,0),IF(B362&lt;Dashboard!$I$6,0,IF(A362&gt;=$F$2,Dashboard!$C$22*POWER(1+$C$2,A362-$F$2),Dashboard!$C$22)))</f>
        <v>0</v>
      </c>
      <c r="E362" s="24">
        <f>IF(A362&gt;=$F$2,0,IF(A362=0,Dashboard!$G$10,IF(B362&lt;Dashboard!$I$6,IF($J$2&lt;=Dashboard!$H$10,Dashboard!$H$10,MAX(Dashboard!$H$10,MIN($J$2,Dashboard!$H$10*POWER($J$2/Dashboard!$H$10,A362/$D$2)))),$I$2-D362-Dashboard!$I$10-Dashboard!$J$10-Dashboard!$F$10*$I$2)))</f>
        <v>6881.8</v>
      </c>
      <c r="F362" s="24">
        <f t="shared" si="56"/>
        <v>0</v>
      </c>
      <c r="G362" s="24">
        <f t="shared" si="57"/>
        <v>0</v>
      </c>
      <c r="H362" s="24">
        <f t="shared" si="58"/>
        <v>0</v>
      </c>
      <c r="I362" s="24">
        <f t="shared" si="59"/>
        <v>6881.8</v>
      </c>
      <c r="J362" s="25">
        <f t="shared" si="60"/>
        <v>7.9741404289037643E-3</v>
      </c>
      <c r="K362" s="24">
        <f t="shared" si="65"/>
        <v>3689076.1556295245</v>
      </c>
      <c r="L362" s="24" t="str">
        <f t="shared" si="61"/>
        <v/>
      </c>
      <c r="M362" s="24">
        <f t="shared" si="62"/>
        <v>0</v>
      </c>
      <c r="N362" s="24">
        <f>IF(M362&lt;=0,0,IF($E$2-A362&lt;12,(M362-E362)*Dashboard!$B$18,IF($Q$2+A362&gt;=$R$2,MAX(0,M362-E362*POWER(1+$C$2,$E$2-A362))*MAX(Dashboard!$C$18,Dashboard!$B$18),IF($S$2&lt;$R$2,(M362-E362)*0.5*Dashboard!$B$18,(E362*POWER(1+$A$2,$R$2-($Q$2+A362))-E362)*0.5*Dashboard!$B$18+MAX(0,M362-E362*POWER(1+$A$2,$R$2-($Q$2+A362))*POWER(1+$C$2,$S$2-$R$2))*MAX(Dashboard!$C$18,Dashboard!$B$18)))))</f>
        <v>0</v>
      </c>
    </row>
    <row r="363" spans="1:14" x14ac:dyDescent="0.2">
      <c r="A363" s="22">
        <f t="shared" si="63"/>
        <v>358</v>
      </c>
      <c r="B363" s="23">
        <f t="shared" si="64"/>
        <v>47.888127853881528</v>
      </c>
      <c r="C363" t="str">
        <f t="shared" si="55"/>
        <v>47 y 10.66 m</v>
      </c>
      <c r="D363" s="24">
        <f>IF(A363&gt;=$E$2,IF(A363&lt;$E$2+$H$2,$P$2,0),IF(B363&lt;Dashboard!$I$6,0,IF(A363&gt;=$F$2,Dashboard!$C$22*POWER(1+$C$2,A363-$F$2),Dashboard!$C$22)))</f>
        <v>0</v>
      </c>
      <c r="E363" s="24">
        <f>IF(A363&gt;=$F$2,0,IF(A363=0,Dashboard!$G$10,IF(B363&lt;Dashboard!$I$6,IF($J$2&lt;=Dashboard!$H$10,Dashboard!$H$10,MAX(Dashboard!$H$10,MIN($J$2,Dashboard!$H$10*POWER($J$2/Dashboard!$H$10,A363/$D$2)))),$I$2-D363-Dashboard!$I$10-Dashboard!$J$10-Dashboard!$F$10*$I$2)))</f>
        <v>6881.8</v>
      </c>
      <c r="F363" s="24">
        <f t="shared" si="56"/>
        <v>0</v>
      </c>
      <c r="G363" s="24">
        <f t="shared" si="57"/>
        <v>0</v>
      </c>
      <c r="H363" s="24">
        <f t="shared" si="58"/>
        <v>0</v>
      </c>
      <c r="I363" s="24">
        <f t="shared" si="59"/>
        <v>6881.8</v>
      </c>
      <c r="J363" s="25">
        <f t="shared" si="60"/>
        <v>7.9741404289037643E-3</v>
      </c>
      <c r="K363" s="24">
        <f t="shared" si="65"/>
        <v>3725430.0433870382</v>
      </c>
      <c r="L363" s="24" t="str">
        <f t="shared" si="61"/>
        <v/>
      </c>
      <c r="M363" s="24">
        <f t="shared" si="62"/>
        <v>0</v>
      </c>
      <c r="N363" s="24">
        <f>IF(M363&lt;=0,0,IF($E$2-A363&lt;12,(M363-E363)*Dashboard!$B$18,IF($Q$2+A363&gt;=$R$2,MAX(0,M363-E363*POWER(1+$C$2,$E$2-A363))*MAX(Dashboard!$C$18,Dashboard!$B$18),IF($S$2&lt;$R$2,(M363-E363)*0.5*Dashboard!$B$18,(E363*POWER(1+$A$2,$R$2-($Q$2+A363))-E363)*0.5*Dashboard!$B$18+MAX(0,M363-E363*POWER(1+$A$2,$R$2-($Q$2+A363))*POWER(1+$C$2,$S$2-$R$2))*MAX(Dashboard!$C$18,Dashboard!$B$18)))))</f>
        <v>0</v>
      </c>
    </row>
    <row r="364" spans="1:14" x14ac:dyDescent="0.2">
      <c r="A364" s="22">
        <f t="shared" si="63"/>
        <v>359</v>
      </c>
      <c r="B364" s="23">
        <f t="shared" si="64"/>
        <v>47.971461187214864</v>
      </c>
      <c r="C364" t="str">
        <f t="shared" si="55"/>
        <v>47 y 11.66 m</v>
      </c>
      <c r="D364" s="24">
        <f>IF(A364&gt;=$E$2,IF(A364&lt;$E$2+$H$2,$P$2,0),IF(B364&lt;Dashboard!$I$6,0,IF(A364&gt;=$F$2,Dashboard!$C$22*POWER(1+$C$2,A364-$F$2),Dashboard!$C$22)))</f>
        <v>0</v>
      </c>
      <c r="E364" s="24">
        <f>IF(A364&gt;=$F$2,0,IF(A364=0,Dashboard!$G$10,IF(B364&lt;Dashboard!$I$6,IF($J$2&lt;=Dashboard!$H$10,Dashboard!$H$10,MAX(Dashboard!$H$10,MIN($J$2,Dashboard!$H$10*POWER($J$2/Dashboard!$H$10,A364/$D$2)))),$I$2-D364-Dashboard!$I$10-Dashboard!$J$10-Dashboard!$F$10*$I$2)))</f>
        <v>6881.8</v>
      </c>
      <c r="F364" s="24">
        <f t="shared" si="56"/>
        <v>0</v>
      </c>
      <c r="G364" s="24">
        <f t="shared" si="57"/>
        <v>0</v>
      </c>
      <c r="H364" s="24">
        <f t="shared" si="58"/>
        <v>0</v>
      </c>
      <c r="I364" s="24">
        <f t="shared" si="59"/>
        <v>6881.8</v>
      </c>
      <c r="J364" s="25">
        <f t="shared" si="60"/>
        <v>7.9741404289037643E-3</v>
      </c>
      <c r="K364" s="24">
        <f t="shared" si="65"/>
        <v>3762073.8221506667</v>
      </c>
      <c r="L364" s="24" t="str">
        <f t="shared" si="61"/>
        <v/>
      </c>
      <c r="M364" s="24">
        <f t="shared" si="62"/>
        <v>0</v>
      </c>
      <c r="N364" s="24">
        <f>IF(M364&lt;=0,0,IF($E$2-A364&lt;12,(M364-E364)*Dashboard!$B$18,IF($Q$2+A364&gt;=$R$2,MAX(0,M364-E364*POWER(1+$C$2,$E$2-A364))*MAX(Dashboard!$C$18,Dashboard!$B$18),IF($S$2&lt;$R$2,(M364-E364)*0.5*Dashboard!$B$18,(E364*POWER(1+$A$2,$R$2-($Q$2+A364))-E364)*0.5*Dashboard!$B$18+MAX(0,M364-E364*POWER(1+$A$2,$R$2-($Q$2+A364))*POWER(1+$C$2,$S$2-$R$2))*MAX(Dashboard!$C$18,Dashboard!$B$18)))))</f>
        <v>0</v>
      </c>
    </row>
    <row r="365" spans="1:14" x14ac:dyDescent="0.2">
      <c r="A365" s="22">
        <f t="shared" si="63"/>
        <v>360</v>
      </c>
      <c r="B365" s="23">
        <f t="shared" si="64"/>
        <v>48.054794520548199</v>
      </c>
      <c r="C365" t="str">
        <f t="shared" si="55"/>
        <v>48 y 0.66 m</v>
      </c>
      <c r="D365" s="24">
        <f>IF(A365&gt;=$E$2,IF(A365&lt;$E$2+$H$2,$P$2,0),IF(B365&lt;Dashboard!$I$6,0,IF(A365&gt;=$F$2,Dashboard!$C$22*POWER(1+$C$2,A365-$F$2),Dashboard!$C$22)))</f>
        <v>0</v>
      </c>
      <c r="E365" s="24">
        <f>IF(A365&gt;=$F$2,0,IF(A365=0,Dashboard!$G$10,IF(B365&lt;Dashboard!$I$6,IF($J$2&lt;=Dashboard!$H$10,Dashboard!$H$10,MAX(Dashboard!$H$10,MIN($J$2,Dashboard!$H$10*POWER($J$2/Dashboard!$H$10,A365/$D$2)))),$I$2-D365-Dashboard!$I$10-Dashboard!$J$10-Dashboard!$F$10*$I$2)))</f>
        <v>6881.8</v>
      </c>
      <c r="F365" s="24">
        <f t="shared" si="56"/>
        <v>0</v>
      </c>
      <c r="G365" s="24">
        <f t="shared" si="57"/>
        <v>0</v>
      </c>
      <c r="H365" s="24">
        <f t="shared" si="58"/>
        <v>0</v>
      </c>
      <c r="I365" s="24">
        <f t="shared" si="59"/>
        <v>6881.8</v>
      </c>
      <c r="J365" s="25">
        <f t="shared" si="60"/>
        <v>7.9741404289037643E-3</v>
      </c>
      <c r="K365" s="24">
        <f t="shared" si="65"/>
        <v>3799009.8035520022</v>
      </c>
      <c r="L365" s="24" t="str">
        <f t="shared" si="61"/>
        <v/>
      </c>
      <c r="M365" s="24">
        <f t="shared" si="62"/>
        <v>0</v>
      </c>
      <c r="N365" s="24">
        <f>IF(M365&lt;=0,0,IF($E$2-A365&lt;12,(M365-E365)*Dashboard!$B$18,IF($Q$2+A365&gt;=$R$2,MAX(0,M365-E365*POWER(1+$C$2,$E$2-A365))*MAX(Dashboard!$C$18,Dashboard!$B$18),IF($S$2&lt;$R$2,(M365-E365)*0.5*Dashboard!$B$18,(E365*POWER(1+$A$2,$R$2-($Q$2+A365))-E365)*0.5*Dashboard!$B$18+MAX(0,M365-E365*POWER(1+$A$2,$R$2-($Q$2+A365))*POWER(1+$C$2,$S$2-$R$2))*MAX(Dashboard!$C$18,Dashboard!$B$18)))))</f>
        <v>0</v>
      </c>
    </row>
    <row r="366" spans="1:14" x14ac:dyDescent="0.2">
      <c r="A366" s="22">
        <f t="shared" si="63"/>
        <v>361</v>
      </c>
      <c r="B366" s="23">
        <f t="shared" si="64"/>
        <v>48.138127853881535</v>
      </c>
      <c r="C366" t="str">
        <f t="shared" si="55"/>
        <v>48 y 1.66 m</v>
      </c>
      <c r="D366" s="24">
        <f>IF(A366&gt;=$E$2,IF(A366&lt;$E$2+$H$2,$P$2,0),IF(B366&lt;Dashboard!$I$6,0,IF(A366&gt;=$F$2,Dashboard!$C$22*POWER(1+$C$2,A366-$F$2),Dashboard!$C$22)))</f>
        <v>0</v>
      </c>
      <c r="E366" s="24">
        <f>IF(A366&gt;=$F$2,0,IF(A366=0,Dashboard!$G$10,IF(B366&lt;Dashboard!$I$6,IF($J$2&lt;=Dashboard!$H$10,Dashboard!$H$10,MAX(Dashboard!$H$10,MIN($J$2,Dashboard!$H$10*POWER($J$2/Dashboard!$H$10,A366/$D$2)))),$I$2-D366-Dashboard!$I$10-Dashboard!$J$10-Dashboard!$F$10*$I$2)))</f>
        <v>6881.8</v>
      </c>
      <c r="F366" s="24">
        <f t="shared" si="56"/>
        <v>0</v>
      </c>
      <c r="G366" s="24">
        <f t="shared" si="57"/>
        <v>0</v>
      </c>
      <c r="H366" s="24">
        <f t="shared" si="58"/>
        <v>0</v>
      </c>
      <c r="I366" s="24">
        <f t="shared" si="59"/>
        <v>6881.8</v>
      </c>
      <c r="J366" s="25">
        <f t="shared" si="60"/>
        <v>7.9741404289037643E-3</v>
      </c>
      <c r="K366" s="24">
        <f t="shared" si="65"/>
        <v>3836240.3176559112</v>
      </c>
      <c r="L366" s="24" t="str">
        <f t="shared" si="61"/>
        <v/>
      </c>
      <c r="M366" s="24">
        <f t="shared" si="62"/>
        <v>0</v>
      </c>
      <c r="N366" s="24">
        <f>IF(M366&lt;=0,0,IF($E$2-A366&lt;12,(M366-E366)*Dashboard!$B$18,IF($Q$2+A366&gt;=$R$2,MAX(0,M366-E366*POWER(1+$C$2,$E$2-A366))*MAX(Dashboard!$C$18,Dashboard!$B$18),IF($S$2&lt;$R$2,(M366-E366)*0.5*Dashboard!$B$18,(E366*POWER(1+$A$2,$R$2-($Q$2+A366))-E366)*0.5*Dashboard!$B$18+MAX(0,M366-E366*POWER(1+$A$2,$R$2-($Q$2+A366))*POWER(1+$C$2,$S$2-$R$2))*MAX(Dashboard!$C$18,Dashboard!$B$18)))))</f>
        <v>0</v>
      </c>
    </row>
    <row r="367" spans="1:14" x14ac:dyDescent="0.2">
      <c r="A367" s="22">
        <f t="shared" si="63"/>
        <v>362</v>
      </c>
      <c r="B367" s="23">
        <f t="shared" si="64"/>
        <v>48.221461187214871</v>
      </c>
      <c r="C367" t="str">
        <f t="shared" si="55"/>
        <v>48 y 2.66 m</v>
      </c>
      <c r="D367" s="24">
        <f>IF(A367&gt;=$E$2,IF(A367&lt;$E$2+$H$2,$P$2,0),IF(B367&lt;Dashboard!$I$6,0,IF(A367&gt;=$F$2,Dashboard!$C$22*POWER(1+$C$2,A367-$F$2),Dashboard!$C$22)))</f>
        <v>0</v>
      </c>
      <c r="E367" s="24">
        <f>IF(A367&gt;=$F$2,0,IF(A367=0,Dashboard!$G$10,IF(B367&lt;Dashboard!$I$6,IF($J$2&lt;=Dashboard!$H$10,Dashboard!$H$10,MAX(Dashboard!$H$10,MIN($J$2,Dashboard!$H$10*POWER($J$2/Dashboard!$H$10,A367/$D$2)))),$I$2-D367-Dashboard!$I$10-Dashboard!$J$10-Dashboard!$F$10*$I$2)))</f>
        <v>6881.8</v>
      </c>
      <c r="F367" s="24">
        <f t="shared" si="56"/>
        <v>0</v>
      </c>
      <c r="G367" s="24">
        <f t="shared" si="57"/>
        <v>0</v>
      </c>
      <c r="H367" s="24">
        <f t="shared" si="58"/>
        <v>0</v>
      </c>
      <c r="I367" s="24">
        <f t="shared" si="59"/>
        <v>6881.8</v>
      </c>
      <c r="J367" s="25">
        <f t="shared" si="60"/>
        <v>7.9741404289037643E-3</v>
      </c>
      <c r="K367" s="24">
        <f t="shared" si="65"/>
        <v>3873767.7131075254</v>
      </c>
      <c r="L367" s="24" t="str">
        <f t="shared" si="61"/>
        <v/>
      </c>
      <c r="M367" s="24">
        <f t="shared" si="62"/>
        <v>0</v>
      </c>
      <c r="N367" s="24">
        <f>IF(M367&lt;=0,0,IF($E$2-A367&lt;12,(M367-E367)*Dashboard!$B$18,IF($Q$2+A367&gt;=$R$2,MAX(0,M367-E367*POWER(1+$C$2,$E$2-A367))*MAX(Dashboard!$C$18,Dashboard!$B$18),IF($S$2&lt;$R$2,(M367-E367)*0.5*Dashboard!$B$18,(E367*POWER(1+$A$2,$R$2-($Q$2+A367))-E367)*0.5*Dashboard!$B$18+MAX(0,M367-E367*POWER(1+$A$2,$R$2-($Q$2+A367))*POWER(1+$C$2,$S$2-$R$2))*MAX(Dashboard!$C$18,Dashboard!$B$18)))))</f>
        <v>0</v>
      </c>
    </row>
    <row r="368" spans="1:14" x14ac:dyDescent="0.2">
      <c r="A368" s="22">
        <f t="shared" si="63"/>
        <v>363</v>
      </c>
      <c r="B368" s="23">
        <f t="shared" si="64"/>
        <v>48.304794520548207</v>
      </c>
      <c r="C368" t="str">
        <f t="shared" si="55"/>
        <v>48 y 3.66 m</v>
      </c>
      <c r="D368" s="24">
        <f>IF(A368&gt;=$E$2,IF(A368&lt;$E$2+$H$2,$P$2,0),IF(B368&lt;Dashboard!$I$6,0,IF(A368&gt;=$F$2,Dashboard!$C$22*POWER(1+$C$2,A368-$F$2),Dashboard!$C$22)))</f>
        <v>0</v>
      </c>
      <c r="E368" s="24">
        <f>IF(A368&gt;=$F$2,0,IF(A368=0,Dashboard!$G$10,IF(B368&lt;Dashboard!$I$6,IF($J$2&lt;=Dashboard!$H$10,Dashboard!$H$10,MAX(Dashboard!$H$10,MIN($J$2,Dashboard!$H$10*POWER($J$2/Dashboard!$H$10,A368/$D$2)))),$I$2-D368-Dashboard!$I$10-Dashboard!$J$10-Dashboard!$F$10*$I$2)))</f>
        <v>6881.8</v>
      </c>
      <c r="F368" s="24">
        <f t="shared" si="56"/>
        <v>0</v>
      </c>
      <c r="G368" s="24">
        <f t="shared" si="57"/>
        <v>0</v>
      </c>
      <c r="H368" s="24">
        <f t="shared" si="58"/>
        <v>0</v>
      </c>
      <c r="I368" s="24">
        <f t="shared" si="59"/>
        <v>6881.8</v>
      </c>
      <c r="J368" s="25">
        <f t="shared" si="60"/>
        <v>7.9741404289037643E-3</v>
      </c>
      <c r="K368" s="24">
        <f t="shared" si="65"/>
        <v>3911594.3572804015</v>
      </c>
      <c r="L368" s="24" t="str">
        <f t="shared" si="61"/>
        <v/>
      </c>
      <c r="M368" s="24">
        <f t="shared" si="62"/>
        <v>0</v>
      </c>
      <c r="N368" s="24">
        <f>IF(M368&lt;=0,0,IF($E$2-A368&lt;12,(M368-E368)*Dashboard!$B$18,IF($Q$2+A368&gt;=$R$2,MAX(0,M368-E368*POWER(1+$C$2,$E$2-A368))*MAX(Dashboard!$C$18,Dashboard!$B$18),IF($S$2&lt;$R$2,(M368-E368)*0.5*Dashboard!$B$18,(E368*POWER(1+$A$2,$R$2-($Q$2+A368))-E368)*0.5*Dashboard!$B$18+MAX(0,M368-E368*POWER(1+$A$2,$R$2-($Q$2+A368))*POWER(1+$C$2,$S$2-$R$2))*MAX(Dashboard!$C$18,Dashboard!$B$18)))))</f>
        <v>0</v>
      </c>
    </row>
    <row r="369" spans="1:14" x14ac:dyDescent="0.2">
      <c r="A369" s="22">
        <f t="shared" si="63"/>
        <v>364</v>
      </c>
      <c r="B369" s="23">
        <f t="shared" si="64"/>
        <v>48.388127853881542</v>
      </c>
      <c r="C369" t="str">
        <f t="shared" si="55"/>
        <v>48 y 4.66 m</v>
      </c>
      <c r="D369" s="24">
        <f>IF(A369&gt;=$E$2,IF(A369&lt;$E$2+$H$2,$P$2,0),IF(B369&lt;Dashboard!$I$6,0,IF(A369&gt;=$F$2,Dashboard!$C$22*POWER(1+$C$2,A369-$F$2),Dashboard!$C$22)))</f>
        <v>0</v>
      </c>
      <c r="E369" s="24">
        <f>IF(A369&gt;=$F$2,0,IF(A369=0,Dashboard!$G$10,IF(B369&lt;Dashboard!$I$6,IF($J$2&lt;=Dashboard!$H$10,Dashboard!$H$10,MAX(Dashboard!$H$10,MIN($J$2,Dashboard!$H$10*POWER($J$2/Dashboard!$H$10,A369/$D$2)))),$I$2-D369-Dashboard!$I$10-Dashboard!$J$10-Dashboard!$F$10*$I$2)))</f>
        <v>6881.8</v>
      </c>
      <c r="F369" s="24">
        <f t="shared" si="56"/>
        <v>0</v>
      </c>
      <c r="G369" s="24">
        <f t="shared" si="57"/>
        <v>0</v>
      </c>
      <c r="H369" s="24">
        <f t="shared" si="58"/>
        <v>0</v>
      </c>
      <c r="I369" s="24">
        <f t="shared" si="59"/>
        <v>6881.8</v>
      </c>
      <c r="J369" s="25">
        <f t="shared" si="60"/>
        <v>7.9741404289037643E-3</v>
      </c>
      <c r="K369" s="24">
        <f t="shared" si="65"/>
        <v>3949722.6364258663</v>
      </c>
      <c r="L369" s="24" t="str">
        <f t="shared" si="61"/>
        <v/>
      </c>
      <c r="M369" s="24">
        <f t="shared" si="62"/>
        <v>0</v>
      </c>
      <c r="N369" s="24">
        <f>IF(M369&lt;=0,0,IF($E$2-A369&lt;12,(M369-E369)*Dashboard!$B$18,IF($Q$2+A369&gt;=$R$2,MAX(0,M369-E369*POWER(1+$C$2,$E$2-A369))*MAX(Dashboard!$C$18,Dashboard!$B$18),IF($S$2&lt;$R$2,(M369-E369)*0.5*Dashboard!$B$18,(E369*POWER(1+$A$2,$R$2-($Q$2+A369))-E369)*0.5*Dashboard!$B$18+MAX(0,M369-E369*POWER(1+$A$2,$R$2-($Q$2+A369))*POWER(1+$C$2,$S$2-$R$2))*MAX(Dashboard!$C$18,Dashboard!$B$18)))))</f>
        <v>0</v>
      </c>
    </row>
    <row r="370" spans="1:14" x14ac:dyDescent="0.2">
      <c r="A370" s="22">
        <f t="shared" si="63"/>
        <v>365</v>
      </c>
      <c r="B370" s="23">
        <f t="shared" si="64"/>
        <v>48.471461187214878</v>
      </c>
      <c r="C370" t="str">
        <f t="shared" si="55"/>
        <v>48 y 5.66 m</v>
      </c>
      <c r="D370" s="24">
        <f>IF(A370&gt;=$E$2,IF(A370&lt;$E$2+$H$2,$P$2,0),IF(B370&lt;Dashboard!$I$6,0,IF(A370&gt;=$F$2,Dashboard!$C$22*POWER(1+$C$2,A370-$F$2),Dashboard!$C$22)))</f>
        <v>0</v>
      </c>
      <c r="E370" s="24">
        <f>IF(A370&gt;=$F$2,0,IF(A370=0,Dashboard!$G$10,IF(B370&lt;Dashboard!$I$6,IF($J$2&lt;=Dashboard!$H$10,Dashboard!$H$10,MAX(Dashboard!$H$10,MIN($J$2,Dashboard!$H$10*POWER($J$2/Dashboard!$H$10,A370/$D$2)))),$I$2-D370-Dashboard!$I$10-Dashboard!$J$10-Dashboard!$F$10*$I$2)))</f>
        <v>6881.8</v>
      </c>
      <c r="F370" s="24">
        <f t="shared" si="56"/>
        <v>0</v>
      </c>
      <c r="G370" s="24">
        <f t="shared" si="57"/>
        <v>0</v>
      </c>
      <c r="H370" s="24">
        <f t="shared" si="58"/>
        <v>0</v>
      </c>
      <c r="I370" s="24">
        <f t="shared" si="59"/>
        <v>6881.8</v>
      </c>
      <c r="J370" s="25">
        <f t="shared" si="60"/>
        <v>7.9741404289037643E-3</v>
      </c>
      <c r="K370" s="24">
        <f t="shared" si="65"/>
        <v>3988154.9558235495</v>
      </c>
      <c r="L370" s="24" t="str">
        <f t="shared" si="61"/>
        <v/>
      </c>
      <c r="M370" s="24">
        <f t="shared" si="62"/>
        <v>0</v>
      </c>
      <c r="N370" s="24">
        <f>IF(M370&lt;=0,0,IF($E$2-A370&lt;12,(M370-E370)*Dashboard!$B$18,IF($Q$2+A370&gt;=$R$2,MAX(0,M370-E370*POWER(1+$C$2,$E$2-A370))*MAX(Dashboard!$C$18,Dashboard!$B$18),IF($S$2&lt;$R$2,(M370-E370)*0.5*Dashboard!$B$18,(E370*POWER(1+$A$2,$R$2-($Q$2+A370))-E370)*0.5*Dashboard!$B$18+MAX(0,M370-E370*POWER(1+$A$2,$R$2-($Q$2+A370))*POWER(1+$C$2,$S$2-$R$2))*MAX(Dashboard!$C$18,Dashboard!$B$18)))))</f>
        <v>0</v>
      </c>
    </row>
    <row r="371" spans="1:14" x14ac:dyDescent="0.2">
      <c r="A371" s="22">
        <f t="shared" si="63"/>
        <v>366</v>
      </c>
      <c r="B371" s="23">
        <f t="shared" si="64"/>
        <v>48.554794520548214</v>
      </c>
      <c r="C371" t="str">
        <f t="shared" si="55"/>
        <v>48 y 6.66 m</v>
      </c>
      <c r="D371" s="24">
        <f>IF(A371&gt;=$E$2,IF(A371&lt;$E$2+$H$2,$P$2,0),IF(B371&lt;Dashboard!$I$6,0,IF(A371&gt;=$F$2,Dashboard!$C$22*POWER(1+$C$2,A371-$F$2),Dashboard!$C$22)))</f>
        <v>0</v>
      </c>
      <c r="E371" s="24">
        <f>IF(A371&gt;=$F$2,0,IF(A371=0,Dashboard!$G$10,IF(B371&lt;Dashboard!$I$6,IF($J$2&lt;=Dashboard!$H$10,Dashboard!$H$10,MAX(Dashboard!$H$10,MIN($J$2,Dashboard!$H$10*POWER($J$2/Dashboard!$H$10,A371/$D$2)))),$I$2-D371-Dashboard!$I$10-Dashboard!$J$10-Dashboard!$F$10*$I$2)))</f>
        <v>6881.8</v>
      </c>
      <c r="F371" s="24">
        <f t="shared" si="56"/>
        <v>0</v>
      </c>
      <c r="G371" s="24">
        <f t="shared" si="57"/>
        <v>0</v>
      </c>
      <c r="H371" s="24">
        <f t="shared" si="58"/>
        <v>0</v>
      </c>
      <c r="I371" s="24">
        <f t="shared" si="59"/>
        <v>6881.8</v>
      </c>
      <c r="J371" s="25">
        <f t="shared" si="60"/>
        <v>7.9741404289037643E-3</v>
      </c>
      <c r="K371" s="24">
        <f t="shared" si="65"/>
        <v>4026893.7399331182</v>
      </c>
      <c r="L371" s="24" t="str">
        <f t="shared" si="61"/>
        <v/>
      </c>
      <c r="M371" s="24">
        <f t="shared" si="62"/>
        <v>0</v>
      </c>
      <c r="N371" s="24">
        <f>IF(M371&lt;=0,0,IF($E$2-A371&lt;12,(M371-E371)*Dashboard!$B$18,IF($Q$2+A371&gt;=$R$2,MAX(0,M371-E371*POWER(1+$C$2,$E$2-A371))*MAX(Dashboard!$C$18,Dashboard!$B$18),IF($S$2&lt;$R$2,(M371-E371)*0.5*Dashboard!$B$18,(E371*POWER(1+$A$2,$R$2-($Q$2+A371))-E371)*0.5*Dashboard!$B$18+MAX(0,M371-E371*POWER(1+$A$2,$R$2-($Q$2+A371))*POWER(1+$C$2,$S$2-$R$2))*MAX(Dashboard!$C$18,Dashboard!$B$18)))))</f>
        <v>0</v>
      </c>
    </row>
    <row r="372" spans="1:14" x14ac:dyDescent="0.2">
      <c r="A372" s="22">
        <f t="shared" si="63"/>
        <v>367</v>
      </c>
      <c r="B372" s="23">
        <f t="shared" si="64"/>
        <v>48.638127853881549</v>
      </c>
      <c r="C372" t="str">
        <f t="shared" si="55"/>
        <v>48 y 7.66 m</v>
      </c>
      <c r="D372" s="24">
        <f>IF(A372&gt;=$E$2,IF(A372&lt;$E$2+$H$2,$P$2,0),IF(B372&lt;Dashboard!$I$6,0,IF(A372&gt;=$F$2,Dashboard!$C$22*POWER(1+$C$2,A372-$F$2),Dashboard!$C$22)))</f>
        <v>0</v>
      </c>
      <c r="E372" s="24">
        <f>IF(A372&gt;=$F$2,0,IF(A372=0,Dashboard!$G$10,IF(B372&lt;Dashboard!$I$6,IF($J$2&lt;=Dashboard!$H$10,Dashboard!$H$10,MAX(Dashboard!$H$10,MIN($J$2,Dashboard!$H$10*POWER($J$2/Dashboard!$H$10,A372/$D$2)))),$I$2-D372-Dashboard!$I$10-Dashboard!$J$10-Dashboard!$F$10*$I$2)))</f>
        <v>6881.8</v>
      </c>
      <c r="F372" s="24">
        <f t="shared" si="56"/>
        <v>0</v>
      </c>
      <c r="G372" s="24">
        <f t="shared" si="57"/>
        <v>0</v>
      </c>
      <c r="H372" s="24">
        <f t="shared" si="58"/>
        <v>0</v>
      </c>
      <c r="I372" s="24">
        <f t="shared" si="59"/>
        <v>6881.8</v>
      </c>
      <c r="J372" s="25">
        <f t="shared" si="60"/>
        <v>7.9741404289037643E-3</v>
      </c>
      <c r="K372" s="24">
        <f t="shared" si="65"/>
        <v>4065941.4325472219</v>
      </c>
      <c r="L372" s="24" t="str">
        <f t="shared" si="61"/>
        <v/>
      </c>
      <c r="M372" s="24">
        <f t="shared" si="62"/>
        <v>0</v>
      </c>
      <c r="N372" s="24">
        <f>IF(M372&lt;=0,0,IF($E$2-A372&lt;12,(M372-E372)*Dashboard!$B$18,IF($Q$2+A372&gt;=$R$2,MAX(0,M372-E372*POWER(1+$C$2,$E$2-A372))*MAX(Dashboard!$C$18,Dashboard!$B$18),IF($S$2&lt;$R$2,(M372-E372)*0.5*Dashboard!$B$18,(E372*POWER(1+$A$2,$R$2-($Q$2+A372))-E372)*0.5*Dashboard!$B$18+MAX(0,M372-E372*POWER(1+$A$2,$R$2-($Q$2+A372))*POWER(1+$C$2,$S$2-$R$2))*MAX(Dashboard!$C$18,Dashboard!$B$18)))))</f>
        <v>0</v>
      </c>
    </row>
    <row r="373" spans="1:14" x14ac:dyDescent="0.2">
      <c r="A373" s="22">
        <f t="shared" si="63"/>
        <v>368</v>
      </c>
      <c r="B373" s="23">
        <f t="shared" si="64"/>
        <v>48.721461187214885</v>
      </c>
      <c r="C373" t="str">
        <f t="shared" si="55"/>
        <v>48 y 8.66 m</v>
      </c>
      <c r="D373" s="24">
        <f>IF(A373&gt;=$E$2,IF(A373&lt;$E$2+$H$2,$P$2,0),IF(B373&lt;Dashboard!$I$6,0,IF(A373&gt;=$F$2,Dashboard!$C$22*POWER(1+$C$2,A373-$F$2),Dashboard!$C$22)))</f>
        <v>0</v>
      </c>
      <c r="E373" s="24">
        <f>IF(A373&gt;=$F$2,0,IF(A373=0,Dashboard!$G$10,IF(B373&lt;Dashboard!$I$6,IF($J$2&lt;=Dashboard!$H$10,Dashboard!$H$10,MAX(Dashboard!$H$10,MIN($J$2,Dashboard!$H$10*POWER($J$2/Dashboard!$H$10,A373/$D$2)))),$I$2-D373-Dashboard!$I$10-Dashboard!$J$10-Dashboard!$F$10*$I$2)))</f>
        <v>6881.8</v>
      </c>
      <c r="F373" s="24">
        <f t="shared" si="56"/>
        <v>0</v>
      </c>
      <c r="G373" s="24">
        <f t="shared" si="57"/>
        <v>0</v>
      </c>
      <c r="H373" s="24">
        <f t="shared" si="58"/>
        <v>0</v>
      </c>
      <c r="I373" s="24">
        <f t="shared" si="59"/>
        <v>6881.8</v>
      </c>
      <c r="J373" s="25">
        <f t="shared" si="60"/>
        <v>7.9741404289037643E-3</v>
      </c>
      <c r="K373" s="24">
        <f t="shared" si="65"/>
        <v>4105300.496945655</v>
      </c>
      <c r="L373" s="24" t="str">
        <f t="shared" si="61"/>
        <v/>
      </c>
      <c r="M373" s="24">
        <f t="shared" si="62"/>
        <v>0</v>
      </c>
      <c r="N373" s="24">
        <f>IF(M373&lt;=0,0,IF($E$2-A373&lt;12,(M373-E373)*Dashboard!$B$18,IF($Q$2+A373&gt;=$R$2,MAX(0,M373-E373*POWER(1+$C$2,$E$2-A373))*MAX(Dashboard!$C$18,Dashboard!$B$18),IF($S$2&lt;$R$2,(M373-E373)*0.5*Dashboard!$B$18,(E373*POWER(1+$A$2,$R$2-($Q$2+A373))-E373)*0.5*Dashboard!$B$18+MAX(0,M373-E373*POWER(1+$A$2,$R$2-($Q$2+A373))*POWER(1+$C$2,$S$2-$R$2))*MAX(Dashboard!$C$18,Dashboard!$B$18)))))</f>
        <v>0</v>
      </c>
    </row>
    <row r="374" spans="1:14" x14ac:dyDescent="0.2">
      <c r="A374" s="22">
        <f t="shared" si="63"/>
        <v>369</v>
      </c>
      <c r="B374" s="23">
        <f t="shared" si="64"/>
        <v>48.804794520548221</v>
      </c>
      <c r="C374" t="str">
        <f t="shared" si="55"/>
        <v>48 y 9.66 m</v>
      </c>
      <c r="D374" s="24">
        <f>IF(A374&gt;=$E$2,IF(A374&lt;$E$2+$H$2,$P$2,0),IF(B374&lt;Dashboard!$I$6,0,IF(A374&gt;=$F$2,Dashboard!$C$22*POWER(1+$C$2,A374-$F$2),Dashboard!$C$22)))</f>
        <v>0</v>
      </c>
      <c r="E374" s="24">
        <f>IF(A374&gt;=$F$2,0,IF(A374=0,Dashboard!$G$10,IF(B374&lt;Dashboard!$I$6,IF($J$2&lt;=Dashboard!$H$10,Dashboard!$H$10,MAX(Dashboard!$H$10,MIN($J$2,Dashboard!$H$10*POWER($J$2/Dashboard!$H$10,A374/$D$2)))),$I$2-D374-Dashboard!$I$10-Dashboard!$J$10-Dashboard!$F$10*$I$2)))</f>
        <v>6881.8</v>
      </c>
      <c r="F374" s="24">
        <f t="shared" si="56"/>
        <v>0</v>
      </c>
      <c r="G374" s="24">
        <f t="shared" si="57"/>
        <v>0</v>
      </c>
      <c r="H374" s="24">
        <f t="shared" si="58"/>
        <v>0</v>
      </c>
      <c r="I374" s="24">
        <f t="shared" si="59"/>
        <v>6881.8</v>
      </c>
      <c r="J374" s="25">
        <f t="shared" si="60"/>
        <v>7.9741404289037643E-3</v>
      </c>
      <c r="K374" s="24">
        <f t="shared" si="65"/>
        <v>4144973.4160507517</v>
      </c>
      <c r="L374" s="24" t="str">
        <f t="shared" si="61"/>
        <v/>
      </c>
      <c r="M374" s="24">
        <f t="shared" si="62"/>
        <v>0</v>
      </c>
      <c r="N374" s="24">
        <f>IF(M374&lt;=0,0,IF($E$2-A374&lt;12,(M374-E374)*Dashboard!$B$18,IF($Q$2+A374&gt;=$R$2,MAX(0,M374-E374*POWER(1+$C$2,$E$2-A374))*MAX(Dashboard!$C$18,Dashboard!$B$18),IF($S$2&lt;$R$2,(M374-E374)*0.5*Dashboard!$B$18,(E374*POWER(1+$A$2,$R$2-($Q$2+A374))-E374)*0.5*Dashboard!$B$18+MAX(0,M374-E374*POWER(1+$A$2,$R$2-($Q$2+A374))*POWER(1+$C$2,$S$2-$R$2))*MAX(Dashboard!$C$18,Dashboard!$B$18)))))</f>
        <v>0</v>
      </c>
    </row>
    <row r="375" spans="1:14" x14ac:dyDescent="0.2">
      <c r="A375" s="22">
        <f t="shared" si="63"/>
        <v>370</v>
      </c>
      <c r="B375" s="23">
        <f t="shared" si="64"/>
        <v>48.888127853881556</v>
      </c>
      <c r="C375" t="str">
        <f t="shared" si="55"/>
        <v>48 y 10.66 m</v>
      </c>
      <c r="D375" s="24">
        <f>IF(A375&gt;=$E$2,IF(A375&lt;$E$2+$H$2,$P$2,0),IF(B375&lt;Dashboard!$I$6,0,IF(A375&gt;=$F$2,Dashboard!$C$22*POWER(1+$C$2,A375-$F$2),Dashboard!$C$22)))</f>
        <v>0</v>
      </c>
      <c r="E375" s="24">
        <f>IF(A375&gt;=$F$2,0,IF(A375=0,Dashboard!$G$10,IF(B375&lt;Dashboard!$I$6,IF($J$2&lt;=Dashboard!$H$10,Dashboard!$H$10,MAX(Dashboard!$H$10,MIN($J$2,Dashboard!$H$10*POWER($J$2/Dashboard!$H$10,A375/$D$2)))),$I$2-D375-Dashboard!$I$10-Dashboard!$J$10-Dashboard!$F$10*$I$2)))</f>
        <v>6881.8</v>
      </c>
      <c r="F375" s="24">
        <f t="shared" si="56"/>
        <v>0</v>
      </c>
      <c r="G375" s="24">
        <f t="shared" si="57"/>
        <v>0</v>
      </c>
      <c r="H375" s="24">
        <f t="shared" si="58"/>
        <v>0</v>
      </c>
      <c r="I375" s="24">
        <f t="shared" si="59"/>
        <v>6881.8</v>
      </c>
      <c r="J375" s="25">
        <f t="shared" si="60"/>
        <v>7.9741404289037643E-3</v>
      </c>
      <c r="K375" s="24">
        <f t="shared" si="65"/>
        <v>4184962.6925840168</v>
      </c>
      <c r="L375" s="24" t="str">
        <f t="shared" si="61"/>
        <v/>
      </c>
      <c r="M375" s="24">
        <f t="shared" si="62"/>
        <v>0</v>
      </c>
      <c r="N375" s="24">
        <f>IF(M375&lt;=0,0,IF($E$2-A375&lt;12,(M375-E375)*Dashboard!$B$18,IF($Q$2+A375&gt;=$R$2,MAX(0,M375-E375*POWER(1+$C$2,$E$2-A375))*MAX(Dashboard!$C$18,Dashboard!$B$18),IF($S$2&lt;$R$2,(M375-E375)*0.5*Dashboard!$B$18,(E375*POWER(1+$A$2,$R$2-($Q$2+A375))-E375)*0.5*Dashboard!$B$18+MAX(0,M375-E375*POWER(1+$A$2,$R$2-($Q$2+A375))*POWER(1+$C$2,$S$2-$R$2))*MAX(Dashboard!$C$18,Dashboard!$B$18)))))</f>
        <v>0</v>
      </c>
    </row>
    <row r="376" spans="1:14" x14ac:dyDescent="0.2">
      <c r="A376" s="22">
        <f t="shared" si="63"/>
        <v>371</v>
      </c>
      <c r="B376" s="23">
        <f t="shared" si="64"/>
        <v>48.971461187214892</v>
      </c>
      <c r="C376" t="str">
        <f t="shared" si="55"/>
        <v>48 y 11.66 m</v>
      </c>
      <c r="D376" s="24">
        <f>IF(A376&gt;=$E$2,IF(A376&lt;$E$2+$H$2,$P$2,0),IF(B376&lt;Dashboard!$I$6,0,IF(A376&gt;=$F$2,Dashboard!$C$22*POWER(1+$C$2,A376-$F$2),Dashboard!$C$22)))</f>
        <v>0</v>
      </c>
      <c r="E376" s="24">
        <f>IF(A376&gt;=$F$2,0,IF(A376=0,Dashboard!$G$10,IF(B376&lt;Dashboard!$I$6,IF($J$2&lt;=Dashboard!$H$10,Dashboard!$H$10,MAX(Dashboard!$H$10,MIN($J$2,Dashboard!$H$10*POWER($J$2/Dashboard!$H$10,A376/$D$2)))),$I$2-D376-Dashboard!$I$10-Dashboard!$J$10-Dashboard!$F$10*$I$2)))</f>
        <v>6881.8</v>
      </c>
      <c r="F376" s="24">
        <f t="shared" si="56"/>
        <v>0</v>
      </c>
      <c r="G376" s="24">
        <f t="shared" si="57"/>
        <v>0</v>
      </c>
      <c r="H376" s="24">
        <f t="shared" si="58"/>
        <v>0</v>
      </c>
      <c r="I376" s="24">
        <f t="shared" si="59"/>
        <v>6881.8</v>
      </c>
      <c r="J376" s="25">
        <f t="shared" si="60"/>
        <v>7.9741404289037643E-3</v>
      </c>
      <c r="K376" s="24">
        <f t="shared" si="65"/>
        <v>4225270.8492240086</v>
      </c>
      <c r="L376" s="24" t="str">
        <f t="shared" si="61"/>
        <v/>
      </c>
      <c r="M376" s="24">
        <f t="shared" si="62"/>
        <v>0</v>
      </c>
      <c r="N376" s="24">
        <f>IF(M376&lt;=0,0,IF($E$2-A376&lt;12,(M376-E376)*Dashboard!$B$18,IF($Q$2+A376&gt;=$R$2,MAX(0,M376-E376*POWER(1+$C$2,$E$2-A376))*MAX(Dashboard!$C$18,Dashboard!$B$18),IF($S$2&lt;$R$2,(M376-E376)*0.5*Dashboard!$B$18,(E376*POWER(1+$A$2,$R$2-($Q$2+A376))-E376)*0.5*Dashboard!$B$18+MAX(0,M376-E376*POWER(1+$A$2,$R$2-($Q$2+A376))*POWER(1+$C$2,$S$2-$R$2))*MAX(Dashboard!$C$18,Dashboard!$B$18)))))</f>
        <v>0</v>
      </c>
    </row>
    <row r="377" spans="1:14" x14ac:dyDescent="0.2">
      <c r="A377" s="22">
        <f t="shared" si="63"/>
        <v>372</v>
      </c>
      <c r="B377" s="23">
        <f t="shared" si="64"/>
        <v>49.054794520548228</v>
      </c>
      <c r="C377" t="str">
        <f t="shared" si="55"/>
        <v>49 y 0.66 m</v>
      </c>
      <c r="D377" s="24">
        <f>IF(A377&gt;=$E$2,IF(A377&lt;$E$2+$H$2,$P$2,0),IF(B377&lt;Dashboard!$I$6,0,IF(A377&gt;=$F$2,Dashboard!$C$22*POWER(1+$C$2,A377-$F$2),Dashboard!$C$22)))</f>
        <v>0</v>
      </c>
      <c r="E377" s="24">
        <f>IF(A377&gt;=$F$2,0,IF(A377=0,Dashboard!$G$10,IF(B377&lt;Dashboard!$I$6,IF($J$2&lt;=Dashboard!$H$10,Dashboard!$H$10,MAX(Dashboard!$H$10,MIN($J$2,Dashboard!$H$10*POWER($J$2/Dashboard!$H$10,A377/$D$2)))),$I$2-D377-Dashboard!$I$10-Dashboard!$J$10-Dashboard!$F$10*$I$2)))</f>
        <v>6881.8</v>
      </c>
      <c r="F377" s="24">
        <f t="shared" si="56"/>
        <v>0</v>
      </c>
      <c r="G377" s="24">
        <f t="shared" si="57"/>
        <v>0</v>
      </c>
      <c r="H377" s="24">
        <f t="shared" si="58"/>
        <v>0</v>
      </c>
      <c r="I377" s="24">
        <f t="shared" si="59"/>
        <v>6881.8</v>
      </c>
      <c r="J377" s="25">
        <f t="shared" si="60"/>
        <v>7.9741404289037643E-3</v>
      </c>
      <c r="K377" s="24">
        <f t="shared" si="65"/>
        <v>4265900.4287654776</v>
      </c>
      <c r="L377" s="24" t="str">
        <f t="shared" si="61"/>
        <v/>
      </c>
      <c r="M377" s="24">
        <f t="shared" si="62"/>
        <v>0</v>
      </c>
      <c r="N377" s="24">
        <f>IF(M377&lt;=0,0,IF($E$2-A377&lt;12,(M377-E377)*Dashboard!$B$18,IF($Q$2+A377&gt;=$R$2,MAX(0,M377-E377*POWER(1+$C$2,$E$2-A377))*MAX(Dashboard!$C$18,Dashboard!$B$18),IF($S$2&lt;$R$2,(M377-E377)*0.5*Dashboard!$B$18,(E377*POWER(1+$A$2,$R$2-($Q$2+A377))-E377)*0.5*Dashboard!$B$18+MAX(0,M377-E377*POWER(1+$A$2,$R$2-($Q$2+A377))*POWER(1+$C$2,$S$2-$R$2))*MAX(Dashboard!$C$18,Dashboard!$B$18)))))</f>
        <v>0</v>
      </c>
    </row>
    <row r="378" spans="1:14" x14ac:dyDescent="0.2">
      <c r="A378" s="22">
        <f t="shared" si="63"/>
        <v>373</v>
      </c>
      <c r="B378" s="23">
        <f t="shared" si="64"/>
        <v>49.138127853881564</v>
      </c>
      <c r="C378" t="str">
        <f t="shared" si="55"/>
        <v>49 y 1.66 m</v>
      </c>
      <c r="D378" s="24">
        <f>IF(A378&gt;=$E$2,IF(A378&lt;$E$2+$H$2,$P$2,0),IF(B378&lt;Dashboard!$I$6,0,IF(A378&gt;=$F$2,Dashboard!$C$22*POWER(1+$C$2,A378-$F$2),Dashboard!$C$22)))</f>
        <v>0</v>
      </c>
      <c r="E378" s="24">
        <f>IF(A378&gt;=$F$2,0,IF(A378=0,Dashboard!$G$10,IF(B378&lt;Dashboard!$I$6,IF($J$2&lt;=Dashboard!$H$10,Dashboard!$H$10,MAX(Dashboard!$H$10,MIN($J$2,Dashboard!$H$10*POWER($J$2/Dashboard!$H$10,A378/$D$2)))),$I$2-D378-Dashboard!$I$10-Dashboard!$J$10-Dashboard!$F$10*$I$2)))</f>
        <v>6881.8</v>
      </c>
      <c r="F378" s="24">
        <f t="shared" si="56"/>
        <v>0</v>
      </c>
      <c r="G378" s="24">
        <f t="shared" si="57"/>
        <v>0</v>
      </c>
      <c r="H378" s="24">
        <f t="shared" si="58"/>
        <v>0</v>
      </c>
      <c r="I378" s="24">
        <f t="shared" si="59"/>
        <v>6881.8</v>
      </c>
      <c r="J378" s="25">
        <f t="shared" si="60"/>
        <v>7.9741404289037643E-3</v>
      </c>
      <c r="K378" s="24">
        <f t="shared" si="65"/>
        <v>4306853.9942797776</v>
      </c>
      <c r="L378" s="24" t="str">
        <f t="shared" si="61"/>
        <v/>
      </c>
      <c r="M378" s="24">
        <f t="shared" si="62"/>
        <v>0</v>
      </c>
      <c r="N378" s="24">
        <f>IF(M378&lt;=0,0,IF($E$2-A378&lt;12,(M378-E378)*Dashboard!$B$18,IF($Q$2+A378&gt;=$R$2,MAX(0,M378-E378*POWER(1+$C$2,$E$2-A378))*MAX(Dashboard!$C$18,Dashboard!$B$18),IF($S$2&lt;$R$2,(M378-E378)*0.5*Dashboard!$B$18,(E378*POWER(1+$A$2,$R$2-($Q$2+A378))-E378)*0.5*Dashboard!$B$18+MAX(0,M378-E378*POWER(1+$A$2,$R$2-($Q$2+A378))*POWER(1+$C$2,$S$2-$R$2))*MAX(Dashboard!$C$18,Dashboard!$B$18)))))</f>
        <v>0</v>
      </c>
    </row>
    <row r="379" spans="1:14" x14ac:dyDescent="0.2">
      <c r="A379" s="22">
        <f t="shared" si="63"/>
        <v>374</v>
      </c>
      <c r="B379" s="23">
        <f t="shared" si="64"/>
        <v>49.221461187214899</v>
      </c>
      <c r="C379" t="str">
        <f t="shared" si="55"/>
        <v>49 y 2.66 m</v>
      </c>
      <c r="D379" s="24">
        <f>IF(A379&gt;=$E$2,IF(A379&lt;$E$2+$H$2,$P$2,0),IF(B379&lt;Dashboard!$I$6,0,IF(A379&gt;=$F$2,Dashboard!$C$22*POWER(1+$C$2,A379-$F$2),Dashboard!$C$22)))</f>
        <v>0</v>
      </c>
      <c r="E379" s="24">
        <f>IF(A379&gt;=$F$2,0,IF(A379=0,Dashboard!$G$10,IF(B379&lt;Dashboard!$I$6,IF($J$2&lt;=Dashboard!$H$10,Dashboard!$H$10,MAX(Dashboard!$H$10,MIN($J$2,Dashboard!$H$10*POWER($J$2/Dashboard!$H$10,A379/$D$2)))),$I$2-D379-Dashboard!$I$10-Dashboard!$J$10-Dashboard!$F$10*$I$2)))</f>
        <v>6881.8</v>
      </c>
      <c r="F379" s="24">
        <f t="shared" si="56"/>
        <v>0</v>
      </c>
      <c r="G379" s="24">
        <f t="shared" si="57"/>
        <v>0</v>
      </c>
      <c r="H379" s="24">
        <f t="shared" si="58"/>
        <v>0</v>
      </c>
      <c r="I379" s="24">
        <f t="shared" si="59"/>
        <v>6881.8</v>
      </c>
      <c r="J379" s="25">
        <f t="shared" si="60"/>
        <v>7.9741404289037643E-3</v>
      </c>
      <c r="K379" s="24">
        <f t="shared" si="65"/>
        <v>4348134.1292765532</v>
      </c>
      <c r="L379" s="24" t="str">
        <f t="shared" si="61"/>
        <v/>
      </c>
      <c r="M379" s="24">
        <f t="shared" si="62"/>
        <v>0</v>
      </c>
      <c r="N379" s="24">
        <f>IF(M379&lt;=0,0,IF($E$2-A379&lt;12,(M379-E379)*Dashboard!$B$18,IF($Q$2+A379&gt;=$R$2,MAX(0,M379-E379*POWER(1+$C$2,$E$2-A379))*MAX(Dashboard!$C$18,Dashboard!$B$18),IF($S$2&lt;$R$2,(M379-E379)*0.5*Dashboard!$B$18,(E379*POWER(1+$A$2,$R$2-($Q$2+A379))-E379)*0.5*Dashboard!$B$18+MAX(0,M379-E379*POWER(1+$A$2,$R$2-($Q$2+A379))*POWER(1+$C$2,$S$2-$R$2))*MAX(Dashboard!$C$18,Dashboard!$B$18)))))</f>
        <v>0</v>
      </c>
    </row>
    <row r="380" spans="1:14" x14ac:dyDescent="0.2">
      <c r="A380" s="22">
        <f t="shared" si="63"/>
        <v>375</v>
      </c>
      <c r="B380" s="23">
        <f t="shared" si="64"/>
        <v>49.304794520548235</v>
      </c>
      <c r="C380" t="str">
        <f t="shared" si="55"/>
        <v>49 y 3.66 m</v>
      </c>
      <c r="D380" s="24">
        <f>IF(A380&gt;=$E$2,IF(A380&lt;$E$2+$H$2,$P$2,0),IF(B380&lt;Dashboard!$I$6,0,IF(A380&gt;=$F$2,Dashboard!$C$22*POWER(1+$C$2,A380-$F$2),Dashboard!$C$22)))</f>
        <v>0</v>
      </c>
      <c r="E380" s="24">
        <f>IF(A380&gt;=$F$2,0,IF(A380=0,Dashboard!$G$10,IF(B380&lt;Dashboard!$I$6,IF($J$2&lt;=Dashboard!$H$10,Dashboard!$H$10,MAX(Dashboard!$H$10,MIN($J$2,Dashboard!$H$10*POWER($J$2/Dashboard!$H$10,A380/$D$2)))),$I$2-D380-Dashboard!$I$10-Dashboard!$J$10-Dashboard!$F$10*$I$2)))</f>
        <v>6881.8</v>
      </c>
      <c r="F380" s="24">
        <f t="shared" si="56"/>
        <v>0</v>
      </c>
      <c r="G380" s="24">
        <f t="shared" si="57"/>
        <v>0</v>
      </c>
      <c r="H380" s="24">
        <f t="shared" si="58"/>
        <v>0</v>
      </c>
      <c r="I380" s="24">
        <f t="shared" si="59"/>
        <v>6881.8</v>
      </c>
      <c r="J380" s="25">
        <f t="shared" si="60"/>
        <v>7.9741404289037643E-3</v>
      </c>
      <c r="K380" s="24">
        <f t="shared" si="65"/>
        <v>4389743.4378667166</v>
      </c>
      <c r="L380" s="24" t="str">
        <f t="shared" si="61"/>
        <v/>
      </c>
      <c r="M380" s="24">
        <f t="shared" si="62"/>
        <v>0</v>
      </c>
      <c r="N380" s="24">
        <f>IF(M380&lt;=0,0,IF($E$2-A380&lt;12,(M380-E380)*Dashboard!$B$18,IF($Q$2+A380&gt;=$R$2,MAX(0,M380-E380*POWER(1+$C$2,$E$2-A380))*MAX(Dashboard!$C$18,Dashboard!$B$18),IF($S$2&lt;$R$2,(M380-E380)*0.5*Dashboard!$B$18,(E380*POWER(1+$A$2,$R$2-($Q$2+A380))-E380)*0.5*Dashboard!$B$18+MAX(0,M380-E380*POWER(1+$A$2,$R$2-($Q$2+A380))*POWER(1+$C$2,$S$2-$R$2))*MAX(Dashboard!$C$18,Dashboard!$B$18)))))</f>
        <v>0</v>
      </c>
    </row>
    <row r="381" spans="1:14" x14ac:dyDescent="0.2">
      <c r="A381" s="22">
        <f t="shared" si="63"/>
        <v>376</v>
      </c>
      <c r="B381" s="23">
        <f t="shared" si="64"/>
        <v>49.388127853881571</v>
      </c>
      <c r="C381" t="str">
        <f t="shared" si="55"/>
        <v>49 y 4.66 m</v>
      </c>
      <c r="D381" s="24">
        <f>IF(A381&gt;=$E$2,IF(A381&lt;$E$2+$H$2,$P$2,0),IF(B381&lt;Dashboard!$I$6,0,IF(A381&gt;=$F$2,Dashboard!$C$22*POWER(1+$C$2,A381-$F$2),Dashboard!$C$22)))</f>
        <v>0</v>
      </c>
      <c r="E381" s="24">
        <f>IF(A381&gt;=$F$2,0,IF(A381=0,Dashboard!$G$10,IF(B381&lt;Dashboard!$I$6,IF($J$2&lt;=Dashboard!$H$10,Dashboard!$H$10,MAX(Dashboard!$H$10,MIN($J$2,Dashboard!$H$10*POWER($J$2/Dashboard!$H$10,A381/$D$2)))),$I$2-D381-Dashboard!$I$10-Dashboard!$J$10-Dashboard!$F$10*$I$2)))</f>
        <v>6881.8</v>
      </c>
      <c r="F381" s="24">
        <f t="shared" si="56"/>
        <v>0</v>
      </c>
      <c r="G381" s="24">
        <f t="shared" si="57"/>
        <v>0</v>
      </c>
      <c r="H381" s="24">
        <f t="shared" si="58"/>
        <v>0</v>
      </c>
      <c r="I381" s="24">
        <f t="shared" si="59"/>
        <v>6881.8</v>
      </c>
      <c r="J381" s="25">
        <f t="shared" si="60"/>
        <v>7.9741404289037643E-3</v>
      </c>
      <c r="K381" s="24">
        <f t="shared" si="65"/>
        <v>4431684.5449267281</v>
      </c>
      <c r="L381" s="24" t="str">
        <f t="shared" si="61"/>
        <v/>
      </c>
      <c r="M381" s="24">
        <f t="shared" si="62"/>
        <v>0</v>
      </c>
      <c r="N381" s="24">
        <f>IF(M381&lt;=0,0,IF($E$2-A381&lt;12,(M381-E381)*Dashboard!$B$18,IF($Q$2+A381&gt;=$R$2,MAX(0,M381-E381*POWER(1+$C$2,$E$2-A381))*MAX(Dashboard!$C$18,Dashboard!$B$18),IF($S$2&lt;$R$2,(M381-E381)*0.5*Dashboard!$B$18,(E381*POWER(1+$A$2,$R$2-($Q$2+A381))-E381)*0.5*Dashboard!$B$18+MAX(0,M381-E381*POWER(1+$A$2,$R$2-($Q$2+A381))*POWER(1+$C$2,$S$2-$R$2))*MAX(Dashboard!$C$18,Dashboard!$B$18)))))</f>
        <v>0</v>
      </c>
    </row>
    <row r="382" spans="1:14" x14ac:dyDescent="0.2">
      <c r="A382" s="22">
        <f t="shared" si="63"/>
        <v>377</v>
      </c>
      <c r="B382" s="23">
        <f t="shared" si="64"/>
        <v>49.471461187214906</v>
      </c>
      <c r="C382" t="str">
        <f t="shared" si="55"/>
        <v>49 y 5.66 m</v>
      </c>
      <c r="D382" s="24">
        <f>IF(A382&gt;=$E$2,IF(A382&lt;$E$2+$H$2,$P$2,0),IF(B382&lt;Dashboard!$I$6,0,IF(A382&gt;=$F$2,Dashboard!$C$22*POWER(1+$C$2,A382-$F$2),Dashboard!$C$22)))</f>
        <v>0</v>
      </c>
      <c r="E382" s="24">
        <f>IF(A382&gt;=$F$2,0,IF(A382=0,Dashboard!$G$10,IF(B382&lt;Dashboard!$I$6,IF($J$2&lt;=Dashboard!$H$10,Dashboard!$H$10,MAX(Dashboard!$H$10,MIN($J$2,Dashboard!$H$10*POWER($J$2/Dashboard!$H$10,A382/$D$2)))),$I$2-D382-Dashboard!$I$10-Dashboard!$J$10-Dashboard!$F$10*$I$2)))</f>
        <v>6881.8</v>
      </c>
      <c r="F382" s="24">
        <f t="shared" si="56"/>
        <v>0</v>
      </c>
      <c r="G382" s="24">
        <f t="shared" si="57"/>
        <v>0</v>
      </c>
      <c r="H382" s="24">
        <f t="shared" si="58"/>
        <v>0</v>
      </c>
      <c r="I382" s="24">
        <f t="shared" si="59"/>
        <v>6881.8</v>
      </c>
      <c r="J382" s="25">
        <f t="shared" si="60"/>
        <v>7.9741404289037643E-3</v>
      </c>
      <c r="K382" s="24">
        <f t="shared" si="65"/>
        <v>4473960.0962641798</v>
      </c>
      <c r="L382" s="24" t="str">
        <f t="shared" si="61"/>
        <v/>
      </c>
      <c r="M382" s="24">
        <f t="shared" si="62"/>
        <v>0</v>
      </c>
      <c r="N382" s="24">
        <f>IF(M382&lt;=0,0,IF($E$2-A382&lt;12,(M382-E382)*Dashboard!$B$18,IF($Q$2+A382&gt;=$R$2,MAX(0,M382-E382*POWER(1+$C$2,$E$2-A382))*MAX(Dashboard!$C$18,Dashboard!$B$18),IF($S$2&lt;$R$2,(M382-E382)*0.5*Dashboard!$B$18,(E382*POWER(1+$A$2,$R$2-($Q$2+A382))-E382)*0.5*Dashboard!$B$18+MAX(0,M382-E382*POWER(1+$A$2,$R$2-($Q$2+A382))*POWER(1+$C$2,$S$2-$R$2))*MAX(Dashboard!$C$18,Dashboard!$B$18)))))</f>
        <v>0</v>
      </c>
    </row>
    <row r="383" spans="1:14" x14ac:dyDescent="0.2">
      <c r="A383" s="22">
        <f t="shared" si="63"/>
        <v>378</v>
      </c>
      <c r="B383" s="23">
        <f t="shared" si="64"/>
        <v>49.554794520548242</v>
      </c>
      <c r="C383" t="str">
        <f t="shared" si="55"/>
        <v>49 y 6.66 m</v>
      </c>
      <c r="D383" s="24">
        <f>IF(A383&gt;=$E$2,IF(A383&lt;$E$2+$H$2,$P$2,0),IF(B383&lt;Dashboard!$I$6,0,IF(A383&gt;=$F$2,Dashboard!$C$22*POWER(1+$C$2,A383-$F$2),Dashboard!$C$22)))</f>
        <v>0</v>
      </c>
      <c r="E383" s="24">
        <f>IF(A383&gt;=$F$2,0,IF(A383=0,Dashboard!$G$10,IF(B383&lt;Dashboard!$I$6,IF($J$2&lt;=Dashboard!$H$10,Dashboard!$H$10,MAX(Dashboard!$H$10,MIN($J$2,Dashboard!$H$10*POWER($J$2/Dashboard!$H$10,A383/$D$2)))),$I$2-D383-Dashboard!$I$10-Dashboard!$J$10-Dashboard!$F$10*$I$2)))</f>
        <v>6881.8</v>
      </c>
      <c r="F383" s="24">
        <f t="shared" si="56"/>
        <v>0</v>
      </c>
      <c r="G383" s="24">
        <f t="shared" si="57"/>
        <v>0</v>
      </c>
      <c r="H383" s="24">
        <f t="shared" si="58"/>
        <v>0</v>
      </c>
      <c r="I383" s="24">
        <f t="shared" si="59"/>
        <v>6881.8</v>
      </c>
      <c r="J383" s="25">
        <f t="shared" si="60"/>
        <v>7.9741404289037643E-3</v>
      </c>
      <c r="K383" s="24">
        <f t="shared" si="65"/>
        <v>4516572.7587847058</v>
      </c>
      <c r="L383" s="24" t="str">
        <f t="shared" si="61"/>
        <v/>
      </c>
      <c r="M383" s="24">
        <f t="shared" si="62"/>
        <v>0</v>
      </c>
      <c r="N383" s="24">
        <f>IF(M383&lt;=0,0,IF($E$2-A383&lt;12,(M383-E383)*Dashboard!$B$18,IF($Q$2+A383&gt;=$R$2,MAX(0,M383-E383*POWER(1+$C$2,$E$2-A383))*MAX(Dashboard!$C$18,Dashboard!$B$18),IF($S$2&lt;$R$2,(M383-E383)*0.5*Dashboard!$B$18,(E383*POWER(1+$A$2,$R$2-($Q$2+A383))-E383)*0.5*Dashboard!$B$18+MAX(0,M383-E383*POWER(1+$A$2,$R$2-($Q$2+A383))*POWER(1+$C$2,$S$2-$R$2))*MAX(Dashboard!$C$18,Dashboard!$B$18)))))</f>
        <v>0</v>
      </c>
    </row>
    <row r="384" spans="1:14" x14ac:dyDescent="0.2">
      <c r="A384" s="22">
        <f t="shared" si="63"/>
        <v>379</v>
      </c>
      <c r="B384" s="23">
        <f t="shared" si="64"/>
        <v>49.638127853881578</v>
      </c>
      <c r="C384" t="str">
        <f t="shared" si="55"/>
        <v>49 y 7.66 m</v>
      </c>
      <c r="D384" s="24">
        <f>IF(A384&gt;=$E$2,IF(A384&lt;$E$2+$H$2,$P$2,0),IF(B384&lt;Dashboard!$I$6,0,IF(A384&gt;=$F$2,Dashboard!$C$22*POWER(1+$C$2,A384-$F$2),Dashboard!$C$22)))</f>
        <v>0</v>
      </c>
      <c r="E384" s="24">
        <f>IF(A384&gt;=$F$2,0,IF(A384=0,Dashboard!$G$10,IF(B384&lt;Dashboard!$I$6,IF($J$2&lt;=Dashboard!$H$10,Dashboard!$H$10,MAX(Dashboard!$H$10,MIN($J$2,Dashboard!$H$10*POWER($J$2/Dashboard!$H$10,A384/$D$2)))),$I$2-D384-Dashboard!$I$10-Dashboard!$J$10-Dashboard!$F$10*$I$2)))</f>
        <v>6881.8</v>
      </c>
      <c r="F384" s="24">
        <f t="shared" si="56"/>
        <v>0</v>
      </c>
      <c r="G384" s="24">
        <f t="shared" si="57"/>
        <v>0</v>
      </c>
      <c r="H384" s="24">
        <f t="shared" si="58"/>
        <v>0</v>
      </c>
      <c r="I384" s="24">
        <f t="shared" si="59"/>
        <v>6881.8</v>
      </c>
      <c r="J384" s="25">
        <f t="shared" si="60"/>
        <v>7.9741404289037643E-3</v>
      </c>
      <c r="K384" s="24">
        <f t="shared" si="65"/>
        <v>4559525.2206602199</v>
      </c>
      <c r="L384" s="24" t="str">
        <f t="shared" si="61"/>
        <v/>
      </c>
      <c r="M384" s="24">
        <f t="shared" si="62"/>
        <v>0</v>
      </c>
      <c r="N384" s="24">
        <f>IF(M384&lt;=0,0,IF($E$2-A384&lt;12,(M384-E384)*Dashboard!$B$18,IF($Q$2+A384&gt;=$R$2,MAX(0,M384-E384*POWER(1+$C$2,$E$2-A384))*MAX(Dashboard!$C$18,Dashboard!$B$18),IF($S$2&lt;$R$2,(M384-E384)*0.5*Dashboard!$B$18,(E384*POWER(1+$A$2,$R$2-($Q$2+A384))-E384)*0.5*Dashboard!$B$18+MAX(0,M384-E384*POWER(1+$A$2,$R$2-($Q$2+A384))*POWER(1+$C$2,$S$2-$R$2))*MAX(Dashboard!$C$18,Dashboard!$B$18)))))</f>
        <v>0</v>
      </c>
    </row>
    <row r="385" spans="1:14" x14ac:dyDescent="0.2">
      <c r="A385" s="22">
        <f t="shared" si="63"/>
        <v>380</v>
      </c>
      <c r="B385" s="23">
        <f t="shared" si="64"/>
        <v>49.721461187214913</v>
      </c>
      <c r="C385" t="str">
        <f t="shared" si="55"/>
        <v>49 y 8.66 m</v>
      </c>
      <c r="D385" s="24">
        <f>IF(A385&gt;=$E$2,IF(A385&lt;$E$2+$H$2,$P$2,0),IF(B385&lt;Dashboard!$I$6,0,IF(A385&gt;=$F$2,Dashboard!$C$22*POWER(1+$C$2,A385-$F$2),Dashboard!$C$22)))</f>
        <v>0</v>
      </c>
      <c r="E385" s="24">
        <f>IF(A385&gt;=$F$2,0,IF(A385=0,Dashboard!$G$10,IF(B385&lt;Dashboard!$I$6,IF($J$2&lt;=Dashboard!$H$10,Dashboard!$H$10,MAX(Dashboard!$H$10,MIN($J$2,Dashboard!$H$10*POWER($J$2/Dashboard!$H$10,A385/$D$2)))),$I$2-D385-Dashboard!$I$10-Dashboard!$J$10-Dashboard!$F$10*$I$2)))</f>
        <v>6881.8</v>
      </c>
      <c r="F385" s="24">
        <f t="shared" si="56"/>
        <v>0</v>
      </c>
      <c r="G385" s="24">
        <f t="shared" si="57"/>
        <v>0</v>
      </c>
      <c r="H385" s="24">
        <f t="shared" si="58"/>
        <v>0</v>
      </c>
      <c r="I385" s="24">
        <f t="shared" si="59"/>
        <v>6881.8</v>
      </c>
      <c r="J385" s="25">
        <f t="shared" si="60"/>
        <v>7.9741404289037643E-3</v>
      </c>
      <c r="K385" s="24">
        <f t="shared" si="65"/>
        <v>4602820.1914984966</v>
      </c>
      <c r="L385" s="24" t="str">
        <f t="shared" si="61"/>
        <v/>
      </c>
      <c r="M385" s="24">
        <f t="shared" si="62"/>
        <v>0</v>
      </c>
      <c r="N385" s="24">
        <f>IF(M385&lt;=0,0,IF($E$2-A385&lt;12,(M385-E385)*Dashboard!$B$18,IF($Q$2+A385&gt;=$R$2,MAX(0,M385-E385*POWER(1+$C$2,$E$2-A385))*MAX(Dashboard!$C$18,Dashboard!$B$18),IF($S$2&lt;$R$2,(M385-E385)*0.5*Dashboard!$B$18,(E385*POWER(1+$A$2,$R$2-($Q$2+A385))-E385)*0.5*Dashboard!$B$18+MAX(0,M385-E385*POWER(1+$A$2,$R$2-($Q$2+A385))*POWER(1+$C$2,$S$2-$R$2))*MAX(Dashboard!$C$18,Dashboard!$B$18)))))</f>
        <v>0</v>
      </c>
    </row>
    <row r="386" spans="1:14" x14ac:dyDescent="0.2">
      <c r="A386" s="22">
        <f t="shared" si="63"/>
        <v>381</v>
      </c>
      <c r="B386" s="23">
        <f t="shared" si="64"/>
        <v>49.804794520548249</v>
      </c>
      <c r="C386" t="str">
        <f t="shared" si="55"/>
        <v>49 y 9.66 m</v>
      </c>
      <c r="D386" s="24">
        <f>IF(A386&gt;=$E$2,IF(A386&lt;$E$2+$H$2,$P$2,0),IF(B386&lt;Dashboard!$I$6,0,IF(A386&gt;=$F$2,Dashboard!$C$22*POWER(1+$C$2,A386-$F$2),Dashboard!$C$22)))</f>
        <v>0</v>
      </c>
      <c r="E386" s="24">
        <f>IF(A386&gt;=$F$2,0,IF(A386=0,Dashboard!$G$10,IF(B386&lt;Dashboard!$I$6,IF($J$2&lt;=Dashboard!$H$10,Dashboard!$H$10,MAX(Dashboard!$H$10,MIN($J$2,Dashboard!$H$10*POWER($J$2/Dashboard!$H$10,A386/$D$2)))),$I$2-D386-Dashboard!$I$10-Dashboard!$J$10-Dashboard!$F$10*$I$2)))</f>
        <v>6881.8</v>
      </c>
      <c r="F386" s="24">
        <f t="shared" si="56"/>
        <v>0</v>
      </c>
      <c r="G386" s="24">
        <f t="shared" si="57"/>
        <v>0</v>
      </c>
      <c r="H386" s="24">
        <f t="shared" si="58"/>
        <v>0</v>
      </c>
      <c r="I386" s="24">
        <f t="shared" si="59"/>
        <v>6881.8</v>
      </c>
      <c r="J386" s="25">
        <f t="shared" si="60"/>
        <v>7.9741404289037643E-3</v>
      </c>
      <c r="K386" s="24">
        <f t="shared" si="65"/>
        <v>4646460.4025141029</v>
      </c>
      <c r="L386" s="24" t="str">
        <f t="shared" si="61"/>
        <v/>
      </c>
      <c r="M386" s="24">
        <f t="shared" si="62"/>
        <v>0</v>
      </c>
      <c r="N386" s="24">
        <f>IF(M386&lt;=0,0,IF($E$2-A386&lt;12,(M386-E386)*Dashboard!$B$18,IF($Q$2+A386&gt;=$R$2,MAX(0,M386-E386*POWER(1+$C$2,$E$2-A386))*MAX(Dashboard!$C$18,Dashboard!$B$18),IF($S$2&lt;$R$2,(M386-E386)*0.5*Dashboard!$B$18,(E386*POWER(1+$A$2,$R$2-($Q$2+A386))-E386)*0.5*Dashboard!$B$18+MAX(0,M386-E386*POWER(1+$A$2,$R$2-($Q$2+A386))*POWER(1+$C$2,$S$2-$R$2))*MAX(Dashboard!$C$18,Dashboard!$B$18)))))</f>
        <v>0</v>
      </c>
    </row>
    <row r="387" spans="1:14" x14ac:dyDescent="0.2">
      <c r="A387" s="22">
        <f t="shared" si="63"/>
        <v>382</v>
      </c>
      <c r="B387" s="23">
        <f t="shared" si="64"/>
        <v>49.888127853881585</v>
      </c>
      <c r="C387" t="str">
        <f t="shared" si="55"/>
        <v>49 y 10.66 m</v>
      </c>
      <c r="D387" s="24">
        <f>IF(A387&gt;=$E$2,IF(A387&lt;$E$2+$H$2,$P$2,0),IF(B387&lt;Dashboard!$I$6,0,IF(A387&gt;=$F$2,Dashboard!$C$22*POWER(1+$C$2,A387-$F$2),Dashboard!$C$22)))</f>
        <v>0</v>
      </c>
      <c r="E387" s="24">
        <f>IF(A387&gt;=$F$2,0,IF(A387=0,Dashboard!$G$10,IF(B387&lt;Dashboard!$I$6,IF($J$2&lt;=Dashboard!$H$10,Dashboard!$H$10,MAX(Dashboard!$H$10,MIN($J$2,Dashboard!$H$10*POWER($J$2/Dashboard!$H$10,A387/$D$2)))),$I$2-D387-Dashboard!$I$10-Dashboard!$J$10-Dashboard!$F$10*$I$2)))</f>
        <v>6881.8</v>
      </c>
      <c r="F387" s="24">
        <f t="shared" si="56"/>
        <v>0</v>
      </c>
      <c r="G387" s="24">
        <f t="shared" si="57"/>
        <v>0</v>
      </c>
      <c r="H387" s="24">
        <f t="shared" si="58"/>
        <v>0</v>
      </c>
      <c r="I387" s="24">
        <f t="shared" si="59"/>
        <v>6881.8</v>
      </c>
      <c r="J387" s="25">
        <f t="shared" si="60"/>
        <v>7.9741404289037643E-3</v>
      </c>
      <c r="K387" s="24">
        <f t="shared" si="65"/>
        <v>4690448.6067006942</v>
      </c>
      <c r="L387" s="24" t="str">
        <f t="shared" si="61"/>
        <v/>
      </c>
      <c r="M387" s="24">
        <f t="shared" si="62"/>
        <v>0</v>
      </c>
      <c r="N387" s="24">
        <f>IF(M387&lt;=0,0,IF($E$2-A387&lt;12,(M387-E387)*Dashboard!$B$18,IF($Q$2+A387&gt;=$R$2,MAX(0,M387-E387*POWER(1+$C$2,$E$2-A387))*MAX(Dashboard!$C$18,Dashboard!$B$18),IF($S$2&lt;$R$2,(M387-E387)*0.5*Dashboard!$B$18,(E387*POWER(1+$A$2,$R$2-($Q$2+A387))-E387)*0.5*Dashboard!$B$18+MAX(0,M387-E387*POWER(1+$A$2,$R$2-($Q$2+A387))*POWER(1+$C$2,$S$2-$R$2))*MAX(Dashboard!$C$18,Dashboard!$B$18)))))</f>
        <v>0</v>
      </c>
    </row>
    <row r="388" spans="1:14" x14ac:dyDescent="0.2">
      <c r="A388" s="22">
        <f t="shared" si="63"/>
        <v>383</v>
      </c>
      <c r="B388" s="23">
        <f t="shared" si="64"/>
        <v>49.971461187214921</v>
      </c>
      <c r="C388" t="str">
        <f t="shared" si="55"/>
        <v>49 y 11.66 m</v>
      </c>
      <c r="D388" s="24">
        <f>IF(A388&gt;=$E$2,IF(A388&lt;$E$2+$H$2,$P$2,0),IF(B388&lt;Dashboard!$I$6,0,IF(A388&gt;=$F$2,Dashboard!$C$22*POWER(1+$C$2,A388-$F$2),Dashboard!$C$22)))</f>
        <v>0</v>
      </c>
      <c r="E388" s="24">
        <f>IF(A388&gt;=$F$2,0,IF(A388=0,Dashboard!$G$10,IF(B388&lt;Dashboard!$I$6,IF($J$2&lt;=Dashboard!$H$10,Dashboard!$H$10,MAX(Dashboard!$H$10,MIN($J$2,Dashboard!$H$10*POWER($J$2/Dashboard!$H$10,A388/$D$2)))),$I$2-D388-Dashboard!$I$10-Dashboard!$J$10-Dashboard!$F$10*$I$2)))</f>
        <v>0</v>
      </c>
      <c r="F388" s="24">
        <f t="shared" si="56"/>
        <v>6320.2</v>
      </c>
      <c r="G388" s="24">
        <f t="shared" si="57"/>
        <v>7932.1904761904761</v>
      </c>
      <c r="H388" s="24">
        <f t="shared" si="58"/>
        <v>0</v>
      </c>
      <c r="I388" s="24">
        <f t="shared" si="59"/>
        <v>-7932.1904761904761</v>
      </c>
      <c r="J388" s="25">
        <f t="shared" si="60"/>
        <v>7.9741404289037643E-3</v>
      </c>
      <c r="K388" s="24">
        <f t="shared" si="65"/>
        <v>4719855.4596881252</v>
      </c>
      <c r="L388" s="24">
        <f t="shared" si="61"/>
        <v>4719855.4596881252</v>
      </c>
      <c r="M388" s="24">
        <f t="shared" si="62"/>
        <v>0</v>
      </c>
      <c r="N388" s="24">
        <f>IF(M388&lt;=0,0,IF($E$2-A388&lt;12,(M388-E388)*Dashboard!$B$18,IF($Q$2+A388&gt;=$R$2,MAX(0,M388-E388*POWER(1+$C$2,$E$2-A388))*MAX(Dashboard!$C$18,Dashboard!$B$18),IF($S$2&lt;$R$2,(M388-E388)*0.5*Dashboard!$B$18,(E388*POWER(1+$A$2,$R$2-($Q$2+A388))-E388)*0.5*Dashboard!$B$18+MAX(0,M388-E388*POWER(1+$A$2,$R$2-($Q$2+A388))*POWER(1+$C$2,$S$2-$R$2))*MAX(Dashboard!$C$18,Dashboard!$B$18)))))</f>
        <v>0</v>
      </c>
    </row>
    <row r="389" spans="1:14" x14ac:dyDescent="0.2">
      <c r="A389" s="22">
        <f t="shared" si="63"/>
        <v>384</v>
      </c>
      <c r="B389" s="23">
        <f t="shared" si="64"/>
        <v>50.054794520548256</v>
      </c>
      <c r="C389" t="str">
        <f t="shared" ref="C389:C452" si="66">INT(B389)&amp;" y "&amp;ROUND((B389-INT(B389))*12,2)&amp;" m"</f>
        <v>50 y 0.66 m</v>
      </c>
      <c r="D389" s="24">
        <f>IF(A389&gt;=$E$2,IF(A389&lt;$E$2+$H$2,$P$2,0),IF(B389&lt;Dashboard!$I$6,0,IF(A389&gt;=$F$2,Dashboard!$C$22*POWER(1+$C$2,A389-$F$2),Dashboard!$C$22)))</f>
        <v>0</v>
      </c>
      <c r="E389" s="24">
        <f>IF(A389&gt;=$F$2,0,IF(A389=0,Dashboard!$G$10,IF(B389&lt;Dashboard!$I$6,IF($J$2&lt;=Dashboard!$H$10,Dashboard!$H$10,MAX(Dashboard!$H$10,MIN($J$2,Dashboard!$H$10*POWER($J$2/Dashboard!$H$10,A389/$D$2)))),$I$2-D389-Dashboard!$I$10-Dashboard!$J$10-Dashboard!$F$10*$I$2)))</f>
        <v>0</v>
      </c>
      <c r="F389" s="24">
        <f t="shared" ref="F389:F452" si="67">IF(A389&gt;=$F$2,$X$2*POWER(1+$C$2,A389-$F$2)+D389,0)</f>
        <v>6333.2185771926597</v>
      </c>
      <c r="G389" s="24">
        <f t="shared" ref="G389:G452" si="68">IF(F389&lt;=0,0,IF(F389*12&lt;=18200,F389,IF(F389*12&lt;=40712,(18200+(F389*12-18200)/0.84)/12,IF(F389*12&lt;=103712,(45000+(F389*12-40712)/0.7)/12,IF(F389*12&lt;=138362,(135000+(F389*12-103712)/0.63)/12,(190000+(F389*12-138362)/0.55)/12)))))</f>
        <v>7950.7884436085615</v>
      </c>
      <c r="H389" s="24">
        <f t="shared" ref="H389:H452" si="69">IF(A389=$E$2,$W$2,0)</f>
        <v>0</v>
      </c>
      <c r="I389" s="24">
        <f t="shared" ref="I389:I452" si="70">E389-G389-H389</f>
        <v>-7950.7884436085615</v>
      </c>
      <c r="J389" s="25">
        <f t="shared" ref="J389:J452" si="71">IF(A389&gt;=$F$2,$B$2,$A$2)</f>
        <v>7.9741404289037643E-3</v>
      </c>
      <c r="K389" s="24">
        <f t="shared" si="65"/>
        <v>4749478.0607806286</v>
      </c>
      <c r="L389" s="24">
        <f t="shared" ref="L389:L452" si="72">IF(A389&gt;=$F$2,K389,"")</f>
        <v>4749478.0607806286</v>
      </c>
      <c r="M389" s="24">
        <f t="shared" ref="M389:M452" si="73">IF(AND(A389&lt;$E$2,E389&gt;0),E389*POWER(1+$A$2,$E$2-A389),0)</f>
        <v>0</v>
      </c>
      <c r="N389" s="24">
        <f>IF(M389&lt;=0,0,IF($E$2-A389&lt;12,(M389-E389)*Dashboard!$B$18,IF($Q$2+A389&gt;=$R$2,MAX(0,M389-E389*POWER(1+$C$2,$E$2-A389))*MAX(Dashboard!$C$18,Dashboard!$B$18),IF($S$2&lt;$R$2,(M389-E389)*0.5*Dashboard!$B$18,(E389*POWER(1+$A$2,$R$2-($Q$2+A389))-E389)*0.5*Dashboard!$B$18+MAX(0,M389-E389*POWER(1+$A$2,$R$2-($Q$2+A389))*POWER(1+$C$2,$S$2-$R$2))*MAX(Dashboard!$C$18,Dashboard!$B$18)))))</f>
        <v>0</v>
      </c>
    </row>
    <row r="390" spans="1:14" x14ac:dyDescent="0.2">
      <c r="A390" s="22">
        <f t="shared" ref="A390:A453" si="74">A389+1</f>
        <v>385</v>
      </c>
      <c r="B390" s="23">
        <f t="shared" ref="B390:B453" si="75">B389+1/12</f>
        <v>50.138127853881592</v>
      </c>
      <c r="C390" t="str">
        <f t="shared" si="66"/>
        <v>50 y 1.66 m</v>
      </c>
      <c r="D390" s="24">
        <f>IF(A390&gt;=$E$2,IF(A390&lt;$E$2+$H$2,$P$2,0),IF(B390&lt;Dashboard!$I$6,0,IF(A390&gt;=$F$2,Dashboard!$C$22*POWER(1+$C$2,A390-$F$2),Dashboard!$C$22)))</f>
        <v>0</v>
      </c>
      <c r="E390" s="24">
        <f>IF(A390&gt;=$F$2,0,IF(A390=0,Dashboard!$G$10,IF(B390&lt;Dashboard!$I$6,IF($J$2&lt;=Dashboard!$H$10,Dashboard!$H$10,MAX(Dashboard!$H$10,MIN($J$2,Dashboard!$H$10*POWER($J$2/Dashboard!$H$10,A390/$D$2)))),$I$2-D390-Dashboard!$I$10-Dashboard!$J$10-Dashboard!$F$10*$I$2)))</f>
        <v>0</v>
      </c>
      <c r="F390" s="24">
        <f t="shared" si="67"/>
        <v>6346.263970522803</v>
      </c>
      <c r="G390" s="24">
        <f t="shared" si="68"/>
        <v>7969.4247197944815</v>
      </c>
      <c r="H390" s="24">
        <f t="shared" si="69"/>
        <v>0</v>
      </c>
      <c r="I390" s="24">
        <f t="shared" si="70"/>
        <v>-7969.4247197944815</v>
      </c>
      <c r="J390" s="25">
        <f t="shared" si="71"/>
        <v>7.9741404289037643E-3</v>
      </c>
      <c r="K390" s="24">
        <f t="shared" ref="K390:K453" si="76">(K389+I390)*(1+J390)</f>
        <v>4779318.0917696431</v>
      </c>
      <c r="L390" s="24">
        <f t="shared" si="72"/>
        <v>4779318.0917696431</v>
      </c>
      <c r="M390" s="24">
        <f t="shared" si="73"/>
        <v>0</v>
      </c>
      <c r="N390" s="24">
        <f>IF(M390&lt;=0,0,IF($E$2-A390&lt;12,(M390-E390)*Dashboard!$B$18,IF($Q$2+A390&gt;=$R$2,MAX(0,M390-E390*POWER(1+$C$2,$E$2-A390))*MAX(Dashboard!$C$18,Dashboard!$B$18),IF($S$2&lt;$R$2,(M390-E390)*0.5*Dashboard!$B$18,(E390*POWER(1+$A$2,$R$2-($Q$2+A390))-E390)*0.5*Dashboard!$B$18+MAX(0,M390-E390*POWER(1+$A$2,$R$2-($Q$2+A390))*POWER(1+$C$2,$S$2-$R$2))*MAX(Dashboard!$C$18,Dashboard!$B$18)))))</f>
        <v>0</v>
      </c>
    </row>
    <row r="391" spans="1:14" x14ac:dyDescent="0.2">
      <c r="A391" s="22">
        <f t="shared" si="74"/>
        <v>386</v>
      </c>
      <c r="B391" s="23">
        <f t="shared" si="75"/>
        <v>50.221461187214928</v>
      </c>
      <c r="C391" t="str">
        <f t="shared" si="66"/>
        <v>50 y 2.66 m</v>
      </c>
      <c r="D391" s="24">
        <f>IF(A391&gt;=$E$2,IF(A391&lt;$E$2+$H$2,$P$2,0),IF(B391&lt;Dashboard!$I$6,0,IF(A391&gt;=$F$2,Dashboard!$C$22*POWER(1+$C$2,A391-$F$2),Dashboard!$C$22)))</f>
        <v>0</v>
      </c>
      <c r="E391" s="24">
        <f>IF(A391&gt;=$F$2,0,IF(A391=0,Dashboard!$G$10,IF(B391&lt;Dashboard!$I$6,IF($J$2&lt;=Dashboard!$H$10,Dashboard!$H$10,MAX(Dashboard!$H$10,MIN($J$2,Dashboard!$H$10*POWER($J$2/Dashboard!$H$10,A391/$D$2)))),$I$2-D391-Dashboard!$I$10-Dashboard!$J$10-Dashboard!$F$10*$I$2)))</f>
        <v>0</v>
      </c>
      <c r="F391" s="24">
        <f t="shared" si="67"/>
        <v>6359.3362352272825</v>
      </c>
      <c r="G391" s="24">
        <f t="shared" si="68"/>
        <v>7988.0993836580237</v>
      </c>
      <c r="H391" s="24">
        <f t="shared" si="69"/>
        <v>0</v>
      </c>
      <c r="I391" s="24">
        <f t="shared" si="70"/>
        <v>-7988.0993836580237</v>
      </c>
      <c r="J391" s="25">
        <f t="shared" si="71"/>
        <v>7.9741404289037643E-3</v>
      </c>
      <c r="K391" s="24">
        <f t="shared" si="76"/>
        <v>4809377.2477779118</v>
      </c>
      <c r="L391" s="24">
        <f t="shared" si="72"/>
        <v>4809377.2477779118</v>
      </c>
      <c r="M391" s="24">
        <f t="shared" si="73"/>
        <v>0</v>
      </c>
      <c r="N391" s="24">
        <f>IF(M391&lt;=0,0,IF($E$2-A391&lt;12,(M391-E391)*Dashboard!$B$18,IF($Q$2+A391&gt;=$R$2,MAX(0,M391-E391*POWER(1+$C$2,$E$2-A391))*MAX(Dashboard!$C$18,Dashboard!$B$18),IF($S$2&lt;$R$2,(M391-E391)*0.5*Dashboard!$B$18,(E391*POWER(1+$A$2,$R$2-($Q$2+A391))-E391)*0.5*Dashboard!$B$18+MAX(0,M391-E391*POWER(1+$A$2,$R$2-($Q$2+A391))*POWER(1+$C$2,$S$2-$R$2))*MAX(Dashboard!$C$18,Dashboard!$B$18)))))</f>
        <v>0</v>
      </c>
    </row>
    <row r="392" spans="1:14" x14ac:dyDescent="0.2">
      <c r="A392" s="22">
        <f t="shared" si="74"/>
        <v>387</v>
      </c>
      <c r="B392" s="23">
        <f t="shared" si="75"/>
        <v>50.304794520548263</v>
      </c>
      <c r="C392" t="str">
        <f t="shared" si="66"/>
        <v>50 y 3.66 m</v>
      </c>
      <c r="D392" s="24">
        <f>IF(A392&gt;=$E$2,IF(A392&lt;$E$2+$H$2,$P$2,0),IF(B392&lt;Dashboard!$I$6,0,IF(A392&gt;=$F$2,Dashboard!$C$22*POWER(1+$C$2,A392-$F$2),Dashboard!$C$22)))</f>
        <v>0</v>
      </c>
      <c r="E392" s="24">
        <f>IF(A392&gt;=$F$2,0,IF(A392=0,Dashboard!$G$10,IF(B392&lt;Dashboard!$I$6,IF($J$2&lt;=Dashboard!$H$10,Dashboard!$H$10,MAX(Dashboard!$H$10,MIN($J$2,Dashboard!$H$10*POWER($J$2/Dashboard!$H$10,A392/$D$2)))),$I$2-D392-Dashboard!$I$10-Dashboard!$J$10-Dashboard!$F$10*$I$2)))</f>
        <v>0</v>
      </c>
      <c r="F392" s="24">
        <f t="shared" si="67"/>
        <v>6372.4354266567289</v>
      </c>
      <c r="G392" s="24">
        <f t="shared" si="68"/>
        <v>8006.812514271518</v>
      </c>
      <c r="H392" s="24">
        <f t="shared" si="69"/>
        <v>0</v>
      </c>
      <c r="I392" s="24">
        <f t="shared" si="70"/>
        <v>-8006.812514271518</v>
      </c>
      <c r="J392" s="25">
        <f t="shared" si="71"/>
        <v>7.9741404289037643E-3</v>
      </c>
      <c r="K392" s="24">
        <f t="shared" si="76"/>
        <v>4839657.2373656193</v>
      </c>
      <c r="L392" s="24">
        <f t="shared" si="72"/>
        <v>4839657.2373656193</v>
      </c>
      <c r="M392" s="24">
        <f t="shared" si="73"/>
        <v>0</v>
      </c>
      <c r="N392" s="24">
        <f>IF(M392&lt;=0,0,IF($E$2-A392&lt;12,(M392-E392)*Dashboard!$B$18,IF($Q$2+A392&gt;=$R$2,MAX(0,M392-E392*POWER(1+$C$2,$E$2-A392))*MAX(Dashboard!$C$18,Dashboard!$B$18),IF($S$2&lt;$R$2,(M392-E392)*0.5*Dashboard!$B$18,(E392*POWER(1+$A$2,$R$2-($Q$2+A392))-E392)*0.5*Dashboard!$B$18+MAX(0,M392-E392*POWER(1+$A$2,$R$2-($Q$2+A392))*POWER(1+$C$2,$S$2-$R$2))*MAX(Dashboard!$C$18,Dashboard!$B$18)))))</f>
        <v>0</v>
      </c>
    </row>
    <row r="393" spans="1:14" x14ac:dyDescent="0.2">
      <c r="A393" s="22">
        <f t="shared" si="74"/>
        <v>388</v>
      </c>
      <c r="B393" s="23">
        <f t="shared" si="75"/>
        <v>50.388127853881599</v>
      </c>
      <c r="C393" t="str">
        <f t="shared" si="66"/>
        <v>50 y 4.66 m</v>
      </c>
      <c r="D393" s="24">
        <f>IF(A393&gt;=$E$2,IF(A393&lt;$E$2+$H$2,$P$2,0),IF(B393&lt;Dashboard!$I$6,0,IF(A393&gt;=$F$2,Dashboard!$C$22*POWER(1+$C$2,A393-$F$2),Dashboard!$C$22)))</f>
        <v>0</v>
      </c>
      <c r="E393" s="24">
        <f>IF(A393&gt;=$F$2,0,IF(A393=0,Dashboard!$G$10,IF(B393&lt;Dashboard!$I$6,IF($J$2&lt;=Dashboard!$H$10,Dashboard!$H$10,MAX(Dashboard!$H$10,MIN($J$2,Dashboard!$H$10*POWER($J$2/Dashboard!$H$10,A393/$D$2)))),$I$2-D393-Dashboard!$I$10-Dashboard!$J$10-Dashboard!$F$10*$I$2)))</f>
        <v>0</v>
      </c>
      <c r="F393" s="24">
        <f t="shared" si="67"/>
        <v>6385.561600275787</v>
      </c>
      <c r="G393" s="24">
        <f t="shared" si="68"/>
        <v>8025.5641908701718</v>
      </c>
      <c r="H393" s="24">
        <f t="shared" si="69"/>
        <v>0</v>
      </c>
      <c r="I393" s="24">
        <f t="shared" si="70"/>
        <v>-8025.5641908701718</v>
      </c>
      <c r="J393" s="25">
        <f t="shared" si="71"/>
        <v>7.9741404289037643E-3</v>
      </c>
      <c r="K393" s="24">
        <f t="shared" si="76"/>
        <v>4870159.7826373838</v>
      </c>
      <c r="L393" s="24">
        <f t="shared" si="72"/>
        <v>4870159.7826373838</v>
      </c>
      <c r="M393" s="24">
        <f t="shared" si="73"/>
        <v>0</v>
      </c>
      <c r="N393" s="24">
        <f>IF(M393&lt;=0,0,IF($E$2-A393&lt;12,(M393-E393)*Dashboard!$B$18,IF($Q$2+A393&gt;=$R$2,MAX(0,M393-E393*POWER(1+$C$2,$E$2-A393))*MAX(Dashboard!$C$18,Dashboard!$B$18),IF($S$2&lt;$R$2,(M393-E393)*0.5*Dashboard!$B$18,(E393*POWER(1+$A$2,$R$2-($Q$2+A393))-E393)*0.5*Dashboard!$B$18+MAX(0,M393-E393*POWER(1+$A$2,$R$2-($Q$2+A393))*POWER(1+$C$2,$S$2-$R$2))*MAX(Dashboard!$C$18,Dashboard!$B$18)))))</f>
        <v>0</v>
      </c>
    </row>
    <row r="394" spans="1:14" x14ac:dyDescent="0.2">
      <c r="A394" s="22">
        <f t="shared" si="74"/>
        <v>389</v>
      </c>
      <c r="B394" s="23">
        <f t="shared" si="75"/>
        <v>50.471461187214935</v>
      </c>
      <c r="C394" t="str">
        <f t="shared" si="66"/>
        <v>50 y 5.66 m</v>
      </c>
      <c r="D394" s="24">
        <f>IF(A394&gt;=$E$2,IF(A394&lt;$E$2+$H$2,$P$2,0),IF(B394&lt;Dashboard!$I$6,0,IF(A394&gt;=$F$2,Dashboard!$C$22*POWER(1+$C$2,A394-$F$2),Dashboard!$C$22)))</f>
        <v>0</v>
      </c>
      <c r="E394" s="24">
        <f>IF(A394&gt;=$F$2,0,IF(A394=0,Dashboard!$G$10,IF(B394&lt;Dashboard!$I$6,IF($J$2&lt;=Dashboard!$H$10,Dashboard!$H$10,MAX(Dashboard!$H$10,MIN($J$2,Dashboard!$H$10*POWER($J$2/Dashboard!$H$10,A394/$D$2)))),$I$2-D394-Dashboard!$I$10-Dashboard!$J$10-Dashboard!$F$10*$I$2)))</f>
        <v>0</v>
      </c>
      <c r="F394" s="24">
        <f t="shared" si="67"/>
        <v>6398.7148116633498</v>
      </c>
      <c r="G394" s="24">
        <f t="shared" si="68"/>
        <v>8044.3544928524034</v>
      </c>
      <c r="H394" s="24">
        <f t="shared" si="69"/>
        <v>0</v>
      </c>
      <c r="I394" s="24">
        <f t="shared" si="70"/>
        <v>-8044.3544928524034</v>
      </c>
      <c r="J394" s="25">
        <f t="shared" si="71"/>
        <v>7.9741404289037643E-3</v>
      </c>
      <c r="K394" s="24">
        <f t="shared" si="76"/>
        <v>4900886.6193500953</v>
      </c>
      <c r="L394" s="24">
        <f t="shared" si="72"/>
        <v>4900886.6193500953</v>
      </c>
      <c r="M394" s="24">
        <f t="shared" si="73"/>
        <v>0</v>
      </c>
      <c r="N394" s="24">
        <f>IF(M394&lt;=0,0,IF($E$2-A394&lt;12,(M394-E394)*Dashboard!$B$18,IF($Q$2+A394&gt;=$R$2,MAX(0,M394-E394*POWER(1+$C$2,$E$2-A394))*MAX(Dashboard!$C$18,Dashboard!$B$18),IF($S$2&lt;$R$2,(M394-E394)*0.5*Dashboard!$B$18,(E394*POWER(1+$A$2,$R$2-($Q$2+A394))-E394)*0.5*Dashboard!$B$18+MAX(0,M394-E394*POWER(1+$A$2,$R$2-($Q$2+A394))*POWER(1+$C$2,$S$2-$R$2))*MAX(Dashboard!$C$18,Dashboard!$B$18)))))</f>
        <v>0</v>
      </c>
    </row>
    <row r="395" spans="1:14" x14ac:dyDescent="0.2">
      <c r="A395" s="22">
        <f t="shared" si="74"/>
        <v>390</v>
      </c>
      <c r="B395" s="23">
        <f t="shared" si="75"/>
        <v>50.55479452054827</v>
      </c>
      <c r="C395" t="str">
        <f t="shared" si="66"/>
        <v>50 y 6.66 m</v>
      </c>
      <c r="D395" s="24">
        <f>IF(A395&gt;=$E$2,IF(A395&lt;$E$2+$H$2,$P$2,0),IF(B395&lt;Dashboard!$I$6,0,IF(A395&gt;=$F$2,Dashboard!$C$22*POWER(1+$C$2,A395-$F$2),Dashboard!$C$22)))</f>
        <v>0</v>
      </c>
      <c r="E395" s="24">
        <f>IF(A395&gt;=$F$2,0,IF(A395=0,Dashboard!$G$10,IF(B395&lt;Dashboard!$I$6,IF($J$2&lt;=Dashboard!$H$10,Dashboard!$H$10,MAX(Dashboard!$H$10,MIN($J$2,Dashboard!$H$10*POWER($J$2/Dashboard!$H$10,A395/$D$2)))),$I$2-D395-Dashboard!$I$10-Dashboard!$J$10-Dashboard!$F$10*$I$2)))</f>
        <v>0</v>
      </c>
      <c r="F395" s="24">
        <f t="shared" si="67"/>
        <v>6411.8951165127946</v>
      </c>
      <c r="G395" s="24">
        <f t="shared" si="68"/>
        <v>8063.1834997801825</v>
      </c>
      <c r="H395" s="24">
        <f t="shared" si="69"/>
        <v>0</v>
      </c>
      <c r="I395" s="24">
        <f t="shared" si="70"/>
        <v>-8063.1834997801825</v>
      </c>
      <c r="J395" s="25">
        <f t="shared" si="71"/>
        <v>7.9741404289037643E-3</v>
      </c>
      <c r="K395" s="24">
        <f t="shared" si="76"/>
        <v>4931839.4970216164</v>
      </c>
      <c r="L395" s="24">
        <f t="shared" si="72"/>
        <v>4931839.4970216164</v>
      </c>
      <c r="M395" s="24">
        <f t="shared" si="73"/>
        <v>0</v>
      </c>
      <c r="N395" s="24">
        <f>IF(M395&lt;=0,0,IF($E$2-A395&lt;12,(M395-E395)*Dashboard!$B$18,IF($Q$2+A395&gt;=$R$2,MAX(0,M395-E395*POWER(1+$C$2,$E$2-A395))*MAX(Dashboard!$C$18,Dashboard!$B$18),IF($S$2&lt;$R$2,(M395-E395)*0.5*Dashboard!$B$18,(E395*POWER(1+$A$2,$R$2-($Q$2+A395))-E395)*0.5*Dashboard!$B$18+MAX(0,M395-E395*POWER(1+$A$2,$R$2-($Q$2+A395))*POWER(1+$C$2,$S$2-$R$2))*MAX(Dashboard!$C$18,Dashboard!$B$18)))))</f>
        <v>0</v>
      </c>
    </row>
    <row r="396" spans="1:14" x14ac:dyDescent="0.2">
      <c r="A396" s="22">
        <f t="shared" si="74"/>
        <v>391</v>
      </c>
      <c r="B396" s="23">
        <f t="shared" si="75"/>
        <v>50.638127853881606</v>
      </c>
      <c r="C396" t="str">
        <f t="shared" si="66"/>
        <v>50 y 7.66 m</v>
      </c>
      <c r="D396" s="24">
        <f>IF(A396&gt;=$E$2,IF(A396&lt;$E$2+$H$2,$P$2,0),IF(B396&lt;Dashboard!$I$6,0,IF(A396&gt;=$F$2,Dashboard!$C$22*POWER(1+$C$2,A396-$F$2),Dashboard!$C$22)))</f>
        <v>0</v>
      </c>
      <c r="E396" s="24">
        <f>IF(A396&gt;=$F$2,0,IF(A396=0,Dashboard!$G$10,IF(B396&lt;Dashboard!$I$6,IF($J$2&lt;=Dashboard!$H$10,Dashboard!$H$10,MAX(Dashboard!$H$10,MIN($J$2,Dashboard!$H$10*POWER($J$2/Dashboard!$H$10,A396/$D$2)))),$I$2-D396-Dashboard!$I$10-Dashboard!$J$10-Dashboard!$F$10*$I$2)))</f>
        <v>0</v>
      </c>
      <c r="F396" s="24">
        <f t="shared" si="67"/>
        <v>6425.1025706322143</v>
      </c>
      <c r="G396" s="24">
        <f t="shared" si="68"/>
        <v>8082.0512913793546</v>
      </c>
      <c r="H396" s="24">
        <f t="shared" si="69"/>
        <v>0</v>
      </c>
      <c r="I396" s="24">
        <f t="shared" si="70"/>
        <v>-8082.0512913793546</v>
      </c>
      <c r="J396" s="25">
        <f t="shared" si="71"/>
        <v>7.9741404289037643E-3</v>
      </c>
      <c r="K396" s="24">
        <f t="shared" si="76"/>
        <v>4963020.179040351</v>
      </c>
      <c r="L396" s="24">
        <f t="shared" si="72"/>
        <v>4963020.179040351</v>
      </c>
      <c r="M396" s="24">
        <f t="shared" si="73"/>
        <v>0</v>
      </c>
      <c r="N396" s="24">
        <f>IF(M396&lt;=0,0,IF($E$2-A396&lt;12,(M396-E396)*Dashboard!$B$18,IF($Q$2+A396&gt;=$R$2,MAX(0,M396-E396*POWER(1+$C$2,$E$2-A396))*MAX(Dashboard!$C$18,Dashboard!$B$18),IF($S$2&lt;$R$2,(M396-E396)*0.5*Dashboard!$B$18,(E396*POWER(1+$A$2,$R$2-($Q$2+A396))-E396)*0.5*Dashboard!$B$18+MAX(0,M396-E396*POWER(1+$A$2,$R$2-($Q$2+A396))*POWER(1+$C$2,$S$2-$R$2))*MAX(Dashboard!$C$18,Dashboard!$B$18)))))</f>
        <v>0</v>
      </c>
    </row>
    <row r="397" spans="1:14" x14ac:dyDescent="0.2">
      <c r="A397" s="22">
        <f t="shared" si="74"/>
        <v>392</v>
      </c>
      <c r="B397" s="23">
        <f t="shared" si="75"/>
        <v>50.721461187214942</v>
      </c>
      <c r="C397" t="str">
        <f t="shared" si="66"/>
        <v>50 y 8.66 m</v>
      </c>
      <c r="D397" s="24">
        <f>IF(A397&gt;=$E$2,IF(A397&lt;$E$2+$H$2,$P$2,0),IF(B397&lt;Dashboard!$I$6,0,IF(A397&gt;=$F$2,Dashboard!$C$22*POWER(1+$C$2,A397-$F$2),Dashboard!$C$22)))</f>
        <v>0</v>
      </c>
      <c r="E397" s="24">
        <f>IF(A397&gt;=$F$2,0,IF(A397=0,Dashboard!$G$10,IF(B397&lt;Dashboard!$I$6,IF($J$2&lt;=Dashboard!$H$10,Dashboard!$H$10,MAX(Dashboard!$H$10,MIN($J$2,Dashboard!$H$10*POWER($J$2/Dashboard!$H$10,A397/$D$2)))),$I$2-D397-Dashboard!$I$10-Dashboard!$J$10-Dashboard!$F$10*$I$2)))</f>
        <v>0</v>
      </c>
      <c r="F397" s="24">
        <f t="shared" si="67"/>
        <v>6438.3372299446628</v>
      </c>
      <c r="G397" s="24">
        <f t="shared" si="68"/>
        <v>8100.9579475399951</v>
      </c>
      <c r="H397" s="24">
        <f t="shared" si="69"/>
        <v>0</v>
      </c>
      <c r="I397" s="24">
        <f t="shared" si="70"/>
        <v>-8100.9579475399951</v>
      </c>
      <c r="J397" s="25">
        <f t="shared" si="71"/>
        <v>7.9741404289037643E-3</v>
      </c>
      <c r="K397" s="24">
        <f t="shared" si="76"/>
        <v>4994430.4427756798</v>
      </c>
      <c r="L397" s="24">
        <f t="shared" si="72"/>
        <v>4994430.4427756798</v>
      </c>
      <c r="M397" s="24">
        <f t="shared" si="73"/>
        <v>0</v>
      </c>
      <c r="N397" s="24">
        <f>IF(M397&lt;=0,0,IF($E$2-A397&lt;12,(M397-E397)*Dashboard!$B$18,IF($Q$2+A397&gt;=$R$2,MAX(0,M397-E397*POWER(1+$C$2,$E$2-A397))*MAX(Dashboard!$C$18,Dashboard!$B$18),IF($S$2&lt;$R$2,(M397-E397)*0.5*Dashboard!$B$18,(E397*POWER(1+$A$2,$R$2-($Q$2+A397))-E397)*0.5*Dashboard!$B$18+MAX(0,M397-E397*POWER(1+$A$2,$R$2-($Q$2+A397))*POWER(1+$C$2,$S$2-$R$2))*MAX(Dashboard!$C$18,Dashboard!$B$18)))))</f>
        <v>0</v>
      </c>
    </row>
    <row r="398" spans="1:14" x14ac:dyDescent="0.2">
      <c r="A398" s="22">
        <f t="shared" si="74"/>
        <v>393</v>
      </c>
      <c r="B398" s="23">
        <f t="shared" si="75"/>
        <v>50.804794520548278</v>
      </c>
      <c r="C398" t="str">
        <f t="shared" si="66"/>
        <v>50 y 9.66 m</v>
      </c>
      <c r="D398" s="24">
        <f>IF(A398&gt;=$E$2,IF(A398&lt;$E$2+$H$2,$P$2,0),IF(B398&lt;Dashboard!$I$6,0,IF(A398&gt;=$F$2,Dashboard!$C$22*POWER(1+$C$2,A398-$F$2),Dashboard!$C$22)))</f>
        <v>0</v>
      </c>
      <c r="E398" s="24">
        <f>IF(A398&gt;=$F$2,0,IF(A398=0,Dashboard!$G$10,IF(B398&lt;Dashboard!$I$6,IF($J$2&lt;=Dashboard!$H$10,Dashboard!$H$10,MAX(Dashboard!$H$10,MIN($J$2,Dashboard!$H$10*POWER($J$2/Dashboard!$H$10,A398/$D$2)))),$I$2-D398-Dashboard!$I$10-Dashboard!$J$10-Dashboard!$F$10*$I$2)))</f>
        <v>0</v>
      </c>
      <c r="F398" s="24">
        <f t="shared" si="67"/>
        <v>6451.5991504883814</v>
      </c>
      <c r="G398" s="24">
        <f t="shared" si="68"/>
        <v>8119.9035483167354</v>
      </c>
      <c r="H398" s="24">
        <f t="shared" si="69"/>
        <v>0</v>
      </c>
      <c r="I398" s="24">
        <f t="shared" si="70"/>
        <v>-8119.9035483167354</v>
      </c>
      <c r="J398" s="25">
        <f t="shared" si="71"/>
        <v>7.9741404289037643E-3</v>
      </c>
      <c r="K398" s="24">
        <f t="shared" si="76"/>
        <v>5026072.0796892848</v>
      </c>
      <c r="L398" s="24">
        <f t="shared" si="72"/>
        <v>5026072.0796892848</v>
      </c>
      <c r="M398" s="24">
        <f t="shared" si="73"/>
        <v>0</v>
      </c>
      <c r="N398" s="24">
        <f>IF(M398&lt;=0,0,IF($E$2-A398&lt;12,(M398-E398)*Dashboard!$B$18,IF($Q$2+A398&gt;=$R$2,MAX(0,M398-E398*POWER(1+$C$2,$E$2-A398))*MAX(Dashboard!$C$18,Dashboard!$B$18),IF($S$2&lt;$R$2,(M398-E398)*0.5*Dashboard!$B$18,(E398*POWER(1+$A$2,$R$2-($Q$2+A398))-E398)*0.5*Dashboard!$B$18+MAX(0,M398-E398*POWER(1+$A$2,$R$2-($Q$2+A398))*POWER(1+$C$2,$S$2-$R$2))*MAX(Dashboard!$C$18,Dashboard!$B$18)))))</f>
        <v>0</v>
      </c>
    </row>
    <row r="399" spans="1:14" x14ac:dyDescent="0.2">
      <c r="A399" s="22">
        <f t="shared" si="74"/>
        <v>394</v>
      </c>
      <c r="B399" s="23">
        <f t="shared" si="75"/>
        <v>50.888127853881613</v>
      </c>
      <c r="C399" t="str">
        <f t="shared" si="66"/>
        <v>50 y 10.66 m</v>
      </c>
      <c r="D399" s="24">
        <f>IF(A399&gt;=$E$2,IF(A399&lt;$E$2+$H$2,$P$2,0),IF(B399&lt;Dashboard!$I$6,0,IF(A399&gt;=$F$2,Dashboard!$C$22*POWER(1+$C$2,A399-$F$2),Dashboard!$C$22)))</f>
        <v>0</v>
      </c>
      <c r="E399" s="24">
        <f>IF(A399&gt;=$F$2,0,IF(A399=0,Dashboard!$G$10,IF(B399&lt;Dashboard!$I$6,IF($J$2&lt;=Dashboard!$H$10,Dashboard!$H$10,MAX(Dashboard!$H$10,MIN($J$2,Dashboard!$H$10*POWER($J$2/Dashboard!$H$10,A399/$D$2)))),$I$2-D399-Dashboard!$I$10-Dashboard!$J$10-Dashboard!$F$10*$I$2)))</f>
        <v>0</v>
      </c>
      <c r="F399" s="24">
        <f t="shared" si="67"/>
        <v>6464.8883884170446</v>
      </c>
      <c r="G399" s="24">
        <f t="shared" si="68"/>
        <v>8138.8881739291128</v>
      </c>
      <c r="H399" s="24">
        <f t="shared" si="69"/>
        <v>0</v>
      </c>
      <c r="I399" s="24">
        <f t="shared" si="70"/>
        <v>-8138.8881739291128</v>
      </c>
      <c r="J399" s="25">
        <f t="shared" si="71"/>
        <v>7.9741404289037643E-3</v>
      </c>
      <c r="K399" s="24">
        <f t="shared" si="76"/>
        <v>5057946.8954473557</v>
      </c>
      <c r="L399" s="24">
        <f t="shared" si="72"/>
        <v>5057946.8954473557</v>
      </c>
      <c r="M399" s="24">
        <f t="shared" si="73"/>
        <v>0</v>
      </c>
      <c r="N399" s="24">
        <f>IF(M399&lt;=0,0,IF($E$2-A399&lt;12,(M399-E399)*Dashboard!$B$18,IF($Q$2+A399&gt;=$R$2,MAX(0,M399-E399*POWER(1+$C$2,$E$2-A399))*MAX(Dashboard!$C$18,Dashboard!$B$18),IF($S$2&lt;$R$2,(M399-E399)*0.5*Dashboard!$B$18,(E399*POWER(1+$A$2,$R$2-($Q$2+A399))-E399)*0.5*Dashboard!$B$18+MAX(0,M399-E399*POWER(1+$A$2,$R$2-($Q$2+A399))*POWER(1+$C$2,$S$2-$R$2))*MAX(Dashboard!$C$18,Dashboard!$B$18)))))</f>
        <v>0</v>
      </c>
    </row>
    <row r="400" spans="1:14" x14ac:dyDescent="0.2">
      <c r="A400" s="22">
        <f t="shared" si="74"/>
        <v>395</v>
      </c>
      <c r="B400" s="23">
        <f t="shared" si="75"/>
        <v>50.971461187214949</v>
      </c>
      <c r="C400" t="str">
        <f t="shared" si="66"/>
        <v>50 y 11.66 m</v>
      </c>
      <c r="D400" s="24">
        <f>IF(A400&gt;=$E$2,IF(A400&lt;$E$2+$H$2,$P$2,0),IF(B400&lt;Dashboard!$I$6,0,IF(A400&gt;=$F$2,Dashboard!$C$22*POWER(1+$C$2,A400-$F$2),Dashboard!$C$22)))</f>
        <v>0</v>
      </c>
      <c r="E400" s="24">
        <f>IF(A400&gt;=$F$2,0,IF(A400=0,Dashboard!$G$10,IF(B400&lt;Dashboard!$I$6,IF($J$2&lt;=Dashboard!$H$10,Dashboard!$H$10,MAX(Dashboard!$H$10,MIN($J$2,Dashboard!$H$10*POWER($J$2/Dashboard!$H$10,A400/$D$2)))),$I$2-D400-Dashboard!$I$10-Dashboard!$J$10-Dashboard!$F$10*$I$2)))</f>
        <v>0</v>
      </c>
      <c r="F400" s="24">
        <f t="shared" si="67"/>
        <v>6478.2049999999908</v>
      </c>
      <c r="G400" s="24">
        <f t="shared" si="68"/>
        <v>8157.9119047618924</v>
      </c>
      <c r="H400" s="24">
        <f t="shared" si="69"/>
        <v>0</v>
      </c>
      <c r="I400" s="24">
        <f t="shared" si="70"/>
        <v>-8157.9119047618924</v>
      </c>
      <c r="J400" s="25">
        <f t="shared" si="71"/>
        <v>7.9741404289037643E-3</v>
      </c>
      <c r="K400" s="24">
        <f t="shared" si="76"/>
        <v>5090056.7100336943</v>
      </c>
      <c r="L400" s="24">
        <f t="shared" si="72"/>
        <v>5090056.7100336943</v>
      </c>
      <c r="M400" s="24">
        <f t="shared" si="73"/>
        <v>0</v>
      </c>
      <c r="N400" s="24">
        <f>IF(M400&lt;=0,0,IF($E$2-A400&lt;12,(M400-E400)*Dashboard!$B$18,IF($Q$2+A400&gt;=$R$2,MAX(0,M400-E400*POWER(1+$C$2,$E$2-A400))*MAX(Dashboard!$C$18,Dashboard!$B$18),IF($S$2&lt;$R$2,(M400-E400)*0.5*Dashboard!$B$18,(E400*POWER(1+$A$2,$R$2-($Q$2+A400))-E400)*0.5*Dashboard!$B$18+MAX(0,M400-E400*POWER(1+$A$2,$R$2-($Q$2+A400))*POWER(1+$C$2,$S$2-$R$2))*MAX(Dashboard!$C$18,Dashboard!$B$18)))))</f>
        <v>0</v>
      </c>
    </row>
    <row r="401" spans="1:14" x14ac:dyDescent="0.2">
      <c r="A401" s="22">
        <f t="shared" si="74"/>
        <v>396</v>
      </c>
      <c r="B401" s="23">
        <f t="shared" si="75"/>
        <v>51.054794520548285</v>
      </c>
      <c r="C401" t="str">
        <f t="shared" si="66"/>
        <v>51 y 0.66 m</v>
      </c>
      <c r="D401" s="24">
        <f>IF(A401&gt;=$E$2,IF(A401&lt;$E$2+$H$2,$P$2,0),IF(B401&lt;Dashboard!$I$6,0,IF(A401&gt;=$F$2,Dashboard!$C$22*POWER(1+$C$2,A401-$F$2),Dashboard!$C$22)))</f>
        <v>0</v>
      </c>
      <c r="E401" s="24">
        <f>IF(A401&gt;=$F$2,0,IF(A401=0,Dashboard!$G$10,IF(B401&lt;Dashboard!$I$6,IF($J$2&lt;=Dashboard!$H$10,Dashboard!$H$10,MAX(Dashboard!$H$10,MIN($J$2,Dashboard!$H$10*POWER($J$2/Dashboard!$H$10,A401/$D$2)))),$I$2-D401-Dashboard!$I$10-Dashboard!$J$10-Dashboard!$F$10*$I$2)))</f>
        <v>0</v>
      </c>
      <c r="F401" s="24">
        <f t="shared" si="67"/>
        <v>6491.5490416224666</v>
      </c>
      <c r="G401" s="24">
        <f t="shared" si="68"/>
        <v>8176.9748213654284</v>
      </c>
      <c r="H401" s="24">
        <f t="shared" si="69"/>
        <v>0</v>
      </c>
      <c r="I401" s="24">
        <f t="shared" si="70"/>
        <v>-8176.9748213654284</v>
      </c>
      <c r="J401" s="25">
        <f t="shared" si="71"/>
        <v>7.9741404289037643E-3</v>
      </c>
      <c r="K401" s="24">
        <f t="shared" si="76"/>
        <v>5122403.3578637121</v>
      </c>
      <c r="L401" s="24">
        <f t="shared" si="72"/>
        <v>5122403.3578637121</v>
      </c>
      <c r="M401" s="24">
        <f t="shared" si="73"/>
        <v>0</v>
      </c>
      <c r="N401" s="24">
        <f>IF(M401&lt;=0,0,IF($E$2-A401&lt;12,(M401-E401)*Dashboard!$B$18,IF($Q$2+A401&gt;=$R$2,MAX(0,M401-E401*POWER(1+$C$2,$E$2-A401))*MAX(Dashboard!$C$18,Dashboard!$B$18),IF($S$2&lt;$R$2,(M401-E401)*0.5*Dashboard!$B$18,(E401*POWER(1+$A$2,$R$2-($Q$2+A401))-E401)*0.5*Dashboard!$B$18+MAX(0,M401-E401*POWER(1+$A$2,$R$2-($Q$2+A401))*POWER(1+$C$2,$S$2-$R$2))*MAX(Dashboard!$C$18,Dashboard!$B$18)))))</f>
        <v>0</v>
      </c>
    </row>
    <row r="402" spans="1:14" x14ac:dyDescent="0.2">
      <c r="A402" s="22">
        <f t="shared" si="74"/>
        <v>397</v>
      </c>
      <c r="B402" s="23">
        <f t="shared" si="75"/>
        <v>51.13812785388162</v>
      </c>
      <c r="C402" t="str">
        <f t="shared" si="66"/>
        <v>51 y 1.66 m</v>
      </c>
      <c r="D402" s="24">
        <f>IF(A402&gt;=$E$2,IF(A402&lt;$E$2+$H$2,$P$2,0),IF(B402&lt;Dashboard!$I$6,0,IF(A402&gt;=$F$2,Dashboard!$C$22*POWER(1+$C$2,A402-$F$2),Dashboard!$C$22)))</f>
        <v>0</v>
      </c>
      <c r="E402" s="24">
        <f>IF(A402&gt;=$F$2,0,IF(A402=0,Dashboard!$G$10,IF(B402&lt;Dashboard!$I$6,IF($J$2&lt;=Dashboard!$H$10,Dashboard!$H$10,MAX(Dashboard!$H$10,MIN($J$2,Dashboard!$H$10*POWER($J$2/Dashboard!$H$10,A402/$D$2)))),$I$2-D402-Dashboard!$I$10-Dashboard!$J$10-Dashboard!$F$10*$I$2)))</f>
        <v>0</v>
      </c>
      <c r="F402" s="24">
        <f t="shared" si="67"/>
        <v>6504.9205697858633</v>
      </c>
      <c r="G402" s="24">
        <f t="shared" si="68"/>
        <v>8196.0770044559958</v>
      </c>
      <c r="H402" s="24">
        <f t="shared" si="69"/>
        <v>0</v>
      </c>
      <c r="I402" s="24">
        <f t="shared" si="70"/>
        <v>-8196.0770044559958</v>
      </c>
      <c r="J402" s="25">
        <f t="shared" si="71"/>
        <v>7.9741404289037643E-3</v>
      </c>
      <c r="K402" s="24">
        <f t="shared" si="76"/>
        <v>5154988.6878993502</v>
      </c>
      <c r="L402" s="24">
        <f t="shared" si="72"/>
        <v>5154988.6878993502</v>
      </c>
      <c r="M402" s="24">
        <f t="shared" si="73"/>
        <v>0</v>
      </c>
      <c r="N402" s="24">
        <f>IF(M402&lt;=0,0,IF($E$2-A402&lt;12,(M402-E402)*Dashboard!$B$18,IF($Q$2+A402&gt;=$R$2,MAX(0,M402-E402*POWER(1+$C$2,$E$2-A402))*MAX(Dashboard!$C$18,Dashboard!$B$18),IF($S$2&lt;$R$2,(M402-E402)*0.5*Dashboard!$B$18,(E402*POWER(1+$A$2,$R$2-($Q$2+A402))-E402)*0.5*Dashboard!$B$18+MAX(0,M402-E402*POWER(1+$A$2,$R$2-($Q$2+A402))*POWER(1+$C$2,$S$2-$R$2))*MAX(Dashboard!$C$18,Dashboard!$B$18)))))</f>
        <v>0</v>
      </c>
    </row>
    <row r="403" spans="1:14" x14ac:dyDescent="0.2">
      <c r="A403" s="22">
        <f t="shared" si="74"/>
        <v>398</v>
      </c>
      <c r="B403" s="23">
        <f t="shared" si="75"/>
        <v>51.221461187214956</v>
      </c>
      <c r="C403" t="str">
        <f t="shared" si="66"/>
        <v>51 y 2.66 m</v>
      </c>
      <c r="D403" s="24">
        <f>IF(A403&gt;=$E$2,IF(A403&lt;$E$2+$H$2,$P$2,0),IF(B403&lt;Dashboard!$I$6,0,IF(A403&gt;=$F$2,Dashboard!$C$22*POWER(1+$C$2,A403-$F$2),Dashboard!$C$22)))</f>
        <v>0</v>
      </c>
      <c r="E403" s="24">
        <f>IF(A403&gt;=$F$2,0,IF(A403=0,Dashboard!$G$10,IF(B403&lt;Dashboard!$I$6,IF($J$2&lt;=Dashboard!$H$10,Dashboard!$H$10,MAX(Dashboard!$H$10,MIN($J$2,Dashboard!$H$10*POWER($J$2/Dashboard!$H$10,A403/$D$2)))),$I$2-D403-Dashboard!$I$10-Dashboard!$J$10-Dashboard!$F$10*$I$2)))</f>
        <v>0</v>
      </c>
      <c r="F403" s="24">
        <f t="shared" si="67"/>
        <v>6518.3196411079552</v>
      </c>
      <c r="G403" s="24">
        <f t="shared" si="68"/>
        <v>8215.2185349161282</v>
      </c>
      <c r="H403" s="24">
        <f t="shared" si="69"/>
        <v>0</v>
      </c>
      <c r="I403" s="24">
        <f t="shared" si="70"/>
        <v>-8215.2185349161282</v>
      </c>
      <c r="J403" s="25">
        <f t="shared" si="71"/>
        <v>7.9741404289037643E-3</v>
      </c>
      <c r="K403" s="24">
        <f t="shared" si="76"/>
        <v>5187814.5637649028</v>
      </c>
      <c r="L403" s="24">
        <f t="shared" si="72"/>
        <v>5187814.5637649028</v>
      </c>
      <c r="M403" s="24">
        <f t="shared" si="73"/>
        <v>0</v>
      </c>
      <c r="N403" s="24">
        <f>IF(M403&lt;=0,0,IF($E$2-A403&lt;12,(M403-E403)*Dashboard!$B$18,IF($Q$2+A403&gt;=$R$2,MAX(0,M403-E403*POWER(1+$C$2,$E$2-A403))*MAX(Dashboard!$C$18,Dashboard!$B$18),IF($S$2&lt;$R$2,(M403-E403)*0.5*Dashboard!$B$18,(E403*POWER(1+$A$2,$R$2-($Q$2+A403))-E403)*0.5*Dashboard!$B$18+MAX(0,M403-E403*POWER(1+$A$2,$R$2-($Q$2+A403))*POWER(1+$C$2,$S$2-$R$2))*MAX(Dashboard!$C$18,Dashboard!$B$18)))))</f>
        <v>0</v>
      </c>
    </row>
    <row r="404" spans="1:14" x14ac:dyDescent="0.2">
      <c r="A404" s="22">
        <f t="shared" si="74"/>
        <v>399</v>
      </c>
      <c r="B404" s="23">
        <f t="shared" si="75"/>
        <v>51.304794520548292</v>
      </c>
      <c r="C404" t="str">
        <f t="shared" si="66"/>
        <v>51 y 3.66 m</v>
      </c>
      <c r="D404" s="24">
        <f>IF(A404&gt;=$E$2,IF(A404&lt;$E$2+$H$2,$P$2,0),IF(B404&lt;Dashboard!$I$6,0,IF(A404&gt;=$F$2,Dashboard!$C$22*POWER(1+$C$2,A404-$F$2),Dashboard!$C$22)))</f>
        <v>0</v>
      </c>
      <c r="E404" s="24">
        <f>IF(A404&gt;=$F$2,0,IF(A404=0,Dashboard!$G$10,IF(B404&lt;Dashboard!$I$6,IF($J$2&lt;=Dashboard!$H$10,Dashboard!$H$10,MAX(Dashboard!$H$10,MIN($J$2,Dashboard!$H$10*POWER($J$2/Dashboard!$H$10,A404/$D$2)))),$I$2-D404-Dashboard!$I$10-Dashboard!$J$10-Dashboard!$F$10*$I$2)))</f>
        <v>0</v>
      </c>
      <c r="F404" s="24">
        <f t="shared" si="67"/>
        <v>6531.7463123231373</v>
      </c>
      <c r="G404" s="24">
        <f t="shared" si="68"/>
        <v>8234.3994937949592</v>
      </c>
      <c r="H404" s="24">
        <f t="shared" si="69"/>
        <v>0</v>
      </c>
      <c r="I404" s="24">
        <f t="shared" si="70"/>
        <v>-8234.3994937949592</v>
      </c>
      <c r="J404" s="25">
        <f t="shared" si="71"/>
        <v>7.9741404289037643E-3</v>
      </c>
      <c r="K404" s="24">
        <f t="shared" si="76"/>
        <v>5220882.8638637699</v>
      </c>
      <c r="L404" s="24">
        <f t="shared" si="72"/>
        <v>5220882.8638637699</v>
      </c>
      <c r="M404" s="24">
        <f t="shared" si="73"/>
        <v>0</v>
      </c>
      <c r="N404" s="24">
        <f>IF(M404&lt;=0,0,IF($E$2-A404&lt;12,(M404-E404)*Dashboard!$B$18,IF($Q$2+A404&gt;=$R$2,MAX(0,M404-E404*POWER(1+$C$2,$E$2-A404))*MAX(Dashboard!$C$18,Dashboard!$B$18),IF($S$2&lt;$R$2,(M404-E404)*0.5*Dashboard!$B$18,(E404*POWER(1+$A$2,$R$2-($Q$2+A404))-E404)*0.5*Dashboard!$B$18+MAX(0,M404-E404*POWER(1+$A$2,$R$2-($Q$2+A404))*POWER(1+$C$2,$S$2-$R$2))*MAX(Dashboard!$C$18,Dashboard!$B$18)))))</f>
        <v>0</v>
      </c>
    </row>
    <row r="405" spans="1:14" x14ac:dyDescent="0.2">
      <c r="A405" s="22">
        <f t="shared" si="74"/>
        <v>400</v>
      </c>
      <c r="B405" s="23">
        <f t="shared" si="75"/>
        <v>51.388127853881628</v>
      </c>
      <c r="C405" t="str">
        <f t="shared" si="66"/>
        <v>51 y 4.66 m</v>
      </c>
      <c r="D405" s="24">
        <f>IF(A405&gt;=$E$2,IF(A405&lt;$E$2+$H$2,$P$2,0),IF(B405&lt;Dashboard!$I$6,0,IF(A405&gt;=$F$2,Dashboard!$C$22*POWER(1+$C$2,A405-$F$2),Dashboard!$C$22)))</f>
        <v>0</v>
      </c>
      <c r="E405" s="24">
        <f>IF(A405&gt;=$F$2,0,IF(A405=0,Dashboard!$G$10,IF(B405&lt;Dashboard!$I$6,IF($J$2&lt;=Dashboard!$H$10,Dashboard!$H$10,MAX(Dashboard!$H$10,MIN($J$2,Dashboard!$H$10*POWER($J$2/Dashboard!$H$10,A405/$D$2)))),$I$2-D405-Dashboard!$I$10-Dashboard!$J$10-Dashboard!$F$10*$I$2)))</f>
        <v>0</v>
      </c>
      <c r="F405" s="24">
        <f t="shared" si="67"/>
        <v>6545.2006402826728</v>
      </c>
      <c r="G405" s="24">
        <f t="shared" si="68"/>
        <v>8253.6199623085795</v>
      </c>
      <c r="H405" s="24">
        <f t="shared" si="69"/>
        <v>0</v>
      </c>
      <c r="I405" s="24">
        <f t="shared" si="70"/>
        <v>-8253.6199623085795</v>
      </c>
      <c r="J405" s="25">
        <f t="shared" si="71"/>
        <v>7.9741404289037643E-3</v>
      </c>
      <c r="K405" s="24">
        <f t="shared" si="76"/>
        <v>5254195.4814961422</v>
      </c>
      <c r="L405" s="24">
        <f t="shared" si="72"/>
        <v>5254195.4814961422</v>
      </c>
      <c r="M405" s="24">
        <f t="shared" si="73"/>
        <v>0</v>
      </c>
      <c r="N405" s="24">
        <f>IF(M405&lt;=0,0,IF($E$2-A405&lt;12,(M405-E405)*Dashboard!$B$18,IF($Q$2+A405&gt;=$R$2,MAX(0,M405-E405*POWER(1+$C$2,$E$2-A405))*MAX(Dashboard!$C$18,Dashboard!$B$18),IF($S$2&lt;$R$2,(M405-E405)*0.5*Dashboard!$B$18,(E405*POWER(1+$A$2,$R$2-($Q$2+A405))-E405)*0.5*Dashboard!$B$18+MAX(0,M405-E405*POWER(1+$A$2,$R$2-($Q$2+A405))*POWER(1+$C$2,$S$2-$R$2))*MAX(Dashboard!$C$18,Dashboard!$B$18)))))</f>
        <v>0</v>
      </c>
    </row>
    <row r="406" spans="1:14" x14ac:dyDescent="0.2">
      <c r="A406" s="22">
        <f t="shared" si="74"/>
        <v>401</v>
      </c>
      <c r="B406" s="23">
        <f t="shared" si="75"/>
        <v>51.471461187214963</v>
      </c>
      <c r="C406" t="str">
        <f t="shared" si="66"/>
        <v>51 y 5.66 m</v>
      </c>
      <c r="D406" s="24">
        <f>IF(A406&gt;=$E$2,IF(A406&lt;$E$2+$H$2,$P$2,0),IF(B406&lt;Dashboard!$I$6,0,IF(A406&gt;=$F$2,Dashboard!$C$22*POWER(1+$C$2,A406-$F$2),Dashboard!$C$22)))</f>
        <v>0</v>
      </c>
      <c r="E406" s="24">
        <f>IF(A406&gt;=$F$2,0,IF(A406=0,Dashboard!$G$10,IF(B406&lt;Dashboard!$I$6,IF($J$2&lt;=Dashboard!$H$10,Dashboard!$H$10,MAX(Dashboard!$H$10,MIN($J$2,Dashboard!$H$10*POWER($J$2/Dashboard!$H$10,A406/$D$2)))),$I$2-D406-Dashboard!$I$10-Dashboard!$J$10-Dashboard!$F$10*$I$2)))</f>
        <v>0</v>
      </c>
      <c r="F406" s="24">
        <f t="shared" si="67"/>
        <v>6558.6826819549242</v>
      </c>
      <c r="G406" s="24">
        <f t="shared" si="68"/>
        <v>8272.8800218403685</v>
      </c>
      <c r="H406" s="24">
        <f t="shared" si="69"/>
        <v>0</v>
      </c>
      <c r="I406" s="24">
        <f t="shared" si="70"/>
        <v>-8272.8800218403685</v>
      </c>
      <c r="J406" s="25">
        <f t="shared" si="71"/>
        <v>7.9741404289037643E-3</v>
      </c>
      <c r="K406" s="24">
        <f t="shared" si="76"/>
        <v>5287754.3249776177</v>
      </c>
      <c r="L406" s="24">
        <f t="shared" si="72"/>
        <v>5287754.3249776177</v>
      </c>
      <c r="M406" s="24">
        <f t="shared" si="73"/>
        <v>0</v>
      </c>
      <c r="N406" s="24">
        <f>IF(M406&lt;=0,0,IF($E$2-A406&lt;12,(M406-E406)*Dashboard!$B$18,IF($Q$2+A406&gt;=$R$2,MAX(0,M406-E406*POWER(1+$C$2,$E$2-A406))*MAX(Dashboard!$C$18,Dashboard!$B$18),IF($S$2&lt;$R$2,(M406-E406)*0.5*Dashboard!$B$18,(E406*POWER(1+$A$2,$R$2-($Q$2+A406))-E406)*0.5*Dashboard!$B$18+MAX(0,M406-E406*POWER(1+$A$2,$R$2-($Q$2+A406))*POWER(1+$C$2,$S$2-$R$2))*MAX(Dashboard!$C$18,Dashboard!$B$18)))))</f>
        <v>0</v>
      </c>
    </row>
    <row r="407" spans="1:14" x14ac:dyDescent="0.2">
      <c r="A407" s="22">
        <f t="shared" si="74"/>
        <v>402</v>
      </c>
      <c r="B407" s="23">
        <f t="shared" si="75"/>
        <v>51.554794520548299</v>
      </c>
      <c r="C407" t="str">
        <f t="shared" si="66"/>
        <v>51 y 6.66 m</v>
      </c>
      <c r="D407" s="24">
        <f>IF(A407&gt;=$E$2,IF(A407&lt;$E$2+$H$2,$P$2,0),IF(B407&lt;Dashboard!$I$6,0,IF(A407&gt;=$F$2,Dashboard!$C$22*POWER(1+$C$2,A407-$F$2),Dashboard!$C$22)))</f>
        <v>0</v>
      </c>
      <c r="E407" s="24">
        <f>IF(A407&gt;=$F$2,0,IF(A407=0,Dashboard!$G$10,IF(B407&lt;Dashboard!$I$6,IF($J$2&lt;=Dashboard!$H$10,Dashboard!$H$10,MAX(Dashboard!$H$10,MIN($J$2,Dashboard!$H$10*POWER($J$2/Dashboard!$H$10,A407/$D$2)))),$I$2-D407-Dashboard!$I$10-Dashboard!$J$10-Dashboard!$F$10*$I$2)))</f>
        <v>0</v>
      </c>
      <c r="F407" s="24">
        <f t="shared" si="67"/>
        <v>6572.1924944256043</v>
      </c>
      <c r="G407" s="24">
        <f t="shared" si="68"/>
        <v>8292.1797539413401</v>
      </c>
      <c r="H407" s="24">
        <f t="shared" si="69"/>
        <v>0</v>
      </c>
      <c r="I407" s="24">
        <f t="shared" si="70"/>
        <v>-8292.1797539413401</v>
      </c>
      <c r="J407" s="25">
        <f t="shared" si="71"/>
        <v>7.9741404289037643E-3</v>
      </c>
      <c r="K407" s="24">
        <f t="shared" si="76"/>
        <v>5321561.3177587716</v>
      </c>
      <c r="L407" s="24">
        <f t="shared" si="72"/>
        <v>5321561.3177587716</v>
      </c>
      <c r="M407" s="24">
        <f t="shared" si="73"/>
        <v>0</v>
      </c>
      <c r="N407" s="24">
        <f>IF(M407&lt;=0,0,IF($E$2-A407&lt;12,(M407-E407)*Dashboard!$B$18,IF($Q$2+A407&gt;=$R$2,MAX(0,M407-E407*POWER(1+$C$2,$E$2-A407))*MAX(Dashboard!$C$18,Dashboard!$B$18),IF($S$2&lt;$R$2,(M407-E407)*0.5*Dashboard!$B$18,(E407*POWER(1+$A$2,$R$2-($Q$2+A407))-E407)*0.5*Dashboard!$B$18+MAX(0,M407-E407*POWER(1+$A$2,$R$2-($Q$2+A407))*POWER(1+$C$2,$S$2-$R$2))*MAX(Dashboard!$C$18,Dashboard!$B$18)))))</f>
        <v>0</v>
      </c>
    </row>
    <row r="408" spans="1:14" x14ac:dyDescent="0.2">
      <c r="A408" s="22">
        <f t="shared" si="74"/>
        <v>403</v>
      </c>
      <c r="B408" s="23">
        <f t="shared" si="75"/>
        <v>51.638127853881635</v>
      </c>
      <c r="C408" t="str">
        <f t="shared" si="66"/>
        <v>51 y 7.66 m</v>
      </c>
      <c r="D408" s="24">
        <f>IF(A408&gt;=$E$2,IF(A408&lt;$E$2+$H$2,$P$2,0),IF(B408&lt;Dashboard!$I$6,0,IF(A408&gt;=$F$2,Dashboard!$C$22*POWER(1+$C$2,A408-$F$2),Dashboard!$C$22)))</f>
        <v>0</v>
      </c>
      <c r="E408" s="24">
        <f>IF(A408&gt;=$F$2,0,IF(A408=0,Dashboard!$G$10,IF(B408&lt;Dashboard!$I$6,IF($J$2&lt;=Dashboard!$H$10,Dashboard!$H$10,MAX(Dashboard!$H$10,MIN($J$2,Dashboard!$H$10*POWER($J$2/Dashboard!$H$10,A408/$D$2)))),$I$2-D408-Dashboard!$I$10-Dashboard!$J$10-Dashboard!$F$10*$I$2)))</f>
        <v>0</v>
      </c>
      <c r="F408" s="24">
        <f t="shared" si="67"/>
        <v>6585.7301348980109</v>
      </c>
      <c r="G408" s="24">
        <f t="shared" si="68"/>
        <v>8311.5192403304918</v>
      </c>
      <c r="H408" s="24">
        <f t="shared" si="69"/>
        <v>0</v>
      </c>
      <c r="I408" s="24">
        <f t="shared" si="70"/>
        <v>-8311.5192403304918</v>
      </c>
      <c r="J408" s="25">
        <f t="shared" si="71"/>
        <v>7.9741404289037643E-3</v>
      </c>
      <c r="K408" s="24">
        <f t="shared" si="76"/>
        <v>5355618.3985456713</v>
      </c>
      <c r="L408" s="24">
        <f t="shared" si="72"/>
        <v>5355618.3985456713</v>
      </c>
      <c r="M408" s="24">
        <f t="shared" si="73"/>
        <v>0</v>
      </c>
      <c r="N408" s="24">
        <f>IF(M408&lt;=0,0,IF($E$2-A408&lt;12,(M408-E408)*Dashboard!$B$18,IF($Q$2+A408&gt;=$R$2,MAX(0,M408-E408*POWER(1+$C$2,$E$2-A408))*MAX(Dashboard!$C$18,Dashboard!$B$18),IF($S$2&lt;$R$2,(M408-E408)*0.5*Dashboard!$B$18,(E408*POWER(1+$A$2,$R$2-($Q$2+A408))-E408)*0.5*Dashboard!$B$18+MAX(0,M408-E408*POWER(1+$A$2,$R$2-($Q$2+A408))*POWER(1+$C$2,$S$2-$R$2))*MAX(Dashboard!$C$18,Dashboard!$B$18)))))</f>
        <v>0</v>
      </c>
    </row>
    <row r="409" spans="1:14" x14ac:dyDescent="0.2">
      <c r="A409" s="22">
        <f t="shared" si="74"/>
        <v>404</v>
      </c>
      <c r="B409" s="23">
        <f t="shared" si="75"/>
        <v>51.72146118721497</v>
      </c>
      <c r="C409" t="str">
        <f t="shared" si="66"/>
        <v>51 y 8.66 m</v>
      </c>
      <c r="D409" s="24">
        <f>IF(A409&gt;=$E$2,IF(A409&lt;$E$2+$H$2,$P$2,0),IF(B409&lt;Dashboard!$I$6,0,IF(A409&gt;=$F$2,Dashboard!$C$22*POWER(1+$C$2,A409-$F$2),Dashboard!$C$22)))</f>
        <v>0</v>
      </c>
      <c r="E409" s="24">
        <f>IF(A409&gt;=$F$2,0,IF(A409=0,Dashboard!$G$10,IF(B409&lt;Dashboard!$I$6,IF($J$2&lt;=Dashboard!$H$10,Dashboard!$H$10,MAX(Dashboard!$H$10,MIN($J$2,Dashboard!$H$10*POWER($J$2/Dashboard!$H$10,A409/$D$2)))),$I$2-D409-Dashboard!$I$10-Dashboard!$J$10-Dashboard!$F$10*$I$2)))</f>
        <v>0</v>
      </c>
      <c r="F409" s="24">
        <f t="shared" si="67"/>
        <v>6599.2956606932694</v>
      </c>
      <c r="G409" s="24">
        <f t="shared" si="68"/>
        <v>8330.8985628951468</v>
      </c>
      <c r="H409" s="24">
        <f t="shared" si="69"/>
        <v>0</v>
      </c>
      <c r="I409" s="24">
        <f t="shared" si="70"/>
        <v>-8330.8985628951468</v>
      </c>
      <c r="J409" s="25">
        <f t="shared" si="71"/>
        <v>7.9741404289037643E-3</v>
      </c>
      <c r="K409" s="24">
        <f t="shared" si="76"/>
        <v>5389927.5214213608</v>
      </c>
      <c r="L409" s="24">
        <f t="shared" si="72"/>
        <v>5389927.5214213608</v>
      </c>
      <c r="M409" s="24">
        <f t="shared" si="73"/>
        <v>0</v>
      </c>
      <c r="N409" s="24">
        <f>IF(M409&lt;=0,0,IF($E$2-A409&lt;12,(M409-E409)*Dashboard!$B$18,IF($Q$2+A409&gt;=$R$2,MAX(0,M409-E409*POWER(1+$C$2,$E$2-A409))*MAX(Dashboard!$C$18,Dashboard!$B$18),IF($S$2&lt;$R$2,(M409-E409)*0.5*Dashboard!$B$18,(E409*POWER(1+$A$2,$R$2-($Q$2+A409))-E409)*0.5*Dashboard!$B$18+MAX(0,M409-E409*POWER(1+$A$2,$R$2-($Q$2+A409))*POWER(1+$C$2,$S$2-$R$2))*MAX(Dashboard!$C$18,Dashboard!$B$18)))))</f>
        <v>0</v>
      </c>
    </row>
    <row r="410" spans="1:14" x14ac:dyDescent="0.2">
      <c r="A410" s="22">
        <f t="shared" si="74"/>
        <v>405</v>
      </c>
      <c r="B410" s="23">
        <f t="shared" si="75"/>
        <v>51.804794520548306</v>
      </c>
      <c r="C410" t="str">
        <f t="shared" si="66"/>
        <v>51 y 9.66 m</v>
      </c>
      <c r="D410" s="24">
        <f>IF(A410&gt;=$E$2,IF(A410&lt;$E$2+$H$2,$P$2,0),IF(B410&lt;Dashboard!$I$6,0,IF(A410&gt;=$F$2,Dashboard!$C$22*POWER(1+$C$2,A410-$F$2),Dashboard!$C$22)))</f>
        <v>0</v>
      </c>
      <c r="E410" s="24">
        <f>IF(A410&gt;=$F$2,0,IF(A410=0,Dashboard!$G$10,IF(B410&lt;Dashboard!$I$6,IF($J$2&lt;=Dashboard!$H$10,Dashboard!$H$10,MAX(Dashboard!$H$10,MIN($J$2,Dashboard!$H$10*POWER($J$2/Dashboard!$H$10,A410/$D$2)))),$I$2-D410-Dashboard!$I$10-Dashboard!$J$10-Dashboard!$F$10*$I$2)))</f>
        <v>0</v>
      </c>
      <c r="F410" s="24">
        <f t="shared" si="67"/>
        <v>6612.8891292505814</v>
      </c>
      <c r="G410" s="24">
        <f t="shared" si="68"/>
        <v>8350.3178036913087</v>
      </c>
      <c r="H410" s="24">
        <f t="shared" si="69"/>
        <v>0</v>
      </c>
      <c r="I410" s="24">
        <f t="shared" si="70"/>
        <v>-8350.3178036913087</v>
      </c>
      <c r="J410" s="25">
        <f t="shared" si="71"/>
        <v>7.9741404289037643E-3</v>
      </c>
      <c r="K410" s="24">
        <f t="shared" si="76"/>
        <v>5424490.6559683038</v>
      </c>
      <c r="L410" s="24">
        <f t="shared" si="72"/>
        <v>5424490.6559683038</v>
      </c>
      <c r="M410" s="24">
        <f t="shared" si="73"/>
        <v>0</v>
      </c>
      <c r="N410" s="24">
        <f>IF(M410&lt;=0,0,IF($E$2-A410&lt;12,(M410-E410)*Dashboard!$B$18,IF($Q$2+A410&gt;=$R$2,MAX(0,M410-E410*POWER(1+$C$2,$E$2-A410))*MAX(Dashboard!$C$18,Dashboard!$B$18),IF($S$2&lt;$R$2,(M410-E410)*0.5*Dashboard!$B$18,(E410*POWER(1+$A$2,$R$2-($Q$2+A410))-E410)*0.5*Dashboard!$B$18+MAX(0,M410-E410*POWER(1+$A$2,$R$2-($Q$2+A410))*POWER(1+$C$2,$S$2-$R$2))*MAX(Dashboard!$C$18,Dashboard!$B$18)))))</f>
        <v>0</v>
      </c>
    </row>
    <row r="411" spans="1:14" x14ac:dyDescent="0.2">
      <c r="A411" s="22">
        <f t="shared" si="74"/>
        <v>406</v>
      </c>
      <c r="B411" s="23">
        <f t="shared" si="75"/>
        <v>51.888127853881642</v>
      </c>
      <c r="C411" t="str">
        <f t="shared" si="66"/>
        <v>51 y 10.66 m</v>
      </c>
      <c r="D411" s="24">
        <f>IF(A411&gt;=$E$2,IF(A411&lt;$E$2+$H$2,$P$2,0),IF(B411&lt;Dashboard!$I$6,0,IF(A411&gt;=$F$2,Dashboard!$C$22*POWER(1+$C$2,A411-$F$2),Dashboard!$C$22)))</f>
        <v>0</v>
      </c>
      <c r="E411" s="24">
        <f>IF(A411&gt;=$F$2,0,IF(A411=0,Dashboard!$G$10,IF(B411&lt;Dashboard!$I$6,IF($J$2&lt;=Dashboard!$H$10,Dashboard!$H$10,MAX(Dashboard!$H$10,MIN($J$2,Dashboard!$H$10*POWER($J$2/Dashboard!$H$10,A411/$D$2)))),$I$2-D411-Dashboard!$I$10-Dashboard!$J$10-Dashboard!$F$10*$I$2)))</f>
        <v>0</v>
      </c>
      <c r="F411" s="24">
        <f t="shared" si="67"/>
        <v>6626.510598127461</v>
      </c>
      <c r="G411" s="24">
        <f t="shared" si="68"/>
        <v>8369.7770449439922</v>
      </c>
      <c r="H411" s="24">
        <f t="shared" si="69"/>
        <v>0</v>
      </c>
      <c r="I411" s="24">
        <f t="shared" si="70"/>
        <v>-8369.7770449439922</v>
      </c>
      <c r="J411" s="25">
        <f t="shared" si="71"/>
        <v>7.9741404289037643E-3</v>
      </c>
      <c r="K411" s="24">
        <f t="shared" si="76"/>
        <v>5459309.7873918125</v>
      </c>
      <c r="L411" s="24">
        <f t="shared" si="72"/>
        <v>5459309.7873918125</v>
      </c>
      <c r="M411" s="24">
        <f t="shared" si="73"/>
        <v>0</v>
      </c>
      <c r="N411" s="24">
        <f>IF(M411&lt;=0,0,IF($E$2-A411&lt;12,(M411-E411)*Dashboard!$B$18,IF($Q$2+A411&gt;=$R$2,MAX(0,M411-E411*POWER(1+$C$2,$E$2-A411))*MAX(Dashboard!$C$18,Dashboard!$B$18),IF($S$2&lt;$R$2,(M411-E411)*0.5*Dashboard!$B$18,(E411*POWER(1+$A$2,$R$2-($Q$2+A411))-E411)*0.5*Dashboard!$B$18+MAX(0,M411-E411*POWER(1+$A$2,$R$2-($Q$2+A411))*POWER(1+$C$2,$S$2-$R$2))*MAX(Dashboard!$C$18,Dashboard!$B$18)))))</f>
        <v>0</v>
      </c>
    </row>
    <row r="412" spans="1:14" x14ac:dyDescent="0.2">
      <c r="A412" s="22">
        <f t="shared" si="74"/>
        <v>407</v>
      </c>
      <c r="B412" s="23">
        <f t="shared" si="75"/>
        <v>51.971461187214977</v>
      </c>
      <c r="C412" t="str">
        <f t="shared" si="66"/>
        <v>51 y 11.66 m</v>
      </c>
      <c r="D412" s="24">
        <f>IF(A412&gt;=$E$2,IF(A412&lt;$E$2+$H$2,$P$2,0),IF(B412&lt;Dashboard!$I$6,0,IF(A412&gt;=$F$2,Dashboard!$C$22*POWER(1+$C$2,A412-$F$2),Dashboard!$C$22)))</f>
        <v>0</v>
      </c>
      <c r="E412" s="24">
        <f>IF(A412&gt;=$F$2,0,IF(A412=0,Dashboard!$G$10,IF(B412&lt;Dashboard!$I$6,IF($J$2&lt;=Dashboard!$H$10,Dashboard!$H$10,MAX(Dashboard!$H$10,MIN($J$2,Dashboard!$H$10*POWER($J$2/Dashboard!$H$10,A412/$D$2)))),$I$2-D412-Dashboard!$I$10-Dashboard!$J$10-Dashboard!$F$10*$I$2)))</f>
        <v>0</v>
      </c>
      <c r="F412" s="24">
        <f t="shared" si="67"/>
        <v>6640.1601249999812</v>
      </c>
      <c r="G412" s="24">
        <f t="shared" si="68"/>
        <v>8389.2763690475931</v>
      </c>
      <c r="H412" s="24">
        <f t="shared" si="69"/>
        <v>0</v>
      </c>
      <c r="I412" s="24">
        <f t="shared" si="70"/>
        <v>-8389.2763690475931</v>
      </c>
      <c r="J412" s="25">
        <f t="shared" si="71"/>
        <v>7.9741404289037643E-3</v>
      </c>
      <c r="K412" s="24">
        <f t="shared" si="76"/>
        <v>5494386.9166444521</v>
      </c>
      <c r="L412" s="24">
        <f t="shared" si="72"/>
        <v>5494386.9166444521</v>
      </c>
      <c r="M412" s="24">
        <f t="shared" si="73"/>
        <v>0</v>
      </c>
      <c r="N412" s="24">
        <f>IF(M412&lt;=0,0,IF($E$2-A412&lt;12,(M412-E412)*Dashboard!$B$18,IF($Q$2+A412&gt;=$R$2,MAX(0,M412-E412*POWER(1+$C$2,$E$2-A412))*MAX(Dashboard!$C$18,Dashboard!$B$18),IF($S$2&lt;$R$2,(M412-E412)*0.5*Dashboard!$B$18,(E412*POWER(1+$A$2,$R$2-($Q$2+A412))-E412)*0.5*Dashboard!$B$18+MAX(0,M412-E412*POWER(1+$A$2,$R$2-($Q$2+A412))*POWER(1+$C$2,$S$2-$R$2))*MAX(Dashboard!$C$18,Dashboard!$B$18)))))</f>
        <v>0</v>
      </c>
    </row>
    <row r="413" spans="1:14" x14ac:dyDescent="0.2">
      <c r="A413" s="22">
        <f t="shared" si="74"/>
        <v>408</v>
      </c>
      <c r="B413" s="23">
        <f t="shared" si="75"/>
        <v>52.054794520548313</v>
      </c>
      <c r="C413" t="str">
        <f t="shared" si="66"/>
        <v>52 y 0.66 m</v>
      </c>
      <c r="D413" s="24">
        <f>IF(A413&gt;=$E$2,IF(A413&lt;$E$2+$H$2,$P$2,0),IF(B413&lt;Dashboard!$I$6,0,IF(A413&gt;=$F$2,Dashboard!$C$22*POWER(1+$C$2,A413-$F$2),Dashboard!$C$22)))</f>
        <v>0</v>
      </c>
      <c r="E413" s="24">
        <f>IF(A413&gt;=$F$2,0,IF(A413=0,Dashboard!$G$10,IF(B413&lt;Dashboard!$I$6,IF($J$2&lt;=Dashboard!$H$10,Dashboard!$H$10,MAX(Dashboard!$H$10,MIN($J$2,Dashboard!$H$10*POWER($J$2/Dashboard!$H$10,A413/$D$2)))),$I$2-D413-Dashboard!$I$10-Dashboard!$J$10-Dashboard!$F$10*$I$2)))</f>
        <v>0</v>
      </c>
      <c r="F413" s="24">
        <f t="shared" si="67"/>
        <v>6653.8377676630207</v>
      </c>
      <c r="G413" s="24">
        <f t="shared" si="68"/>
        <v>8408.8158585662222</v>
      </c>
      <c r="H413" s="24">
        <f t="shared" si="69"/>
        <v>0</v>
      </c>
      <c r="I413" s="24">
        <f t="shared" si="70"/>
        <v>-8408.8158585662222</v>
      </c>
      <c r="J413" s="25">
        <f t="shared" si="71"/>
        <v>7.9741404289037643E-3</v>
      </c>
      <c r="K413" s="24">
        <f t="shared" si="76"/>
        <v>5529724.0605514431</v>
      </c>
      <c r="L413" s="24">
        <f t="shared" si="72"/>
        <v>5529724.0605514431</v>
      </c>
      <c r="M413" s="24">
        <f t="shared" si="73"/>
        <v>0</v>
      </c>
      <c r="N413" s="24">
        <f>IF(M413&lt;=0,0,IF($E$2-A413&lt;12,(M413-E413)*Dashboard!$B$18,IF($Q$2+A413&gt;=$R$2,MAX(0,M413-E413*POWER(1+$C$2,$E$2-A413))*MAX(Dashboard!$C$18,Dashboard!$B$18),IF($S$2&lt;$R$2,(M413-E413)*0.5*Dashboard!$B$18,(E413*POWER(1+$A$2,$R$2-($Q$2+A413))-E413)*0.5*Dashboard!$B$18+MAX(0,M413-E413*POWER(1+$A$2,$R$2-($Q$2+A413))*POWER(1+$C$2,$S$2-$R$2))*MAX(Dashboard!$C$18,Dashboard!$B$18)))))</f>
        <v>0</v>
      </c>
    </row>
    <row r="414" spans="1:14" x14ac:dyDescent="0.2">
      <c r="A414" s="22">
        <f t="shared" si="74"/>
        <v>409</v>
      </c>
      <c r="B414" s="23">
        <f t="shared" si="75"/>
        <v>52.138127853881649</v>
      </c>
      <c r="C414" t="str">
        <f t="shared" si="66"/>
        <v>52 y 1.66 m</v>
      </c>
      <c r="D414" s="24">
        <f>IF(A414&gt;=$E$2,IF(A414&lt;$E$2+$H$2,$P$2,0),IF(B414&lt;Dashboard!$I$6,0,IF(A414&gt;=$F$2,Dashboard!$C$22*POWER(1+$C$2,A414-$F$2),Dashboard!$C$22)))</f>
        <v>0</v>
      </c>
      <c r="E414" s="24">
        <f>IF(A414&gt;=$F$2,0,IF(A414=0,Dashboard!$G$10,IF(B414&lt;Dashboard!$I$6,IF($J$2&lt;=Dashboard!$H$10,Dashboard!$H$10,MAX(Dashboard!$H$10,MIN($J$2,Dashboard!$H$10*POWER($J$2/Dashboard!$H$10,A414/$D$2)))),$I$2-D414-Dashboard!$I$10-Dashboard!$J$10-Dashboard!$F$10*$I$2)))</f>
        <v>0</v>
      </c>
      <c r="F414" s="24">
        <f t="shared" si="67"/>
        <v>6667.5435840305017</v>
      </c>
      <c r="G414" s="24">
        <f t="shared" si="68"/>
        <v>8428.3955962340515</v>
      </c>
      <c r="H414" s="24">
        <f t="shared" si="69"/>
        <v>0</v>
      </c>
      <c r="I414" s="24">
        <f t="shared" si="70"/>
        <v>-8428.3955962340515</v>
      </c>
      <c r="J414" s="25">
        <f t="shared" si="71"/>
        <v>7.9741404289037643E-3</v>
      </c>
      <c r="K414" s="24">
        <f t="shared" si="76"/>
        <v>5565323.2519370597</v>
      </c>
      <c r="L414" s="24">
        <f t="shared" si="72"/>
        <v>5565323.2519370597</v>
      </c>
      <c r="M414" s="24">
        <f t="shared" si="73"/>
        <v>0</v>
      </c>
      <c r="N414" s="24">
        <f>IF(M414&lt;=0,0,IF($E$2-A414&lt;12,(M414-E414)*Dashboard!$B$18,IF($Q$2+A414&gt;=$R$2,MAX(0,M414-E414*POWER(1+$C$2,$E$2-A414))*MAX(Dashboard!$C$18,Dashboard!$B$18),IF($S$2&lt;$R$2,(M414-E414)*0.5*Dashboard!$B$18,(E414*POWER(1+$A$2,$R$2-($Q$2+A414))-E414)*0.5*Dashboard!$B$18+MAX(0,M414-E414*POWER(1+$A$2,$R$2-($Q$2+A414))*POWER(1+$C$2,$S$2-$R$2))*MAX(Dashboard!$C$18,Dashboard!$B$18)))))</f>
        <v>0</v>
      </c>
    </row>
    <row r="415" spans="1:14" x14ac:dyDescent="0.2">
      <c r="A415" s="22">
        <f t="shared" si="74"/>
        <v>410</v>
      </c>
      <c r="B415" s="23">
        <f t="shared" si="75"/>
        <v>52.221461187214985</v>
      </c>
      <c r="C415" t="str">
        <f t="shared" si="66"/>
        <v>52 y 2.66 m</v>
      </c>
      <c r="D415" s="24">
        <f>IF(A415&gt;=$E$2,IF(A415&lt;$E$2+$H$2,$P$2,0),IF(B415&lt;Dashboard!$I$6,0,IF(A415&gt;=$F$2,Dashboard!$C$22*POWER(1+$C$2,A415-$F$2),Dashboard!$C$22)))</f>
        <v>0</v>
      </c>
      <c r="E415" s="24">
        <f>IF(A415&gt;=$F$2,0,IF(A415=0,Dashboard!$G$10,IF(B415&lt;Dashboard!$I$6,IF($J$2&lt;=Dashboard!$H$10,Dashboard!$H$10,MAX(Dashboard!$H$10,MIN($J$2,Dashboard!$H$10*POWER($J$2/Dashboard!$H$10,A415/$D$2)))),$I$2-D415-Dashboard!$I$10-Dashboard!$J$10-Dashboard!$F$10*$I$2)))</f>
        <v>0</v>
      </c>
      <c r="F415" s="24">
        <f t="shared" si="67"/>
        <v>6681.277632135645</v>
      </c>
      <c r="G415" s="24">
        <f t="shared" si="68"/>
        <v>8448.0156649556848</v>
      </c>
      <c r="H415" s="24">
        <f t="shared" si="69"/>
        <v>0</v>
      </c>
      <c r="I415" s="24">
        <f t="shared" si="70"/>
        <v>-8448.0156649556848</v>
      </c>
      <c r="J415" s="25">
        <f t="shared" si="71"/>
        <v>7.9741404289037643E-3</v>
      </c>
      <c r="K415" s="24">
        <f t="shared" si="76"/>
        <v>5601186.5397520354</v>
      </c>
      <c r="L415" s="24">
        <f t="shared" si="72"/>
        <v>5601186.5397520354</v>
      </c>
      <c r="M415" s="24">
        <f t="shared" si="73"/>
        <v>0</v>
      </c>
      <c r="N415" s="24">
        <f>IF(M415&lt;=0,0,IF($E$2-A415&lt;12,(M415-E415)*Dashboard!$B$18,IF($Q$2+A415&gt;=$R$2,MAX(0,M415-E415*POWER(1+$C$2,$E$2-A415))*MAX(Dashboard!$C$18,Dashboard!$B$18),IF($S$2&lt;$R$2,(M415-E415)*0.5*Dashboard!$B$18,(E415*POWER(1+$A$2,$R$2-($Q$2+A415))-E415)*0.5*Dashboard!$B$18+MAX(0,M415-E415*POWER(1+$A$2,$R$2-($Q$2+A415))*POWER(1+$C$2,$S$2-$R$2))*MAX(Dashboard!$C$18,Dashboard!$B$18)))))</f>
        <v>0</v>
      </c>
    </row>
    <row r="416" spans="1:14" x14ac:dyDescent="0.2">
      <c r="A416" s="22">
        <f t="shared" si="74"/>
        <v>411</v>
      </c>
      <c r="B416" s="23">
        <f t="shared" si="75"/>
        <v>52.30479452054832</v>
      </c>
      <c r="C416" t="str">
        <f t="shared" si="66"/>
        <v>52 y 3.66 m</v>
      </c>
      <c r="D416" s="24">
        <f>IF(A416&gt;=$E$2,IF(A416&lt;$E$2+$H$2,$P$2,0),IF(B416&lt;Dashboard!$I$6,0,IF(A416&gt;=$F$2,Dashboard!$C$22*POWER(1+$C$2,A416-$F$2),Dashboard!$C$22)))</f>
        <v>0</v>
      </c>
      <c r="E416" s="24">
        <f>IF(A416&gt;=$F$2,0,IF(A416=0,Dashboard!$G$10,IF(B416&lt;Dashboard!$I$6,IF($J$2&lt;=Dashboard!$H$10,Dashboard!$H$10,MAX(Dashboard!$H$10,MIN($J$2,Dashboard!$H$10*POWER($J$2/Dashboard!$H$10,A416/$D$2)))),$I$2-D416-Dashboard!$I$10-Dashboard!$J$10-Dashboard!$F$10*$I$2)))</f>
        <v>0</v>
      </c>
      <c r="F416" s="24">
        <f t="shared" si="67"/>
        <v>6695.0399701312072</v>
      </c>
      <c r="G416" s="24">
        <f t="shared" si="68"/>
        <v>8467.6761478064873</v>
      </c>
      <c r="H416" s="24">
        <f t="shared" si="69"/>
        <v>0</v>
      </c>
      <c r="I416" s="24">
        <f t="shared" si="70"/>
        <v>-8467.6761478064873</v>
      </c>
      <c r="J416" s="25">
        <f t="shared" si="71"/>
        <v>7.9741404289037643E-3</v>
      </c>
      <c r="K416" s="24">
        <f t="shared" si="76"/>
        <v>5637315.9892019881</v>
      </c>
      <c r="L416" s="24">
        <f t="shared" si="72"/>
        <v>5637315.9892019881</v>
      </c>
      <c r="M416" s="24">
        <f t="shared" si="73"/>
        <v>0</v>
      </c>
      <c r="N416" s="24">
        <f>IF(M416&lt;=0,0,IF($E$2-A416&lt;12,(M416-E416)*Dashboard!$B$18,IF($Q$2+A416&gt;=$R$2,MAX(0,M416-E416*POWER(1+$C$2,$E$2-A416))*MAX(Dashboard!$C$18,Dashboard!$B$18),IF($S$2&lt;$R$2,(M416-E416)*0.5*Dashboard!$B$18,(E416*POWER(1+$A$2,$R$2-($Q$2+A416))-E416)*0.5*Dashboard!$B$18+MAX(0,M416-E416*POWER(1+$A$2,$R$2-($Q$2+A416))*POWER(1+$C$2,$S$2-$R$2))*MAX(Dashboard!$C$18,Dashboard!$B$18)))))</f>
        <v>0</v>
      </c>
    </row>
    <row r="417" spans="1:14" x14ac:dyDescent="0.2">
      <c r="A417" s="22">
        <f t="shared" si="74"/>
        <v>412</v>
      </c>
      <c r="B417" s="23">
        <f t="shared" si="75"/>
        <v>52.388127853881656</v>
      </c>
      <c r="C417" t="str">
        <f t="shared" si="66"/>
        <v>52 y 4.66 m</v>
      </c>
      <c r="D417" s="24">
        <f>IF(A417&gt;=$E$2,IF(A417&lt;$E$2+$H$2,$P$2,0),IF(B417&lt;Dashboard!$I$6,0,IF(A417&gt;=$F$2,Dashboard!$C$22*POWER(1+$C$2,A417-$F$2),Dashboard!$C$22)))</f>
        <v>0</v>
      </c>
      <c r="E417" s="24">
        <f>IF(A417&gt;=$F$2,0,IF(A417=0,Dashboard!$G$10,IF(B417&lt;Dashboard!$I$6,IF($J$2&lt;=Dashboard!$H$10,Dashboard!$H$10,MAX(Dashboard!$H$10,MIN($J$2,Dashboard!$H$10*POWER($J$2/Dashboard!$H$10,A417/$D$2)))),$I$2-D417-Dashboard!$I$10-Dashboard!$J$10-Dashboard!$F$10*$I$2)))</f>
        <v>0</v>
      </c>
      <c r="F417" s="24">
        <f t="shared" si="67"/>
        <v>6708.8306562897296</v>
      </c>
      <c r="G417" s="24">
        <f t="shared" si="68"/>
        <v>8487.3771280329474</v>
      </c>
      <c r="H417" s="24">
        <f t="shared" si="69"/>
        <v>0</v>
      </c>
      <c r="I417" s="24">
        <f t="shared" si="70"/>
        <v>-8487.3771280329474</v>
      </c>
      <c r="J417" s="25">
        <f t="shared" si="71"/>
        <v>7.9741404289037643E-3</v>
      </c>
      <c r="K417" s="24">
        <f t="shared" si="76"/>
        <v>5673713.6818768643</v>
      </c>
      <c r="L417" s="24">
        <f t="shared" si="72"/>
        <v>5673713.6818768643</v>
      </c>
      <c r="M417" s="24">
        <f t="shared" si="73"/>
        <v>0</v>
      </c>
      <c r="N417" s="24">
        <f>IF(M417&lt;=0,0,IF($E$2-A417&lt;12,(M417-E417)*Dashboard!$B$18,IF($Q$2+A417&gt;=$R$2,MAX(0,M417-E417*POWER(1+$C$2,$E$2-A417))*MAX(Dashboard!$C$18,Dashboard!$B$18),IF($S$2&lt;$R$2,(M417-E417)*0.5*Dashboard!$B$18,(E417*POWER(1+$A$2,$R$2-($Q$2+A417))-E417)*0.5*Dashboard!$B$18+MAX(0,M417-E417*POWER(1+$A$2,$R$2-($Q$2+A417))*POWER(1+$C$2,$S$2-$R$2))*MAX(Dashboard!$C$18,Dashboard!$B$18)))))</f>
        <v>0</v>
      </c>
    </row>
    <row r="418" spans="1:14" x14ac:dyDescent="0.2">
      <c r="A418" s="22">
        <f t="shared" si="74"/>
        <v>413</v>
      </c>
      <c r="B418" s="23">
        <f t="shared" si="75"/>
        <v>52.471461187214992</v>
      </c>
      <c r="C418" t="str">
        <f t="shared" si="66"/>
        <v>52 y 5.66 m</v>
      </c>
      <c r="D418" s="24">
        <f>IF(A418&gt;=$E$2,IF(A418&lt;$E$2+$H$2,$P$2,0),IF(B418&lt;Dashboard!$I$6,0,IF(A418&gt;=$F$2,Dashboard!$C$22*POWER(1+$C$2,A418-$F$2),Dashboard!$C$22)))</f>
        <v>0</v>
      </c>
      <c r="E418" s="24">
        <f>IF(A418&gt;=$F$2,0,IF(A418=0,Dashboard!$G$10,IF(B418&lt;Dashboard!$I$6,IF($J$2&lt;=Dashboard!$H$10,Dashboard!$H$10,MAX(Dashboard!$H$10,MIN($J$2,Dashboard!$H$10*POWER($J$2/Dashboard!$H$10,A418/$D$2)))),$I$2-D418-Dashboard!$I$10-Dashboard!$J$10-Dashboard!$F$10*$I$2)))</f>
        <v>0</v>
      </c>
      <c r="F418" s="24">
        <f t="shared" si="67"/>
        <v>6722.6497490037873</v>
      </c>
      <c r="G418" s="24">
        <f t="shared" si="68"/>
        <v>8507.1186890530298</v>
      </c>
      <c r="H418" s="24">
        <f t="shared" si="69"/>
        <v>0</v>
      </c>
      <c r="I418" s="24">
        <f t="shared" si="70"/>
        <v>-8507.1186890530298</v>
      </c>
      <c r="J418" s="25">
        <f t="shared" si="71"/>
        <v>7.9741404289037643E-3</v>
      </c>
      <c r="K418" s="24">
        <f t="shared" si="76"/>
        <v>5710381.7158814184</v>
      </c>
      <c r="L418" s="24">
        <f t="shared" si="72"/>
        <v>5710381.7158814184</v>
      </c>
      <c r="M418" s="24">
        <f t="shared" si="73"/>
        <v>0</v>
      </c>
      <c r="N418" s="24">
        <f>IF(M418&lt;=0,0,IF($E$2-A418&lt;12,(M418-E418)*Dashboard!$B$18,IF($Q$2+A418&gt;=$R$2,MAX(0,M418-E418*POWER(1+$C$2,$E$2-A418))*MAX(Dashboard!$C$18,Dashboard!$B$18),IF($S$2&lt;$R$2,(M418-E418)*0.5*Dashboard!$B$18,(E418*POWER(1+$A$2,$R$2-($Q$2+A418))-E418)*0.5*Dashboard!$B$18+MAX(0,M418-E418*POWER(1+$A$2,$R$2-($Q$2+A418))*POWER(1+$C$2,$S$2-$R$2))*MAX(Dashboard!$C$18,Dashboard!$B$18)))))</f>
        <v>0</v>
      </c>
    </row>
    <row r="419" spans="1:14" x14ac:dyDescent="0.2">
      <c r="A419" s="22">
        <f t="shared" si="74"/>
        <v>414</v>
      </c>
      <c r="B419" s="23">
        <f t="shared" si="75"/>
        <v>52.554794520548327</v>
      </c>
      <c r="C419" t="str">
        <f t="shared" si="66"/>
        <v>52 y 6.66 m</v>
      </c>
      <c r="D419" s="24">
        <f>IF(A419&gt;=$E$2,IF(A419&lt;$E$2+$H$2,$P$2,0),IF(B419&lt;Dashboard!$I$6,0,IF(A419&gt;=$F$2,Dashboard!$C$22*POWER(1+$C$2,A419-$F$2),Dashboard!$C$22)))</f>
        <v>0</v>
      </c>
      <c r="E419" s="24">
        <f>IF(A419&gt;=$F$2,0,IF(A419=0,Dashboard!$G$10,IF(B419&lt;Dashboard!$I$6,IF($J$2&lt;=Dashboard!$H$10,Dashboard!$H$10,MAX(Dashboard!$H$10,MIN($J$2,Dashboard!$H$10*POWER($J$2/Dashboard!$H$10,A419/$D$2)))),$I$2-D419-Dashboard!$I$10-Dashboard!$J$10-Dashboard!$F$10*$I$2)))</f>
        <v>0</v>
      </c>
      <c r="F419" s="24">
        <f t="shared" si="67"/>
        <v>6736.4973067862356</v>
      </c>
      <c r="G419" s="24">
        <f t="shared" si="68"/>
        <v>8526.9009144565262</v>
      </c>
      <c r="H419" s="24">
        <f t="shared" si="69"/>
        <v>0</v>
      </c>
      <c r="I419" s="24">
        <f t="shared" si="70"/>
        <v>-8526.9009144565262</v>
      </c>
      <c r="J419" s="25">
        <f t="shared" si="71"/>
        <v>7.9741404289037643E-3</v>
      </c>
      <c r="K419" s="24">
        <f t="shared" si="76"/>
        <v>5747322.2059667297</v>
      </c>
      <c r="L419" s="24">
        <f t="shared" si="72"/>
        <v>5747322.2059667297</v>
      </c>
      <c r="M419" s="24">
        <f t="shared" si="73"/>
        <v>0</v>
      </c>
      <c r="N419" s="24">
        <f>IF(M419&lt;=0,0,IF($E$2-A419&lt;12,(M419-E419)*Dashboard!$B$18,IF($Q$2+A419&gt;=$R$2,MAX(0,M419-E419*POWER(1+$C$2,$E$2-A419))*MAX(Dashboard!$C$18,Dashboard!$B$18),IF($S$2&lt;$R$2,(M419-E419)*0.5*Dashboard!$B$18,(E419*POWER(1+$A$2,$R$2-($Q$2+A419))-E419)*0.5*Dashboard!$B$18+MAX(0,M419-E419*POWER(1+$A$2,$R$2-($Q$2+A419))*POWER(1+$C$2,$S$2-$R$2))*MAX(Dashboard!$C$18,Dashboard!$B$18)))))</f>
        <v>0</v>
      </c>
    </row>
    <row r="420" spans="1:14" x14ac:dyDescent="0.2">
      <c r="A420" s="22">
        <f t="shared" si="74"/>
        <v>415</v>
      </c>
      <c r="B420" s="23">
        <f t="shared" si="75"/>
        <v>52.638127853881663</v>
      </c>
      <c r="C420" t="str">
        <f t="shared" si="66"/>
        <v>52 y 7.66 m</v>
      </c>
      <c r="D420" s="24">
        <f>IF(A420&gt;=$E$2,IF(A420&lt;$E$2+$H$2,$P$2,0),IF(B420&lt;Dashboard!$I$6,0,IF(A420&gt;=$F$2,Dashboard!$C$22*POWER(1+$C$2,A420-$F$2),Dashboard!$C$22)))</f>
        <v>0</v>
      </c>
      <c r="E420" s="24">
        <f>IF(A420&gt;=$F$2,0,IF(A420=0,Dashboard!$G$10,IF(B420&lt;Dashboard!$I$6,IF($J$2&lt;=Dashboard!$H$10,Dashboard!$H$10,MAX(Dashboard!$H$10,MIN($J$2,Dashboard!$H$10*POWER($J$2/Dashboard!$H$10,A420/$D$2)))),$I$2-D420-Dashboard!$I$10-Dashboard!$J$10-Dashboard!$F$10*$I$2)))</f>
        <v>0</v>
      </c>
      <c r="F420" s="24">
        <f t="shared" si="67"/>
        <v>6750.373388270451</v>
      </c>
      <c r="G420" s="24">
        <f t="shared" si="68"/>
        <v>8546.7238880054065</v>
      </c>
      <c r="H420" s="24">
        <f t="shared" si="69"/>
        <v>0</v>
      </c>
      <c r="I420" s="24">
        <f t="shared" si="70"/>
        <v>-8546.7238880054065</v>
      </c>
      <c r="J420" s="25">
        <f t="shared" si="71"/>
        <v>7.9741404289037643E-3</v>
      </c>
      <c r="K420" s="24">
        <f t="shared" si="76"/>
        <v>5784537.2836627699</v>
      </c>
      <c r="L420" s="24">
        <f t="shared" si="72"/>
        <v>5784537.2836627699</v>
      </c>
      <c r="M420" s="24">
        <f t="shared" si="73"/>
        <v>0</v>
      </c>
      <c r="N420" s="24">
        <f>IF(M420&lt;=0,0,IF($E$2-A420&lt;12,(M420-E420)*Dashboard!$B$18,IF($Q$2+A420&gt;=$R$2,MAX(0,M420-E420*POWER(1+$C$2,$E$2-A420))*MAX(Dashboard!$C$18,Dashboard!$B$18),IF($S$2&lt;$R$2,(M420-E420)*0.5*Dashboard!$B$18,(E420*POWER(1+$A$2,$R$2-($Q$2+A420))-E420)*0.5*Dashboard!$B$18+MAX(0,M420-E420*POWER(1+$A$2,$R$2-($Q$2+A420))*POWER(1+$C$2,$S$2-$R$2))*MAX(Dashboard!$C$18,Dashboard!$B$18)))))</f>
        <v>0</v>
      </c>
    </row>
    <row r="421" spans="1:14" x14ac:dyDescent="0.2">
      <c r="A421" s="22">
        <f t="shared" si="74"/>
        <v>416</v>
      </c>
      <c r="B421" s="23">
        <f t="shared" si="75"/>
        <v>52.721461187214999</v>
      </c>
      <c r="C421" t="str">
        <f t="shared" si="66"/>
        <v>52 y 8.66 m</v>
      </c>
      <c r="D421" s="24">
        <f>IF(A421&gt;=$E$2,IF(A421&lt;$E$2+$H$2,$P$2,0),IF(B421&lt;Dashboard!$I$6,0,IF(A421&gt;=$F$2,Dashboard!$C$22*POWER(1+$C$2,A421-$F$2),Dashboard!$C$22)))</f>
        <v>0</v>
      </c>
      <c r="E421" s="24">
        <f>IF(A421&gt;=$F$2,0,IF(A421=0,Dashboard!$G$10,IF(B421&lt;Dashboard!$I$6,IF($J$2&lt;=Dashboard!$H$10,Dashboard!$H$10,MAX(Dashboard!$H$10,MIN($J$2,Dashboard!$H$10*POWER($J$2/Dashboard!$H$10,A421/$D$2)))),$I$2-D421-Dashboard!$I$10-Dashboard!$J$10-Dashboard!$F$10*$I$2)))</f>
        <v>0</v>
      </c>
      <c r="F421" s="24">
        <f t="shared" si="67"/>
        <v>6764.2780522105913</v>
      </c>
      <c r="G421" s="24">
        <f t="shared" si="68"/>
        <v>8566.5876936341792</v>
      </c>
      <c r="H421" s="24">
        <f t="shared" si="69"/>
        <v>0</v>
      </c>
      <c r="I421" s="24">
        <f t="shared" si="70"/>
        <v>-8566.5876936341792</v>
      </c>
      <c r="J421" s="25">
        <f t="shared" si="71"/>
        <v>7.9741404289037643E-3</v>
      </c>
      <c r="K421" s="24">
        <f t="shared" si="76"/>
        <v>5822029.0974120265</v>
      </c>
      <c r="L421" s="24">
        <f t="shared" si="72"/>
        <v>5822029.0974120265</v>
      </c>
      <c r="M421" s="24">
        <f t="shared" si="73"/>
        <v>0</v>
      </c>
      <c r="N421" s="24">
        <f>IF(M421&lt;=0,0,IF($E$2-A421&lt;12,(M421-E421)*Dashboard!$B$18,IF($Q$2+A421&gt;=$R$2,MAX(0,M421-E421*POWER(1+$C$2,$E$2-A421))*MAX(Dashboard!$C$18,Dashboard!$B$18),IF($S$2&lt;$R$2,(M421-E421)*0.5*Dashboard!$B$18,(E421*POWER(1+$A$2,$R$2-($Q$2+A421))-E421)*0.5*Dashboard!$B$18+MAX(0,M421-E421*POWER(1+$A$2,$R$2-($Q$2+A421))*POWER(1+$C$2,$S$2-$R$2))*MAX(Dashboard!$C$18,Dashboard!$B$18)))))</f>
        <v>0</v>
      </c>
    </row>
    <row r="422" spans="1:14" x14ac:dyDescent="0.2">
      <c r="A422" s="22">
        <f t="shared" si="74"/>
        <v>417</v>
      </c>
      <c r="B422" s="23">
        <f t="shared" si="75"/>
        <v>52.804794520548334</v>
      </c>
      <c r="C422" t="str">
        <f t="shared" si="66"/>
        <v>52 y 9.66 m</v>
      </c>
      <c r="D422" s="24">
        <f>IF(A422&gt;=$E$2,IF(A422&lt;$E$2+$H$2,$P$2,0),IF(B422&lt;Dashboard!$I$6,0,IF(A422&gt;=$F$2,Dashboard!$C$22*POWER(1+$C$2,A422-$F$2),Dashboard!$C$22)))</f>
        <v>0</v>
      </c>
      <c r="E422" s="24">
        <f>IF(A422&gt;=$F$2,0,IF(A422=0,Dashboard!$G$10,IF(B422&lt;Dashboard!$I$6,IF($J$2&lt;=Dashboard!$H$10,Dashboard!$H$10,MAX(Dashboard!$H$10,MIN($J$2,Dashboard!$H$10*POWER($J$2/Dashboard!$H$10,A422/$D$2)))),$I$2-D422-Dashboard!$I$10-Dashboard!$J$10-Dashboard!$F$10*$I$2)))</f>
        <v>0</v>
      </c>
      <c r="F422" s="24">
        <f t="shared" si="67"/>
        <v>6778.2113574818359</v>
      </c>
      <c r="G422" s="24">
        <f t="shared" si="68"/>
        <v>8586.4924154502423</v>
      </c>
      <c r="H422" s="24">
        <f t="shared" si="69"/>
        <v>0</v>
      </c>
      <c r="I422" s="24">
        <f t="shared" si="70"/>
        <v>-8586.4924154502423</v>
      </c>
      <c r="J422" s="25">
        <f t="shared" si="71"/>
        <v>7.9741404289037643E-3</v>
      </c>
      <c r="K422" s="24">
        <f t="shared" si="76"/>
        <v>5859799.8127041906</v>
      </c>
      <c r="L422" s="24">
        <f t="shared" si="72"/>
        <v>5859799.8127041906</v>
      </c>
      <c r="M422" s="24">
        <f t="shared" si="73"/>
        <v>0</v>
      </c>
      <c r="N422" s="24">
        <f>IF(M422&lt;=0,0,IF($E$2-A422&lt;12,(M422-E422)*Dashboard!$B$18,IF($Q$2+A422&gt;=$R$2,MAX(0,M422-E422*POWER(1+$C$2,$E$2-A422))*MAX(Dashboard!$C$18,Dashboard!$B$18),IF($S$2&lt;$R$2,(M422-E422)*0.5*Dashboard!$B$18,(E422*POWER(1+$A$2,$R$2-($Q$2+A422))-E422)*0.5*Dashboard!$B$18+MAX(0,M422-E422*POWER(1+$A$2,$R$2-($Q$2+A422))*POWER(1+$C$2,$S$2-$R$2))*MAX(Dashboard!$C$18,Dashboard!$B$18)))))</f>
        <v>0</v>
      </c>
    </row>
    <row r="423" spans="1:14" x14ac:dyDescent="0.2">
      <c r="A423" s="22">
        <f t="shared" si="74"/>
        <v>418</v>
      </c>
      <c r="B423" s="23">
        <f t="shared" si="75"/>
        <v>52.88812785388167</v>
      </c>
      <c r="C423" t="str">
        <f t="shared" si="66"/>
        <v>52 y 10.66 m</v>
      </c>
      <c r="D423" s="24">
        <f>IF(A423&gt;=$E$2,IF(A423&lt;$E$2+$H$2,$P$2,0),IF(B423&lt;Dashboard!$I$6,0,IF(A423&gt;=$F$2,Dashboard!$C$22*POWER(1+$C$2,A423-$F$2),Dashboard!$C$22)))</f>
        <v>0</v>
      </c>
      <c r="E423" s="24">
        <f>IF(A423&gt;=$F$2,0,IF(A423=0,Dashboard!$G$10,IF(B423&lt;Dashboard!$I$6,IF($J$2&lt;=Dashboard!$H$10,Dashboard!$H$10,MAX(Dashboard!$H$10,MIN($J$2,Dashboard!$H$10*POWER($J$2/Dashboard!$H$10,A423/$D$2)))),$I$2-D423-Dashboard!$I$10-Dashboard!$J$10-Dashboard!$F$10*$I$2)))</f>
        <v>0</v>
      </c>
      <c r="F423" s="24">
        <f t="shared" si="67"/>
        <v>6792.1733630806375</v>
      </c>
      <c r="G423" s="24">
        <f t="shared" si="68"/>
        <v>8606.4381377342452</v>
      </c>
      <c r="H423" s="24">
        <f t="shared" si="69"/>
        <v>0</v>
      </c>
      <c r="I423" s="24">
        <f t="shared" si="70"/>
        <v>-8606.4381377342452</v>
      </c>
      <c r="J423" s="25">
        <f t="shared" si="71"/>
        <v>7.9741404289037643E-3</v>
      </c>
      <c r="K423" s="24">
        <f t="shared" si="76"/>
        <v>5897851.6122119203</v>
      </c>
      <c r="L423" s="24">
        <f t="shared" si="72"/>
        <v>5897851.6122119203</v>
      </c>
      <c r="M423" s="24">
        <f t="shared" si="73"/>
        <v>0</v>
      </c>
      <c r="N423" s="24">
        <f>IF(M423&lt;=0,0,IF($E$2-A423&lt;12,(M423-E423)*Dashboard!$B$18,IF($Q$2+A423&gt;=$R$2,MAX(0,M423-E423*POWER(1+$C$2,$E$2-A423))*MAX(Dashboard!$C$18,Dashboard!$B$18),IF($S$2&lt;$R$2,(M423-E423)*0.5*Dashboard!$B$18,(E423*POWER(1+$A$2,$R$2-($Q$2+A423))-E423)*0.5*Dashboard!$B$18+MAX(0,M423-E423*POWER(1+$A$2,$R$2-($Q$2+A423))*POWER(1+$C$2,$S$2-$R$2))*MAX(Dashboard!$C$18,Dashboard!$B$18)))))</f>
        <v>0</v>
      </c>
    </row>
    <row r="424" spans="1:14" x14ac:dyDescent="0.2">
      <c r="A424" s="22">
        <f t="shared" si="74"/>
        <v>419</v>
      </c>
      <c r="B424" s="23">
        <f t="shared" si="75"/>
        <v>52.971461187215006</v>
      </c>
      <c r="C424" t="str">
        <f t="shared" si="66"/>
        <v>52 y 11.66 m</v>
      </c>
      <c r="D424" s="24">
        <f>IF(A424&gt;=$E$2,IF(A424&lt;$E$2+$H$2,$P$2,0),IF(B424&lt;Dashboard!$I$6,0,IF(A424&gt;=$F$2,Dashboard!$C$22*POWER(1+$C$2,A424-$F$2),Dashboard!$C$22)))</f>
        <v>0</v>
      </c>
      <c r="E424" s="24">
        <f>IF(A424&gt;=$F$2,0,IF(A424=0,Dashboard!$G$10,IF(B424&lt;Dashboard!$I$6,IF($J$2&lt;=Dashboard!$H$10,Dashboard!$H$10,MAX(Dashboard!$H$10,MIN($J$2,Dashboard!$H$10*POWER($J$2/Dashboard!$H$10,A424/$D$2)))),$I$2-D424-Dashboard!$I$10-Dashboard!$J$10-Dashboard!$F$10*$I$2)))</f>
        <v>0</v>
      </c>
      <c r="F424" s="24">
        <f t="shared" si="67"/>
        <v>6806.1641281249713</v>
      </c>
      <c r="G424" s="24">
        <f t="shared" si="68"/>
        <v>8626.424944940436</v>
      </c>
      <c r="H424" s="24">
        <f t="shared" si="69"/>
        <v>0</v>
      </c>
      <c r="I424" s="24">
        <f t="shared" si="70"/>
        <v>-8626.424944940436</v>
      </c>
      <c r="J424" s="25">
        <f t="shared" si="71"/>
        <v>7.9741404289037643E-3</v>
      </c>
      <c r="K424" s="24">
        <f t="shared" si="76"/>
        <v>5936186.6959276842</v>
      </c>
      <c r="L424" s="24">
        <f t="shared" si="72"/>
        <v>5936186.6959276842</v>
      </c>
      <c r="M424" s="24">
        <f t="shared" si="73"/>
        <v>0</v>
      </c>
      <c r="N424" s="24">
        <f>IF(M424&lt;=0,0,IF($E$2-A424&lt;12,(M424-E424)*Dashboard!$B$18,IF($Q$2+A424&gt;=$R$2,MAX(0,M424-E424*POWER(1+$C$2,$E$2-A424))*MAX(Dashboard!$C$18,Dashboard!$B$18),IF($S$2&lt;$R$2,(M424-E424)*0.5*Dashboard!$B$18,(E424*POWER(1+$A$2,$R$2-($Q$2+A424))-E424)*0.5*Dashboard!$B$18+MAX(0,M424-E424*POWER(1+$A$2,$R$2-($Q$2+A424))*POWER(1+$C$2,$S$2-$R$2))*MAX(Dashboard!$C$18,Dashboard!$B$18)))))</f>
        <v>0</v>
      </c>
    </row>
    <row r="425" spans="1:14" x14ac:dyDescent="0.2">
      <c r="A425" s="22">
        <f t="shared" si="74"/>
        <v>420</v>
      </c>
      <c r="B425" s="23">
        <f t="shared" si="75"/>
        <v>53.054794520548342</v>
      </c>
      <c r="C425" t="str">
        <f t="shared" si="66"/>
        <v>53 y 0.66 m</v>
      </c>
      <c r="D425" s="24">
        <f>IF(A425&gt;=$E$2,IF(A425&lt;$E$2+$H$2,$P$2,0),IF(B425&lt;Dashboard!$I$6,0,IF(A425&gt;=$F$2,Dashboard!$C$22*POWER(1+$C$2,A425-$F$2),Dashboard!$C$22)))</f>
        <v>0</v>
      </c>
      <c r="E425" s="24">
        <f>IF(A425&gt;=$F$2,0,IF(A425=0,Dashboard!$G$10,IF(B425&lt;Dashboard!$I$6,IF($J$2&lt;=Dashboard!$H$10,Dashboard!$H$10,MAX(Dashboard!$H$10,MIN($J$2,Dashboard!$H$10*POWER($J$2/Dashboard!$H$10,A425/$D$2)))),$I$2-D425-Dashboard!$I$10-Dashboard!$J$10-Dashboard!$F$10*$I$2)))</f>
        <v>0</v>
      </c>
      <c r="F425" s="24">
        <f t="shared" si="67"/>
        <v>6820.1837118545855</v>
      </c>
      <c r="G425" s="24">
        <f t="shared" si="68"/>
        <v>8646.4529216970277</v>
      </c>
      <c r="H425" s="24">
        <f t="shared" si="69"/>
        <v>0</v>
      </c>
      <c r="I425" s="24">
        <f t="shared" si="70"/>
        <v>-8646.4529216970277</v>
      </c>
      <c r="J425" s="25">
        <f t="shared" si="71"/>
        <v>7.9741404289037643E-3</v>
      </c>
      <c r="K425" s="24">
        <f t="shared" si="76"/>
        <v>5974807.2813016949</v>
      </c>
      <c r="L425" s="24">
        <f t="shared" si="72"/>
        <v>5974807.2813016949</v>
      </c>
      <c r="M425" s="24">
        <f t="shared" si="73"/>
        <v>0</v>
      </c>
      <c r="N425" s="24">
        <f>IF(M425&lt;=0,0,IF($E$2-A425&lt;12,(M425-E425)*Dashboard!$B$18,IF($Q$2+A425&gt;=$R$2,MAX(0,M425-E425*POWER(1+$C$2,$E$2-A425))*MAX(Dashboard!$C$18,Dashboard!$B$18),IF($S$2&lt;$R$2,(M425-E425)*0.5*Dashboard!$B$18,(E425*POWER(1+$A$2,$R$2-($Q$2+A425))-E425)*0.5*Dashboard!$B$18+MAX(0,M425-E425*POWER(1+$A$2,$R$2-($Q$2+A425))*POWER(1+$C$2,$S$2-$R$2))*MAX(Dashboard!$C$18,Dashboard!$B$18)))))</f>
        <v>0</v>
      </c>
    </row>
    <row r="426" spans="1:14" x14ac:dyDescent="0.2">
      <c r="A426" s="22">
        <f t="shared" si="74"/>
        <v>421</v>
      </c>
      <c r="B426" s="23">
        <f t="shared" si="75"/>
        <v>53.138127853881677</v>
      </c>
      <c r="C426" t="str">
        <f t="shared" si="66"/>
        <v>53 y 1.66 m</v>
      </c>
      <c r="D426" s="24">
        <f>IF(A426&gt;=$E$2,IF(A426&lt;$E$2+$H$2,$P$2,0),IF(B426&lt;Dashboard!$I$6,0,IF(A426&gt;=$F$2,Dashboard!$C$22*POWER(1+$C$2,A426-$F$2),Dashboard!$C$22)))</f>
        <v>0</v>
      </c>
      <c r="E426" s="24">
        <f>IF(A426&gt;=$F$2,0,IF(A426=0,Dashboard!$G$10,IF(B426&lt;Dashboard!$I$6,IF($J$2&lt;=Dashboard!$H$10,Dashboard!$H$10,MAX(Dashboard!$H$10,MIN($J$2,Dashboard!$H$10*POWER($J$2/Dashboard!$H$10,A426/$D$2)))),$I$2-D426-Dashboard!$I$10-Dashboard!$J$10-Dashboard!$F$10*$I$2)))</f>
        <v>0</v>
      </c>
      <c r="F426" s="24">
        <f t="shared" si="67"/>
        <v>6834.2321736312533</v>
      </c>
      <c r="G426" s="24">
        <f t="shared" si="68"/>
        <v>8666.522152806554</v>
      </c>
      <c r="H426" s="24">
        <f t="shared" si="69"/>
        <v>0</v>
      </c>
      <c r="I426" s="24">
        <f t="shared" si="70"/>
        <v>-8666.522152806554</v>
      </c>
      <c r="J426" s="25">
        <f t="shared" si="71"/>
        <v>7.9741404289037643E-3</v>
      </c>
      <c r="K426" s="24">
        <f t="shared" si="76"/>
        <v>6013715.6033809483</v>
      </c>
      <c r="L426" s="24">
        <f t="shared" si="72"/>
        <v>6013715.6033809483</v>
      </c>
      <c r="M426" s="24">
        <f t="shared" si="73"/>
        <v>0</v>
      </c>
      <c r="N426" s="24">
        <f>IF(M426&lt;=0,0,IF($E$2-A426&lt;12,(M426-E426)*Dashboard!$B$18,IF($Q$2+A426&gt;=$R$2,MAX(0,M426-E426*POWER(1+$C$2,$E$2-A426))*MAX(Dashboard!$C$18,Dashboard!$B$18),IF($S$2&lt;$R$2,(M426-E426)*0.5*Dashboard!$B$18,(E426*POWER(1+$A$2,$R$2-($Q$2+A426))-E426)*0.5*Dashboard!$B$18+MAX(0,M426-E426*POWER(1+$A$2,$R$2-($Q$2+A426))*POWER(1+$C$2,$S$2-$R$2))*MAX(Dashboard!$C$18,Dashboard!$B$18)))))</f>
        <v>0</v>
      </c>
    </row>
    <row r="427" spans="1:14" x14ac:dyDescent="0.2">
      <c r="A427" s="22">
        <f t="shared" si="74"/>
        <v>422</v>
      </c>
      <c r="B427" s="23">
        <f t="shared" si="75"/>
        <v>53.221461187215013</v>
      </c>
      <c r="C427" t="str">
        <f t="shared" si="66"/>
        <v>53 y 2.66 m</v>
      </c>
      <c r="D427" s="24">
        <f>IF(A427&gt;=$E$2,IF(A427&lt;$E$2+$H$2,$P$2,0),IF(B427&lt;Dashboard!$I$6,0,IF(A427&gt;=$F$2,Dashboard!$C$22*POWER(1+$C$2,A427-$F$2),Dashboard!$C$22)))</f>
        <v>0</v>
      </c>
      <c r="E427" s="24">
        <f>IF(A427&gt;=$F$2,0,IF(A427=0,Dashboard!$G$10,IF(B427&lt;Dashboard!$I$6,IF($J$2&lt;=Dashboard!$H$10,Dashboard!$H$10,MAX(Dashboard!$H$10,MIN($J$2,Dashboard!$H$10*POWER($J$2/Dashboard!$H$10,A427/$D$2)))),$I$2-D427-Dashboard!$I$10-Dashboard!$J$10-Dashboard!$F$10*$I$2)))</f>
        <v>0</v>
      </c>
      <c r="F427" s="24">
        <f t="shared" si="67"/>
        <v>6848.309572939027</v>
      </c>
      <c r="G427" s="24">
        <f t="shared" si="68"/>
        <v>8686.6327232462299</v>
      </c>
      <c r="H427" s="24">
        <f t="shared" si="69"/>
        <v>0</v>
      </c>
      <c r="I427" s="24">
        <f t="shared" si="70"/>
        <v>-8686.6327232462299</v>
      </c>
      <c r="J427" s="25">
        <f t="shared" si="71"/>
        <v>7.9741404289037643E-3</v>
      </c>
      <c r="K427" s="24">
        <f t="shared" si="76"/>
        <v>6052913.9149493622</v>
      </c>
      <c r="L427" s="24">
        <f t="shared" si="72"/>
        <v>6052913.9149493622</v>
      </c>
      <c r="M427" s="24">
        <f t="shared" si="73"/>
        <v>0</v>
      </c>
      <c r="N427" s="24">
        <f>IF(M427&lt;=0,0,IF($E$2-A427&lt;12,(M427-E427)*Dashboard!$B$18,IF($Q$2+A427&gt;=$R$2,MAX(0,M427-E427*POWER(1+$C$2,$E$2-A427))*MAX(Dashboard!$C$18,Dashboard!$B$18),IF($S$2&lt;$R$2,(M427-E427)*0.5*Dashboard!$B$18,(E427*POWER(1+$A$2,$R$2-($Q$2+A427))-E427)*0.5*Dashboard!$B$18+MAX(0,M427-E427*POWER(1+$A$2,$R$2-($Q$2+A427))*POWER(1+$C$2,$S$2-$R$2))*MAX(Dashboard!$C$18,Dashboard!$B$18)))))</f>
        <v>0</v>
      </c>
    </row>
    <row r="428" spans="1:14" x14ac:dyDescent="0.2">
      <c r="A428" s="22">
        <f t="shared" si="74"/>
        <v>423</v>
      </c>
      <c r="B428" s="23">
        <f t="shared" si="75"/>
        <v>53.304794520548349</v>
      </c>
      <c r="C428" t="str">
        <f t="shared" si="66"/>
        <v>53 y 3.66 m</v>
      </c>
      <c r="D428" s="24">
        <f>IF(A428&gt;=$E$2,IF(A428&lt;$E$2+$H$2,$P$2,0),IF(B428&lt;Dashboard!$I$6,0,IF(A428&gt;=$F$2,Dashboard!$C$22*POWER(1+$C$2,A428-$F$2),Dashboard!$C$22)))</f>
        <v>0</v>
      </c>
      <c r="E428" s="24">
        <f>IF(A428&gt;=$F$2,0,IF(A428=0,Dashboard!$G$10,IF(B428&lt;Dashboard!$I$6,IF($J$2&lt;=Dashboard!$H$10,Dashboard!$H$10,MAX(Dashboard!$H$10,MIN($J$2,Dashboard!$H$10*POWER($J$2/Dashboard!$H$10,A428/$D$2)))),$I$2-D428-Dashboard!$I$10-Dashboard!$J$10-Dashboard!$F$10*$I$2)))</f>
        <v>0</v>
      </c>
      <c r="F428" s="24">
        <f t="shared" si="67"/>
        <v>6862.4159693844767</v>
      </c>
      <c r="G428" s="24">
        <f t="shared" si="68"/>
        <v>8706.784718168301</v>
      </c>
      <c r="H428" s="24">
        <f t="shared" si="69"/>
        <v>0</v>
      </c>
      <c r="I428" s="24">
        <f t="shared" si="70"/>
        <v>-8706.784718168301</v>
      </c>
      <c r="J428" s="25">
        <f t="shared" si="71"/>
        <v>7.9741404289037643E-3</v>
      </c>
      <c r="K428" s="24">
        <f t="shared" si="76"/>
        <v>6092404.4866690394</v>
      </c>
      <c r="L428" s="24">
        <f t="shared" si="72"/>
        <v>6092404.4866690394</v>
      </c>
      <c r="M428" s="24">
        <f t="shared" si="73"/>
        <v>0</v>
      </c>
      <c r="N428" s="24">
        <f>IF(M428&lt;=0,0,IF($E$2-A428&lt;12,(M428-E428)*Dashboard!$B$18,IF($Q$2+A428&gt;=$R$2,MAX(0,M428-E428*POWER(1+$C$2,$E$2-A428))*MAX(Dashboard!$C$18,Dashboard!$B$18),IF($S$2&lt;$R$2,(M428-E428)*0.5*Dashboard!$B$18,(E428*POWER(1+$A$2,$R$2-($Q$2+A428))-E428)*0.5*Dashboard!$B$18+MAX(0,M428-E428*POWER(1+$A$2,$R$2-($Q$2+A428))*POWER(1+$C$2,$S$2-$R$2))*MAX(Dashboard!$C$18,Dashboard!$B$18)))))</f>
        <v>0</v>
      </c>
    </row>
    <row r="429" spans="1:14" x14ac:dyDescent="0.2">
      <c r="A429" s="22">
        <f t="shared" si="74"/>
        <v>424</v>
      </c>
      <c r="B429" s="23">
        <f t="shared" si="75"/>
        <v>53.388127853881684</v>
      </c>
      <c r="C429" t="str">
        <f t="shared" si="66"/>
        <v>53 y 4.66 m</v>
      </c>
      <c r="D429" s="24">
        <f>IF(A429&gt;=$E$2,IF(A429&lt;$E$2+$H$2,$P$2,0),IF(B429&lt;Dashboard!$I$6,0,IF(A429&gt;=$F$2,Dashboard!$C$22*POWER(1+$C$2,A429-$F$2),Dashboard!$C$22)))</f>
        <v>0</v>
      </c>
      <c r="E429" s="24">
        <f>IF(A429&gt;=$F$2,0,IF(A429=0,Dashboard!$G$10,IF(B429&lt;Dashboard!$I$6,IF($J$2&lt;=Dashboard!$H$10,Dashboard!$H$10,MAX(Dashboard!$H$10,MIN($J$2,Dashboard!$H$10*POWER($J$2/Dashboard!$H$10,A429/$D$2)))),$I$2-D429-Dashboard!$I$10-Dashboard!$J$10-Dashboard!$F$10*$I$2)))</f>
        <v>0</v>
      </c>
      <c r="F429" s="24">
        <f t="shared" si="67"/>
        <v>6876.5514226969635</v>
      </c>
      <c r="G429" s="24">
        <f t="shared" si="68"/>
        <v>8726.978222900425</v>
      </c>
      <c r="H429" s="24">
        <f t="shared" si="69"/>
        <v>0</v>
      </c>
      <c r="I429" s="24">
        <f t="shared" si="70"/>
        <v>-8726.978222900425</v>
      </c>
      <c r="J429" s="25">
        <f t="shared" si="71"/>
        <v>7.9741404289037643E-3</v>
      </c>
      <c r="K429" s="24">
        <f t="shared" si="76"/>
        <v>6132189.6072226521</v>
      </c>
      <c r="L429" s="24">
        <f t="shared" si="72"/>
        <v>6132189.6072226521</v>
      </c>
      <c r="M429" s="24">
        <f t="shared" si="73"/>
        <v>0</v>
      </c>
      <c r="N429" s="24">
        <f>IF(M429&lt;=0,0,IF($E$2-A429&lt;12,(M429-E429)*Dashboard!$B$18,IF($Q$2+A429&gt;=$R$2,MAX(0,M429-E429*POWER(1+$C$2,$E$2-A429))*MAX(Dashboard!$C$18,Dashboard!$B$18),IF($S$2&lt;$R$2,(M429-E429)*0.5*Dashboard!$B$18,(E429*POWER(1+$A$2,$R$2-($Q$2+A429))-E429)*0.5*Dashboard!$B$18+MAX(0,M429-E429*POWER(1+$A$2,$R$2-($Q$2+A429))*POWER(1+$C$2,$S$2-$R$2))*MAX(Dashboard!$C$18,Dashboard!$B$18)))))</f>
        <v>0</v>
      </c>
    </row>
    <row r="430" spans="1:14" x14ac:dyDescent="0.2">
      <c r="A430" s="22">
        <f t="shared" si="74"/>
        <v>425</v>
      </c>
      <c r="B430" s="23">
        <f t="shared" si="75"/>
        <v>53.47146118721502</v>
      </c>
      <c r="C430" t="str">
        <f t="shared" si="66"/>
        <v>53 y 5.66 m</v>
      </c>
      <c r="D430" s="24">
        <f>IF(A430&gt;=$E$2,IF(A430&lt;$E$2+$H$2,$P$2,0),IF(B430&lt;Dashboard!$I$6,0,IF(A430&gt;=$F$2,Dashboard!$C$22*POWER(1+$C$2,A430-$F$2),Dashboard!$C$22)))</f>
        <v>0</v>
      </c>
      <c r="E430" s="24">
        <f>IF(A430&gt;=$F$2,0,IF(A430=0,Dashboard!$G$10,IF(B430&lt;Dashboard!$I$6,IF($J$2&lt;=Dashboard!$H$10,Dashboard!$H$10,MAX(Dashboard!$H$10,MIN($J$2,Dashboard!$H$10*POWER($J$2/Dashboard!$H$10,A430/$D$2)))),$I$2-D430-Dashboard!$I$10-Dashboard!$J$10-Dashboard!$F$10*$I$2)))</f>
        <v>0</v>
      </c>
      <c r="F430" s="24">
        <f t="shared" si="67"/>
        <v>6890.7159927288731</v>
      </c>
      <c r="G430" s="24">
        <f t="shared" si="68"/>
        <v>8747.2133229460087</v>
      </c>
      <c r="H430" s="24">
        <f t="shared" si="69"/>
        <v>0</v>
      </c>
      <c r="I430" s="24">
        <f t="shared" si="70"/>
        <v>-8747.2133229460087</v>
      </c>
      <c r="J430" s="25">
        <f t="shared" si="71"/>
        <v>7.9741404289037643E-3</v>
      </c>
      <c r="K430" s="24">
        <f t="shared" si="76"/>
        <v>6172271.5834569652</v>
      </c>
      <c r="L430" s="24">
        <f t="shared" si="72"/>
        <v>6172271.5834569652</v>
      </c>
      <c r="M430" s="24">
        <f t="shared" si="73"/>
        <v>0</v>
      </c>
      <c r="N430" s="24">
        <f>IF(M430&lt;=0,0,IF($E$2-A430&lt;12,(M430-E430)*Dashboard!$B$18,IF($Q$2+A430&gt;=$R$2,MAX(0,M430-E430*POWER(1+$C$2,$E$2-A430))*MAX(Dashboard!$C$18,Dashboard!$B$18),IF($S$2&lt;$R$2,(M430-E430)*0.5*Dashboard!$B$18,(E430*POWER(1+$A$2,$R$2-($Q$2+A430))-E430)*0.5*Dashboard!$B$18+MAX(0,M430-E430*POWER(1+$A$2,$R$2-($Q$2+A430))*POWER(1+$C$2,$S$2-$R$2))*MAX(Dashboard!$C$18,Dashboard!$B$18)))))</f>
        <v>0</v>
      </c>
    </row>
    <row r="431" spans="1:14" x14ac:dyDescent="0.2">
      <c r="A431" s="22">
        <f t="shared" si="74"/>
        <v>426</v>
      </c>
      <c r="B431" s="23">
        <f t="shared" si="75"/>
        <v>53.554794520548356</v>
      </c>
      <c r="C431" t="str">
        <f t="shared" si="66"/>
        <v>53 y 6.66 m</v>
      </c>
      <c r="D431" s="24">
        <f>IF(A431&gt;=$E$2,IF(A431&lt;$E$2+$H$2,$P$2,0),IF(B431&lt;Dashboard!$I$6,0,IF(A431&gt;=$F$2,Dashboard!$C$22*POWER(1+$C$2,A431-$F$2),Dashboard!$C$22)))</f>
        <v>0</v>
      </c>
      <c r="E431" s="24">
        <f>IF(A431&gt;=$F$2,0,IF(A431=0,Dashboard!$G$10,IF(B431&lt;Dashboard!$I$6,IF($J$2&lt;=Dashboard!$H$10,Dashboard!$H$10,MAX(Dashboard!$H$10,MIN($J$2,Dashboard!$H$10*POWER($J$2/Dashboard!$H$10,A431/$D$2)))),$I$2-D431-Dashboard!$I$10-Dashboard!$J$10-Dashboard!$F$10*$I$2)))</f>
        <v>0</v>
      </c>
      <c r="F431" s="24">
        <f t="shared" si="67"/>
        <v>6904.9097394558812</v>
      </c>
      <c r="G431" s="24">
        <f t="shared" si="68"/>
        <v>8767.4901039845918</v>
      </c>
      <c r="H431" s="24">
        <f t="shared" si="69"/>
        <v>0</v>
      </c>
      <c r="I431" s="24">
        <f t="shared" si="70"/>
        <v>-8767.4901039845918</v>
      </c>
      <c r="J431" s="25">
        <f t="shared" si="71"/>
        <v>7.9741404289037643E-3</v>
      </c>
      <c r="K431" s="24">
        <f t="shared" si="76"/>
        <v>6212652.7405275004</v>
      </c>
      <c r="L431" s="24">
        <f t="shared" si="72"/>
        <v>6212652.7405275004</v>
      </c>
      <c r="M431" s="24">
        <f t="shared" si="73"/>
        <v>0</v>
      </c>
      <c r="N431" s="24">
        <f>IF(M431&lt;=0,0,IF($E$2-A431&lt;12,(M431-E431)*Dashboard!$B$18,IF($Q$2+A431&gt;=$R$2,MAX(0,M431-E431*POWER(1+$C$2,$E$2-A431))*MAX(Dashboard!$C$18,Dashboard!$B$18),IF($S$2&lt;$R$2,(M431-E431)*0.5*Dashboard!$B$18,(E431*POWER(1+$A$2,$R$2-($Q$2+A431))-E431)*0.5*Dashboard!$B$18+MAX(0,M431-E431*POWER(1+$A$2,$R$2-($Q$2+A431))*POWER(1+$C$2,$S$2-$R$2))*MAX(Dashboard!$C$18,Dashboard!$B$18)))))</f>
        <v>0</v>
      </c>
    </row>
    <row r="432" spans="1:14" x14ac:dyDescent="0.2">
      <c r="A432" s="22">
        <f t="shared" si="74"/>
        <v>427</v>
      </c>
      <c r="B432" s="23">
        <f t="shared" si="75"/>
        <v>53.638127853881691</v>
      </c>
      <c r="C432" t="str">
        <f t="shared" si="66"/>
        <v>53 y 7.66 m</v>
      </c>
      <c r="D432" s="24">
        <f>IF(A432&gt;=$E$2,IF(A432&lt;$E$2+$H$2,$P$2,0),IF(B432&lt;Dashboard!$I$6,0,IF(A432&gt;=$F$2,Dashboard!$C$22*POWER(1+$C$2,A432-$F$2),Dashboard!$C$22)))</f>
        <v>0</v>
      </c>
      <c r="E432" s="24">
        <f>IF(A432&gt;=$F$2,0,IF(A432=0,Dashboard!$G$10,IF(B432&lt;Dashboard!$I$6,IF($J$2&lt;=Dashboard!$H$10,Dashboard!$H$10,MAX(Dashboard!$H$10,MIN($J$2,Dashboard!$H$10*POWER($J$2/Dashboard!$H$10,A432/$D$2)))),$I$2-D432-Dashboard!$I$10-Dashboard!$J$10-Dashboard!$F$10*$I$2)))</f>
        <v>0</v>
      </c>
      <c r="F432" s="24">
        <f t="shared" si="67"/>
        <v>6919.1327229772032</v>
      </c>
      <c r="G432" s="24">
        <f t="shared" si="68"/>
        <v>8787.8086518721957</v>
      </c>
      <c r="H432" s="24">
        <f t="shared" si="69"/>
        <v>0</v>
      </c>
      <c r="I432" s="24">
        <f t="shared" si="70"/>
        <v>-8787.8086518721957</v>
      </c>
      <c r="J432" s="25">
        <f t="shared" si="71"/>
        <v>7.9741404289037643E-3</v>
      </c>
      <c r="K432" s="24">
        <f t="shared" si="76"/>
        <v>6253335.4220443564</v>
      </c>
      <c r="L432" s="24">
        <f t="shared" si="72"/>
        <v>6253335.4220443564</v>
      </c>
      <c r="M432" s="24">
        <f t="shared" si="73"/>
        <v>0</v>
      </c>
      <c r="N432" s="24">
        <f>IF(M432&lt;=0,0,IF($E$2-A432&lt;12,(M432-E432)*Dashboard!$B$18,IF($Q$2+A432&gt;=$R$2,MAX(0,M432-E432*POWER(1+$C$2,$E$2-A432))*MAX(Dashboard!$C$18,Dashboard!$B$18),IF($S$2&lt;$R$2,(M432-E432)*0.5*Dashboard!$B$18,(E432*POWER(1+$A$2,$R$2-($Q$2+A432))-E432)*0.5*Dashboard!$B$18+MAX(0,M432-E432*POWER(1+$A$2,$R$2-($Q$2+A432))*POWER(1+$C$2,$S$2-$R$2))*MAX(Dashboard!$C$18,Dashboard!$B$18)))))</f>
        <v>0</v>
      </c>
    </row>
    <row r="433" spans="1:14" x14ac:dyDescent="0.2">
      <c r="A433" s="22">
        <f t="shared" si="74"/>
        <v>428</v>
      </c>
      <c r="B433" s="23">
        <f t="shared" si="75"/>
        <v>53.721461187215027</v>
      </c>
      <c r="C433" t="str">
        <f t="shared" si="66"/>
        <v>53 y 8.66 m</v>
      </c>
      <c r="D433" s="24">
        <f>IF(A433&gt;=$E$2,IF(A433&lt;$E$2+$H$2,$P$2,0),IF(B433&lt;Dashboard!$I$6,0,IF(A433&gt;=$F$2,Dashboard!$C$22*POWER(1+$C$2,A433-$F$2),Dashboard!$C$22)))</f>
        <v>0</v>
      </c>
      <c r="E433" s="24">
        <f>IF(A433&gt;=$F$2,0,IF(A433=0,Dashboard!$G$10,IF(B433&lt;Dashboard!$I$6,IF($J$2&lt;=Dashboard!$H$10,Dashboard!$H$10,MAX(Dashboard!$H$10,MIN($J$2,Dashboard!$H$10*POWER($J$2/Dashboard!$H$10,A433/$D$2)))),$I$2-D433-Dashboard!$I$10-Dashboard!$J$10-Dashboard!$F$10*$I$2)))</f>
        <v>0</v>
      </c>
      <c r="F433" s="24">
        <f t="shared" si="67"/>
        <v>6933.3850035158466</v>
      </c>
      <c r="G433" s="24">
        <f t="shared" si="68"/>
        <v>8808.169052641686</v>
      </c>
      <c r="H433" s="24">
        <f t="shared" si="69"/>
        <v>0</v>
      </c>
      <c r="I433" s="24">
        <f t="shared" si="70"/>
        <v>-8808.169052641686</v>
      </c>
      <c r="J433" s="25">
        <f t="shared" si="71"/>
        <v>7.9741404289037643E-3</v>
      </c>
      <c r="K433" s="24">
        <f t="shared" si="76"/>
        <v>6294321.990219187</v>
      </c>
      <c r="L433" s="24">
        <f t="shared" si="72"/>
        <v>6294321.990219187</v>
      </c>
      <c r="M433" s="24">
        <f t="shared" si="73"/>
        <v>0</v>
      </c>
      <c r="N433" s="24">
        <f>IF(M433&lt;=0,0,IF($E$2-A433&lt;12,(M433-E433)*Dashboard!$B$18,IF($Q$2+A433&gt;=$R$2,MAX(0,M433-E433*POWER(1+$C$2,$E$2-A433))*MAX(Dashboard!$C$18,Dashboard!$B$18),IF($S$2&lt;$R$2,(M433-E433)*0.5*Dashboard!$B$18,(E433*POWER(1+$A$2,$R$2-($Q$2+A433))-E433)*0.5*Dashboard!$B$18+MAX(0,M433-E433*POWER(1+$A$2,$R$2-($Q$2+A433))*POWER(1+$C$2,$S$2-$R$2))*MAX(Dashboard!$C$18,Dashboard!$B$18)))))</f>
        <v>0</v>
      </c>
    </row>
    <row r="434" spans="1:14" x14ac:dyDescent="0.2">
      <c r="A434" s="22">
        <f t="shared" si="74"/>
        <v>429</v>
      </c>
      <c r="B434" s="23">
        <f t="shared" si="75"/>
        <v>53.804794520548363</v>
      </c>
      <c r="C434" t="str">
        <f t="shared" si="66"/>
        <v>53 y 9.66 m</v>
      </c>
      <c r="D434" s="24">
        <f>IF(A434&gt;=$E$2,IF(A434&lt;$E$2+$H$2,$P$2,0),IF(B434&lt;Dashboard!$I$6,0,IF(A434&gt;=$F$2,Dashboard!$C$22*POWER(1+$C$2,A434-$F$2),Dashboard!$C$22)))</f>
        <v>0</v>
      </c>
      <c r="E434" s="24">
        <f>IF(A434&gt;=$F$2,0,IF(A434=0,Dashboard!$G$10,IF(B434&lt;Dashboard!$I$6,IF($J$2&lt;=Dashboard!$H$10,Dashboard!$H$10,MAX(Dashboard!$H$10,MIN($J$2,Dashboard!$H$10*POWER($J$2/Dashboard!$H$10,A434/$D$2)))),$I$2-D434-Dashboard!$I$10-Dashboard!$J$10-Dashboard!$F$10*$I$2)))</f>
        <v>0</v>
      </c>
      <c r="F434" s="24">
        <f t="shared" si="67"/>
        <v>6947.666641418873</v>
      </c>
      <c r="G434" s="24">
        <f t="shared" si="68"/>
        <v>8828.5713925031523</v>
      </c>
      <c r="H434" s="24">
        <f t="shared" si="69"/>
        <v>0</v>
      </c>
      <c r="I434" s="24">
        <f t="shared" si="70"/>
        <v>-8828.5713925031523</v>
      </c>
      <c r="J434" s="25">
        <f t="shared" si="71"/>
        <v>7.9741404289037643E-3</v>
      </c>
      <c r="K434" s="24">
        <f t="shared" si="76"/>
        <v>6335614.8260133574</v>
      </c>
      <c r="L434" s="24">
        <f t="shared" si="72"/>
        <v>6335614.8260133574</v>
      </c>
      <c r="M434" s="24">
        <f t="shared" si="73"/>
        <v>0</v>
      </c>
      <c r="N434" s="24">
        <f>IF(M434&lt;=0,0,IF($E$2-A434&lt;12,(M434-E434)*Dashboard!$B$18,IF($Q$2+A434&gt;=$R$2,MAX(0,M434-E434*POWER(1+$C$2,$E$2-A434))*MAX(Dashboard!$C$18,Dashboard!$B$18),IF($S$2&lt;$R$2,(M434-E434)*0.5*Dashboard!$B$18,(E434*POWER(1+$A$2,$R$2-($Q$2+A434))-E434)*0.5*Dashboard!$B$18+MAX(0,M434-E434*POWER(1+$A$2,$R$2-($Q$2+A434))*POWER(1+$C$2,$S$2-$R$2))*MAX(Dashboard!$C$18,Dashboard!$B$18)))))</f>
        <v>0</v>
      </c>
    </row>
    <row r="435" spans="1:14" x14ac:dyDescent="0.2">
      <c r="A435" s="22">
        <f t="shared" si="74"/>
        <v>430</v>
      </c>
      <c r="B435" s="23">
        <f t="shared" si="75"/>
        <v>53.888127853881699</v>
      </c>
      <c r="C435" t="str">
        <f t="shared" si="66"/>
        <v>53 y 10.66 m</v>
      </c>
      <c r="D435" s="24">
        <f>IF(A435&gt;=$E$2,IF(A435&lt;$E$2+$H$2,$P$2,0),IF(B435&lt;Dashboard!$I$6,0,IF(A435&gt;=$F$2,Dashboard!$C$22*POWER(1+$C$2,A435-$F$2),Dashboard!$C$22)))</f>
        <v>0</v>
      </c>
      <c r="E435" s="24">
        <f>IF(A435&gt;=$F$2,0,IF(A435=0,Dashboard!$G$10,IF(B435&lt;Dashboard!$I$6,IF($J$2&lt;=Dashboard!$H$10,Dashboard!$H$10,MAX(Dashboard!$H$10,MIN($J$2,Dashboard!$H$10*POWER($J$2/Dashboard!$H$10,A435/$D$2)))),$I$2-D435-Dashboard!$I$10-Dashboard!$J$10-Dashboard!$F$10*$I$2)))</f>
        <v>0</v>
      </c>
      <c r="F435" s="24">
        <f t="shared" si="67"/>
        <v>6961.9776971576439</v>
      </c>
      <c r="G435" s="24">
        <f t="shared" si="68"/>
        <v>8849.015757844254</v>
      </c>
      <c r="H435" s="24">
        <f t="shared" si="69"/>
        <v>0</v>
      </c>
      <c r="I435" s="24">
        <f t="shared" si="70"/>
        <v>-8849.015757844254</v>
      </c>
      <c r="J435" s="25">
        <f t="shared" si="71"/>
        <v>7.9741404289037643E-3</v>
      </c>
      <c r="K435" s="24">
        <f t="shared" si="76"/>
        <v>6377216.3292872785</v>
      </c>
      <c r="L435" s="24">
        <f t="shared" si="72"/>
        <v>6377216.3292872785</v>
      </c>
      <c r="M435" s="24">
        <f t="shared" si="73"/>
        <v>0</v>
      </c>
      <c r="N435" s="24">
        <f>IF(M435&lt;=0,0,IF($E$2-A435&lt;12,(M435-E435)*Dashboard!$B$18,IF($Q$2+A435&gt;=$R$2,MAX(0,M435-E435*POWER(1+$C$2,$E$2-A435))*MAX(Dashboard!$C$18,Dashboard!$B$18),IF($S$2&lt;$R$2,(M435-E435)*0.5*Dashboard!$B$18,(E435*POWER(1+$A$2,$R$2-($Q$2+A435))-E435)*0.5*Dashboard!$B$18+MAX(0,M435-E435*POWER(1+$A$2,$R$2-($Q$2+A435))*POWER(1+$C$2,$S$2-$R$2))*MAX(Dashboard!$C$18,Dashboard!$B$18)))))</f>
        <v>0</v>
      </c>
    </row>
    <row r="436" spans="1:14" x14ac:dyDescent="0.2">
      <c r="A436" s="22">
        <f t="shared" si="74"/>
        <v>431</v>
      </c>
      <c r="B436" s="23">
        <f t="shared" si="75"/>
        <v>53.971461187215034</v>
      </c>
      <c r="C436" t="str">
        <f t="shared" si="66"/>
        <v>53 y 11.66 m</v>
      </c>
      <c r="D436" s="24">
        <f>IF(A436&gt;=$E$2,IF(A436&lt;$E$2+$H$2,$P$2,0),IF(B436&lt;Dashboard!$I$6,0,IF(A436&gt;=$F$2,Dashboard!$C$22*POWER(1+$C$2,A436-$F$2),Dashboard!$C$22)))</f>
        <v>0</v>
      </c>
      <c r="E436" s="24">
        <f>IF(A436&gt;=$F$2,0,IF(A436=0,Dashboard!$G$10,IF(B436&lt;Dashboard!$I$6,IF($J$2&lt;=Dashboard!$H$10,Dashboard!$H$10,MAX(Dashboard!$H$10,MIN($J$2,Dashboard!$H$10*POWER($J$2/Dashboard!$H$10,A436/$D$2)))),$I$2-D436-Dashboard!$I$10-Dashboard!$J$10-Dashboard!$F$10*$I$2)))</f>
        <v>0</v>
      </c>
      <c r="F436" s="24">
        <f t="shared" si="67"/>
        <v>6976.3182313280859</v>
      </c>
      <c r="G436" s="24">
        <f t="shared" si="68"/>
        <v>8869.5022352305987</v>
      </c>
      <c r="H436" s="24">
        <f t="shared" si="69"/>
        <v>0</v>
      </c>
      <c r="I436" s="24">
        <f t="shared" si="70"/>
        <v>-8869.5022352305987</v>
      </c>
      <c r="J436" s="25">
        <f t="shared" si="71"/>
        <v>7.9741404289037643E-3</v>
      </c>
      <c r="K436" s="24">
        <f t="shared" si="76"/>
        <v>6419128.9189509246</v>
      </c>
      <c r="L436" s="24">
        <f t="shared" si="72"/>
        <v>6419128.9189509246</v>
      </c>
      <c r="M436" s="24">
        <f t="shared" si="73"/>
        <v>0</v>
      </c>
      <c r="N436" s="24">
        <f>IF(M436&lt;=0,0,IF($E$2-A436&lt;12,(M436-E436)*Dashboard!$B$18,IF($Q$2+A436&gt;=$R$2,MAX(0,M436-E436*POWER(1+$C$2,$E$2-A436))*MAX(Dashboard!$C$18,Dashboard!$B$18),IF($S$2&lt;$R$2,(M436-E436)*0.5*Dashboard!$B$18,(E436*POWER(1+$A$2,$R$2-($Q$2+A436))-E436)*0.5*Dashboard!$B$18+MAX(0,M436-E436*POWER(1+$A$2,$R$2-($Q$2+A436))*POWER(1+$C$2,$S$2-$R$2))*MAX(Dashboard!$C$18,Dashboard!$B$18)))))</f>
        <v>0</v>
      </c>
    </row>
    <row r="437" spans="1:14" x14ac:dyDescent="0.2">
      <c r="A437" s="22">
        <f t="shared" si="74"/>
        <v>432</v>
      </c>
      <c r="B437" s="23">
        <f t="shared" si="75"/>
        <v>54.05479452054837</v>
      </c>
      <c r="C437" t="str">
        <f t="shared" si="66"/>
        <v>54 y 0.66 m</v>
      </c>
      <c r="D437" s="24">
        <f>IF(A437&gt;=$E$2,IF(A437&lt;$E$2+$H$2,$P$2,0),IF(B437&lt;Dashboard!$I$6,0,IF(A437&gt;=$F$2,Dashboard!$C$22*POWER(1+$C$2,A437-$F$2),Dashboard!$C$22)))</f>
        <v>0</v>
      </c>
      <c r="E437" s="24">
        <f>IF(A437&gt;=$F$2,0,IF(A437=0,Dashboard!$G$10,IF(B437&lt;Dashboard!$I$6,IF($J$2&lt;=Dashboard!$H$10,Dashboard!$H$10,MAX(Dashboard!$H$10,MIN($J$2,Dashboard!$H$10*POWER($J$2/Dashboard!$H$10,A437/$D$2)))),$I$2-D437-Dashboard!$I$10-Dashboard!$J$10-Dashboard!$F$10*$I$2)))</f>
        <v>0</v>
      </c>
      <c r="F437" s="24">
        <f t="shared" si="67"/>
        <v>6990.6883046509402</v>
      </c>
      <c r="G437" s="24">
        <f t="shared" si="68"/>
        <v>8890.0309114061056</v>
      </c>
      <c r="H437" s="24">
        <f t="shared" si="69"/>
        <v>0</v>
      </c>
      <c r="I437" s="24">
        <f t="shared" si="70"/>
        <v>-8890.0309114061056</v>
      </c>
      <c r="J437" s="25">
        <f t="shared" si="71"/>
        <v>7.9741404289037643E-3</v>
      </c>
      <c r="K437" s="24">
        <f t="shared" si="76"/>
        <v>6461355.0331155648</v>
      </c>
      <c r="L437" s="24">
        <f t="shared" si="72"/>
        <v>6461355.0331155648</v>
      </c>
      <c r="M437" s="24">
        <f t="shared" si="73"/>
        <v>0</v>
      </c>
      <c r="N437" s="24">
        <f>IF(M437&lt;=0,0,IF($E$2-A437&lt;12,(M437-E437)*Dashboard!$B$18,IF($Q$2+A437&gt;=$R$2,MAX(0,M437-E437*POWER(1+$C$2,$E$2-A437))*MAX(Dashboard!$C$18,Dashboard!$B$18),IF($S$2&lt;$R$2,(M437-E437)*0.5*Dashboard!$B$18,(E437*POWER(1+$A$2,$R$2-($Q$2+A437))-E437)*0.5*Dashboard!$B$18+MAX(0,M437-E437*POWER(1+$A$2,$R$2-($Q$2+A437))*POWER(1+$C$2,$S$2-$R$2))*MAX(Dashboard!$C$18,Dashboard!$B$18)))))</f>
        <v>0</v>
      </c>
    </row>
    <row r="438" spans="1:14" x14ac:dyDescent="0.2">
      <c r="A438" s="22">
        <f t="shared" si="74"/>
        <v>433</v>
      </c>
      <c r="B438" s="23">
        <f t="shared" si="75"/>
        <v>54.138127853881706</v>
      </c>
      <c r="C438" t="str">
        <f t="shared" si="66"/>
        <v>54 y 1.66 m</v>
      </c>
      <c r="D438" s="24">
        <f>IF(A438&gt;=$E$2,IF(A438&lt;$E$2+$H$2,$P$2,0),IF(B438&lt;Dashboard!$I$6,0,IF(A438&gt;=$F$2,Dashboard!$C$22*POWER(1+$C$2,A438-$F$2),Dashboard!$C$22)))</f>
        <v>0</v>
      </c>
      <c r="E438" s="24">
        <f>IF(A438&gt;=$F$2,0,IF(A438=0,Dashboard!$G$10,IF(B438&lt;Dashboard!$I$6,IF($J$2&lt;=Dashboard!$H$10,Dashboard!$H$10,MAX(Dashboard!$H$10,MIN($J$2,Dashboard!$H$10*POWER($J$2/Dashboard!$H$10,A438/$D$2)))),$I$2-D438-Dashboard!$I$10-Dashboard!$J$10-Dashboard!$F$10*$I$2)))</f>
        <v>0</v>
      </c>
      <c r="F438" s="24">
        <f t="shared" si="67"/>
        <v>7005.0879779720262</v>
      </c>
      <c r="G438" s="24">
        <f t="shared" si="68"/>
        <v>8910.6018732933717</v>
      </c>
      <c r="H438" s="24">
        <f t="shared" si="69"/>
        <v>0</v>
      </c>
      <c r="I438" s="24">
        <f t="shared" si="70"/>
        <v>-8910.6018732933717</v>
      </c>
      <c r="J438" s="25">
        <f t="shared" si="71"/>
        <v>7.9741404289037643E-3</v>
      </c>
      <c r="K438" s="24">
        <f t="shared" si="76"/>
        <v>6503897.129246695</v>
      </c>
      <c r="L438" s="24">
        <f t="shared" si="72"/>
        <v>6503897.129246695</v>
      </c>
      <c r="M438" s="24">
        <f t="shared" si="73"/>
        <v>0</v>
      </c>
      <c r="N438" s="24">
        <f>IF(M438&lt;=0,0,IF($E$2-A438&lt;12,(M438-E438)*Dashboard!$B$18,IF($Q$2+A438&gt;=$R$2,MAX(0,M438-E438*POWER(1+$C$2,$E$2-A438))*MAX(Dashboard!$C$18,Dashboard!$B$18),IF($S$2&lt;$R$2,(M438-E438)*0.5*Dashboard!$B$18,(E438*POWER(1+$A$2,$R$2-($Q$2+A438))-E438)*0.5*Dashboard!$B$18+MAX(0,M438-E438*POWER(1+$A$2,$R$2-($Q$2+A438))*POWER(1+$C$2,$S$2-$R$2))*MAX(Dashboard!$C$18,Dashboard!$B$18)))))</f>
        <v>0</v>
      </c>
    </row>
    <row r="439" spans="1:14" x14ac:dyDescent="0.2">
      <c r="A439" s="22">
        <f t="shared" si="74"/>
        <v>434</v>
      </c>
      <c r="B439" s="23">
        <f t="shared" si="75"/>
        <v>54.221461187215041</v>
      </c>
      <c r="C439" t="str">
        <f t="shared" si="66"/>
        <v>54 y 2.66 m</v>
      </c>
      <c r="D439" s="24">
        <f>IF(A439&gt;=$E$2,IF(A439&lt;$E$2+$H$2,$P$2,0),IF(B439&lt;Dashboard!$I$6,0,IF(A439&gt;=$F$2,Dashboard!$C$22*POWER(1+$C$2,A439-$F$2),Dashboard!$C$22)))</f>
        <v>0</v>
      </c>
      <c r="E439" s="24">
        <f>IF(A439&gt;=$F$2,0,IF(A439=0,Dashboard!$G$10,IF(B439&lt;Dashboard!$I$6,IF($J$2&lt;=Dashboard!$H$10,Dashboard!$H$10,MAX(Dashboard!$H$10,MIN($J$2,Dashboard!$H$10*POWER($J$2/Dashboard!$H$10,A439/$D$2)))),$I$2-D439-Dashboard!$I$10-Dashboard!$J$10-Dashboard!$F$10*$I$2)))</f>
        <v>0</v>
      </c>
      <c r="F439" s="24">
        <f t="shared" si="67"/>
        <v>7019.517312262491</v>
      </c>
      <c r="G439" s="24">
        <f t="shared" si="68"/>
        <v>8931.2152079940352</v>
      </c>
      <c r="H439" s="24">
        <f t="shared" si="69"/>
        <v>0</v>
      </c>
      <c r="I439" s="24">
        <f t="shared" si="70"/>
        <v>-8931.2152079940352</v>
      </c>
      <c r="J439" s="25">
        <f t="shared" si="71"/>
        <v>7.9741404289037643E-3</v>
      </c>
      <c r="K439" s="24">
        <f t="shared" si="76"/>
        <v>6546757.6843181886</v>
      </c>
      <c r="L439" s="24">
        <f t="shared" si="72"/>
        <v>6546757.6843181886</v>
      </c>
      <c r="M439" s="24">
        <f t="shared" si="73"/>
        <v>0</v>
      </c>
      <c r="N439" s="24">
        <f>IF(M439&lt;=0,0,IF($E$2-A439&lt;12,(M439-E439)*Dashboard!$B$18,IF($Q$2+A439&gt;=$R$2,MAX(0,M439-E439*POWER(1+$C$2,$E$2-A439))*MAX(Dashboard!$C$18,Dashboard!$B$18),IF($S$2&lt;$R$2,(M439-E439)*0.5*Dashboard!$B$18,(E439*POWER(1+$A$2,$R$2-($Q$2+A439))-E439)*0.5*Dashboard!$B$18+MAX(0,M439-E439*POWER(1+$A$2,$R$2-($Q$2+A439))*POWER(1+$C$2,$S$2-$R$2))*MAX(Dashboard!$C$18,Dashboard!$B$18)))))</f>
        <v>0</v>
      </c>
    </row>
    <row r="440" spans="1:14" x14ac:dyDescent="0.2">
      <c r="A440" s="22">
        <f t="shared" si="74"/>
        <v>435</v>
      </c>
      <c r="B440" s="23">
        <f t="shared" si="75"/>
        <v>54.304794520548377</v>
      </c>
      <c r="C440" t="str">
        <f t="shared" si="66"/>
        <v>54 y 3.66 m</v>
      </c>
      <c r="D440" s="24">
        <f>IF(A440&gt;=$E$2,IF(A440&lt;$E$2+$H$2,$P$2,0),IF(B440&lt;Dashboard!$I$6,0,IF(A440&gt;=$F$2,Dashboard!$C$22*POWER(1+$C$2,A440-$F$2),Dashboard!$C$22)))</f>
        <v>0</v>
      </c>
      <c r="E440" s="24">
        <f>IF(A440&gt;=$F$2,0,IF(A440=0,Dashboard!$G$10,IF(B440&lt;Dashboard!$I$6,IF($J$2&lt;=Dashboard!$H$10,Dashboard!$H$10,MAX(Dashboard!$H$10,MIN($J$2,Dashboard!$H$10*POWER($J$2/Dashboard!$H$10,A440/$D$2)))),$I$2-D440-Dashboard!$I$10-Dashboard!$J$10-Dashboard!$F$10*$I$2)))</f>
        <v>0</v>
      </c>
      <c r="F440" s="24">
        <f t="shared" si="67"/>
        <v>7033.9763686190799</v>
      </c>
      <c r="G440" s="24">
        <f t="shared" si="68"/>
        <v>8951.871002789163</v>
      </c>
      <c r="H440" s="24">
        <f t="shared" si="69"/>
        <v>0</v>
      </c>
      <c r="I440" s="24">
        <f t="shared" si="70"/>
        <v>-8951.871002789163</v>
      </c>
      <c r="J440" s="25">
        <f t="shared" si="71"/>
        <v>7.9741404289037643E-3</v>
      </c>
      <c r="K440" s="24">
        <f t="shared" si="76"/>
        <v>6589939.1949676797</v>
      </c>
      <c r="L440" s="24">
        <f t="shared" si="72"/>
        <v>6589939.1949676797</v>
      </c>
      <c r="M440" s="24">
        <f t="shared" si="73"/>
        <v>0</v>
      </c>
      <c r="N440" s="24">
        <f>IF(M440&lt;=0,0,IF($E$2-A440&lt;12,(M440-E440)*Dashboard!$B$18,IF($Q$2+A440&gt;=$R$2,MAX(0,M440-E440*POWER(1+$C$2,$E$2-A440))*MAX(Dashboard!$C$18,Dashboard!$B$18),IF($S$2&lt;$R$2,(M440-E440)*0.5*Dashboard!$B$18,(E440*POWER(1+$A$2,$R$2-($Q$2+A440))-E440)*0.5*Dashboard!$B$18+MAX(0,M440-E440*POWER(1+$A$2,$R$2-($Q$2+A440))*POWER(1+$C$2,$S$2-$R$2))*MAX(Dashboard!$C$18,Dashboard!$B$18)))))</f>
        <v>0</v>
      </c>
    </row>
    <row r="441" spans="1:14" x14ac:dyDescent="0.2">
      <c r="A441" s="22">
        <f t="shared" si="74"/>
        <v>436</v>
      </c>
      <c r="B441" s="23">
        <f t="shared" si="75"/>
        <v>54.388127853881713</v>
      </c>
      <c r="C441" t="str">
        <f t="shared" si="66"/>
        <v>54 y 4.66 m</v>
      </c>
      <c r="D441" s="24">
        <f>IF(A441&gt;=$E$2,IF(A441&lt;$E$2+$H$2,$P$2,0),IF(B441&lt;Dashboard!$I$6,0,IF(A441&gt;=$F$2,Dashboard!$C$22*POWER(1+$C$2,A441-$F$2),Dashboard!$C$22)))</f>
        <v>0</v>
      </c>
      <c r="E441" s="24">
        <f>IF(A441&gt;=$F$2,0,IF(A441=0,Dashboard!$G$10,IF(B441&lt;Dashboard!$I$6,IF($J$2&lt;=Dashboard!$H$10,Dashboard!$H$10,MAX(Dashboard!$H$10,MIN($J$2,Dashboard!$H$10*POWER($J$2/Dashboard!$H$10,A441/$D$2)))),$I$2-D441-Dashboard!$I$10-Dashboard!$J$10-Dashboard!$F$10*$I$2)))</f>
        <v>0</v>
      </c>
      <c r="F441" s="24">
        <f t="shared" si="67"/>
        <v>7048.4652082643761</v>
      </c>
      <c r="G441" s="24">
        <f t="shared" si="68"/>
        <v>8972.5693451395855</v>
      </c>
      <c r="H441" s="24">
        <f t="shared" si="69"/>
        <v>0</v>
      </c>
      <c r="I441" s="24">
        <f t="shared" si="70"/>
        <v>-8972.5693451395855</v>
      </c>
      <c r="J441" s="25">
        <f t="shared" si="71"/>
        <v>7.9741404289037643E-3</v>
      </c>
      <c r="K441" s="24">
        <f t="shared" si="76"/>
        <v>6633444.1776531832</v>
      </c>
      <c r="L441" s="24">
        <f t="shared" si="72"/>
        <v>6633444.1776531832</v>
      </c>
      <c r="M441" s="24">
        <f t="shared" si="73"/>
        <v>0</v>
      </c>
      <c r="N441" s="24">
        <f>IF(M441&lt;=0,0,IF($E$2-A441&lt;12,(M441-E441)*Dashboard!$B$18,IF($Q$2+A441&gt;=$R$2,MAX(0,M441-E441*POWER(1+$C$2,$E$2-A441))*MAX(Dashboard!$C$18,Dashboard!$B$18),IF($S$2&lt;$R$2,(M441-E441)*0.5*Dashboard!$B$18,(E441*POWER(1+$A$2,$R$2-($Q$2+A441))-E441)*0.5*Dashboard!$B$18+MAX(0,M441-E441*POWER(1+$A$2,$R$2-($Q$2+A441))*POWER(1+$C$2,$S$2-$R$2))*MAX(Dashboard!$C$18,Dashboard!$B$18)))))</f>
        <v>0</v>
      </c>
    </row>
    <row r="442" spans="1:14" x14ac:dyDescent="0.2">
      <c r="A442" s="22">
        <f t="shared" si="74"/>
        <v>437</v>
      </c>
      <c r="B442" s="23">
        <f t="shared" si="75"/>
        <v>54.471461187215048</v>
      </c>
      <c r="C442" t="str">
        <f t="shared" si="66"/>
        <v>54 y 5.66 m</v>
      </c>
      <c r="D442" s="24">
        <f>IF(A442&gt;=$E$2,IF(A442&lt;$E$2+$H$2,$P$2,0),IF(B442&lt;Dashboard!$I$6,0,IF(A442&gt;=$F$2,Dashboard!$C$22*POWER(1+$C$2,A442-$F$2),Dashboard!$C$22)))</f>
        <v>0</v>
      </c>
      <c r="E442" s="24">
        <f>IF(A442&gt;=$F$2,0,IF(A442=0,Dashboard!$G$10,IF(B442&lt;Dashboard!$I$6,IF($J$2&lt;=Dashboard!$H$10,Dashboard!$H$10,MAX(Dashboard!$H$10,MIN($J$2,Dashboard!$H$10*POWER($J$2/Dashboard!$H$10,A442/$D$2)))),$I$2-D442-Dashboard!$I$10-Dashboard!$J$10-Dashboard!$F$10*$I$2)))</f>
        <v>0</v>
      </c>
      <c r="F442" s="24">
        <f t="shared" si="67"/>
        <v>7062.9838925470849</v>
      </c>
      <c r="G442" s="24">
        <f t="shared" si="68"/>
        <v>8993.3103226863132</v>
      </c>
      <c r="H442" s="24">
        <f t="shared" si="69"/>
        <v>0</v>
      </c>
      <c r="I442" s="24">
        <f t="shared" si="70"/>
        <v>-8993.3103226863132</v>
      </c>
      <c r="J442" s="25">
        <f t="shared" si="71"/>
        <v>7.9741404289037643E-3</v>
      </c>
      <c r="K442" s="24">
        <f t="shared" si="76"/>
        <v>6677275.1688109636</v>
      </c>
      <c r="L442" s="24">
        <f t="shared" si="72"/>
        <v>6677275.1688109636</v>
      </c>
      <c r="M442" s="24">
        <f t="shared" si="73"/>
        <v>0</v>
      </c>
      <c r="N442" s="24">
        <f>IF(M442&lt;=0,0,IF($E$2-A442&lt;12,(M442-E442)*Dashboard!$B$18,IF($Q$2+A442&gt;=$R$2,MAX(0,M442-E442*POWER(1+$C$2,$E$2-A442))*MAX(Dashboard!$C$18,Dashboard!$B$18),IF($S$2&lt;$R$2,(M442-E442)*0.5*Dashboard!$B$18,(E442*POWER(1+$A$2,$R$2-($Q$2+A442))-E442)*0.5*Dashboard!$B$18+MAX(0,M442-E442*POWER(1+$A$2,$R$2-($Q$2+A442))*POWER(1+$C$2,$S$2-$R$2))*MAX(Dashboard!$C$18,Dashboard!$B$18)))))</f>
        <v>0</v>
      </c>
    </row>
    <row r="443" spans="1:14" x14ac:dyDescent="0.2">
      <c r="A443" s="22">
        <f t="shared" si="74"/>
        <v>438</v>
      </c>
      <c r="B443" s="23">
        <f t="shared" si="75"/>
        <v>54.554794520548384</v>
      </c>
      <c r="C443" t="str">
        <f t="shared" si="66"/>
        <v>54 y 6.66 m</v>
      </c>
      <c r="D443" s="24">
        <f>IF(A443&gt;=$E$2,IF(A443&lt;$E$2+$H$2,$P$2,0),IF(B443&lt;Dashboard!$I$6,0,IF(A443&gt;=$F$2,Dashboard!$C$22*POWER(1+$C$2,A443-$F$2),Dashboard!$C$22)))</f>
        <v>0</v>
      </c>
      <c r="E443" s="24">
        <f>IF(A443&gt;=$F$2,0,IF(A443=0,Dashboard!$G$10,IF(B443&lt;Dashboard!$I$6,IF($J$2&lt;=Dashboard!$H$10,Dashboard!$H$10,MAX(Dashboard!$H$10,MIN($J$2,Dashboard!$H$10*POWER($J$2/Dashboard!$H$10,A443/$D$2)))),$I$2-D443-Dashboard!$I$10-Dashboard!$J$10-Dashboard!$F$10*$I$2)))</f>
        <v>0</v>
      </c>
      <c r="F443" s="24">
        <f t="shared" si="67"/>
        <v>7077.5324829422689</v>
      </c>
      <c r="G443" s="24">
        <f t="shared" si="68"/>
        <v>9014.0940232508601</v>
      </c>
      <c r="H443" s="24">
        <f t="shared" si="69"/>
        <v>0</v>
      </c>
      <c r="I443" s="24">
        <f t="shared" si="70"/>
        <v>-9014.0940232508601</v>
      </c>
      <c r="J443" s="25">
        <f t="shared" si="71"/>
        <v>7.9741404289037643E-3</v>
      </c>
      <c r="K443" s="24">
        <f t="shared" si="76"/>
        <v>6721434.7250146624</v>
      </c>
      <c r="L443" s="24">
        <f t="shared" si="72"/>
        <v>6721434.7250146624</v>
      </c>
      <c r="M443" s="24">
        <f t="shared" si="73"/>
        <v>0</v>
      </c>
      <c r="N443" s="24">
        <f>IF(M443&lt;=0,0,IF($E$2-A443&lt;12,(M443-E443)*Dashboard!$B$18,IF($Q$2+A443&gt;=$R$2,MAX(0,M443-E443*POWER(1+$C$2,$E$2-A443))*MAX(Dashboard!$C$18,Dashboard!$B$18),IF($S$2&lt;$R$2,(M443-E443)*0.5*Dashboard!$B$18,(E443*POWER(1+$A$2,$R$2-($Q$2+A443))-E443)*0.5*Dashboard!$B$18+MAX(0,M443-E443*POWER(1+$A$2,$R$2-($Q$2+A443))*POWER(1+$C$2,$S$2-$R$2))*MAX(Dashboard!$C$18,Dashboard!$B$18)))))</f>
        <v>0</v>
      </c>
    </row>
    <row r="444" spans="1:14" x14ac:dyDescent="0.2">
      <c r="A444" s="22">
        <f t="shared" si="74"/>
        <v>439</v>
      </c>
      <c r="B444" s="23">
        <f t="shared" si="75"/>
        <v>54.63812785388172</v>
      </c>
      <c r="C444" t="str">
        <f t="shared" si="66"/>
        <v>54 y 7.66 m</v>
      </c>
      <c r="D444" s="24">
        <f>IF(A444&gt;=$E$2,IF(A444&lt;$E$2+$H$2,$P$2,0),IF(B444&lt;Dashboard!$I$6,0,IF(A444&gt;=$F$2,Dashboard!$C$22*POWER(1+$C$2,A444-$F$2),Dashboard!$C$22)))</f>
        <v>0</v>
      </c>
      <c r="E444" s="24">
        <f>IF(A444&gt;=$F$2,0,IF(A444=0,Dashboard!$G$10,IF(B444&lt;Dashboard!$I$6,IF($J$2&lt;=Dashboard!$H$10,Dashboard!$H$10,MAX(Dashboard!$H$10,MIN($J$2,Dashboard!$H$10*POWER($J$2/Dashboard!$H$10,A444/$D$2)))),$I$2-D444-Dashboard!$I$10-Dashboard!$J$10-Dashboard!$F$10*$I$2)))</f>
        <v>0</v>
      </c>
      <c r="F444" s="24">
        <f t="shared" si="67"/>
        <v>7092.1110410516239</v>
      </c>
      <c r="G444" s="24">
        <f t="shared" si="68"/>
        <v>9034.9205348356536</v>
      </c>
      <c r="H444" s="24">
        <f t="shared" si="69"/>
        <v>0</v>
      </c>
      <c r="I444" s="24">
        <f t="shared" si="70"/>
        <v>-9034.9205348356536</v>
      </c>
      <c r="J444" s="25">
        <f t="shared" si="71"/>
        <v>7.9741404289037643E-3</v>
      </c>
      <c r="K444" s="24">
        <f t="shared" si="76"/>
        <v>6765925.423135695</v>
      </c>
      <c r="L444" s="24">
        <f t="shared" si="72"/>
        <v>6765925.423135695</v>
      </c>
      <c r="M444" s="24">
        <f t="shared" si="73"/>
        <v>0</v>
      </c>
      <c r="N444" s="24">
        <f>IF(M444&lt;=0,0,IF($E$2-A444&lt;12,(M444-E444)*Dashboard!$B$18,IF($Q$2+A444&gt;=$R$2,MAX(0,M444-E444*POWER(1+$C$2,$E$2-A444))*MAX(Dashboard!$C$18,Dashboard!$B$18),IF($S$2&lt;$R$2,(M444-E444)*0.5*Dashboard!$B$18,(E444*POWER(1+$A$2,$R$2-($Q$2+A444))-E444)*0.5*Dashboard!$B$18+MAX(0,M444-E444*POWER(1+$A$2,$R$2-($Q$2+A444))*POWER(1+$C$2,$S$2-$R$2))*MAX(Dashboard!$C$18,Dashboard!$B$18)))))</f>
        <v>0</v>
      </c>
    </row>
    <row r="445" spans="1:14" x14ac:dyDescent="0.2">
      <c r="A445" s="22">
        <f t="shared" si="74"/>
        <v>440</v>
      </c>
      <c r="B445" s="23">
        <f t="shared" si="75"/>
        <v>54.721461187215056</v>
      </c>
      <c r="C445" t="str">
        <f t="shared" si="66"/>
        <v>54 y 8.66 m</v>
      </c>
      <c r="D445" s="24">
        <f>IF(A445&gt;=$E$2,IF(A445&lt;$E$2+$H$2,$P$2,0),IF(B445&lt;Dashboard!$I$6,0,IF(A445&gt;=$F$2,Dashboard!$C$22*POWER(1+$C$2,A445-$F$2),Dashboard!$C$22)))</f>
        <v>0</v>
      </c>
      <c r="E445" s="24">
        <f>IF(A445&gt;=$F$2,0,IF(A445=0,Dashboard!$G$10,IF(B445&lt;Dashboard!$I$6,IF($J$2&lt;=Dashboard!$H$10,Dashboard!$H$10,MAX(Dashboard!$H$10,MIN($J$2,Dashboard!$H$10*POWER($J$2/Dashboard!$H$10,A445/$D$2)))),$I$2-D445-Dashboard!$I$10-Dashboard!$J$10-Dashboard!$F$10*$I$2)))</f>
        <v>0</v>
      </c>
      <c r="F445" s="24">
        <f t="shared" si="67"/>
        <v>7106.7196286037342</v>
      </c>
      <c r="G445" s="24">
        <f t="shared" si="68"/>
        <v>9055.7899456243813</v>
      </c>
      <c r="H445" s="24">
        <f t="shared" si="69"/>
        <v>0</v>
      </c>
      <c r="I445" s="24">
        <f t="shared" si="70"/>
        <v>-9055.7899456243813</v>
      </c>
      <c r="J445" s="25">
        <f t="shared" si="71"/>
        <v>7.9741404289037643E-3</v>
      </c>
      <c r="K445" s="24">
        <f t="shared" si="76"/>
        <v>6810749.8605049234</v>
      </c>
      <c r="L445" s="24">
        <f t="shared" si="72"/>
        <v>6810749.8605049234</v>
      </c>
      <c r="M445" s="24">
        <f t="shared" si="73"/>
        <v>0</v>
      </c>
      <c r="N445" s="24">
        <f>IF(M445&lt;=0,0,IF($E$2-A445&lt;12,(M445-E445)*Dashboard!$B$18,IF($Q$2+A445&gt;=$R$2,MAX(0,M445-E445*POWER(1+$C$2,$E$2-A445))*MAX(Dashboard!$C$18,Dashboard!$B$18),IF($S$2&lt;$R$2,(M445-E445)*0.5*Dashboard!$B$18,(E445*POWER(1+$A$2,$R$2-($Q$2+A445))-E445)*0.5*Dashboard!$B$18+MAX(0,M445-E445*POWER(1+$A$2,$R$2-($Q$2+A445))*POWER(1+$C$2,$S$2-$R$2))*MAX(Dashboard!$C$18,Dashboard!$B$18)))))</f>
        <v>0</v>
      </c>
    </row>
    <row r="446" spans="1:14" x14ac:dyDescent="0.2">
      <c r="A446" s="22">
        <f t="shared" si="74"/>
        <v>441</v>
      </c>
      <c r="B446" s="23">
        <f t="shared" si="75"/>
        <v>54.804794520548391</v>
      </c>
      <c r="C446" t="str">
        <f t="shared" si="66"/>
        <v>54 y 9.66 m</v>
      </c>
      <c r="D446" s="24">
        <f>IF(A446&gt;=$E$2,IF(A446&lt;$E$2+$H$2,$P$2,0),IF(B446&lt;Dashboard!$I$6,0,IF(A446&gt;=$F$2,Dashboard!$C$22*POWER(1+$C$2,A446-$F$2),Dashboard!$C$22)))</f>
        <v>0</v>
      </c>
      <c r="E446" s="24">
        <f>IF(A446&gt;=$F$2,0,IF(A446=0,Dashboard!$G$10,IF(B446&lt;Dashboard!$I$6,IF($J$2&lt;=Dashboard!$H$10,Dashboard!$H$10,MAX(Dashboard!$H$10,MIN($J$2,Dashboard!$H$10*POWER($J$2/Dashboard!$H$10,A446/$D$2)))),$I$2-D446-Dashboard!$I$10-Dashboard!$J$10-Dashboard!$F$10*$I$2)))</f>
        <v>0</v>
      </c>
      <c r="F446" s="24">
        <f t="shared" si="67"/>
        <v>7121.3583074543349</v>
      </c>
      <c r="G446" s="24">
        <f t="shared" si="68"/>
        <v>9076.7023439823843</v>
      </c>
      <c r="H446" s="24">
        <f t="shared" si="69"/>
        <v>0</v>
      </c>
      <c r="I446" s="24">
        <f t="shared" si="70"/>
        <v>-9076.7023439823843</v>
      </c>
      <c r="J446" s="25">
        <f t="shared" si="71"/>
        <v>7.9741404289037643E-3</v>
      </c>
      <c r="K446" s="24">
        <f t="shared" si="76"/>
        <v>6855910.6550756218</v>
      </c>
      <c r="L446" s="24">
        <f t="shared" si="72"/>
        <v>6855910.6550756218</v>
      </c>
      <c r="M446" s="24">
        <f t="shared" si="73"/>
        <v>0</v>
      </c>
      <c r="N446" s="24">
        <f>IF(M446&lt;=0,0,IF($E$2-A446&lt;12,(M446-E446)*Dashboard!$B$18,IF($Q$2+A446&gt;=$R$2,MAX(0,M446-E446*POWER(1+$C$2,$E$2-A446))*MAX(Dashboard!$C$18,Dashboard!$B$18),IF($S$2&lt;$R$2,(M446-E446)*0.5*Dashboard!$B$18,(E446*POWER(1+$A$2,$R$2-($Q$2+A446))-E446)*0.5*Dashboard!$B$18+MAX(0,M446-E446*POWER(1+$A$2,$R$2-($Q$2+A446))*POWER(1+$C$2,$S$2-$R$2))*MAX(Dashboard!$C$18,Dashboard!$B$18)))))</f>
        <v>0</v>
      </c>
    </row>
    <row r="447" spans="1:14" x14ac:dyDescent="0.2">
      <c r="A447" s="22">
        <f t="shared" si="74"/>
        <v>442</v>
      </c>
      <c r="B447" s="23">
        <f t="shared" si="75"/>
        <v>54.888127853881727</v>
      </c>
      <c r="C447" t="str">
        <f t="shared" si="66"/>
        <v>54 y 10.66 m</v>
      </c>
      <c r="D447" s="24">
        <f>IF(A447&gt;=$E$2,IF(A447&lt;$E$2+$H$2,$P$2,0),IF(B447&lt;Dashboard!$I$6,0,IF(A447&gt;=$F$2,Dashboard!$C$22*POWER(1+$C$2,A447-$F$2),Dashboard!$C$22)))</f>
        <v>0</v>
      </c>
      <c r="E447" s="24">
        <f>IF(A447&gt;=$F$2,0,IF(A447=0,Dashboard!$G$10,IF(B447&lt;Dashboard!$I$6,IF($J$2&lt;=Dashboard!$H$10,Dashboard!$H$10,MAX(Dashboard!$H$10,MIN($J$2,Dashboard!$H$10*POWER($J$2/Dashboard!$H$10,A447/$D$2)))),$I$2-D447-Dashboard!$I$10-Dashboard!$J$10-Dashboard!$F$10*$I$2)))</f>
        <v>0</v>
      </c>
      <c r="F447" s="24">
        <f t="shared" si="67"/>
        <v>7136.0271395865748</v>
      </c>
      <c r="G447" s="24">
        <f t="shared" si="68"/>
        <v>9097.6578184570117</v>
      </c>
      <c r="H447" s="24">
        <f t="shared" si="69"/>
        <v>0</v>
      </c>
      <c r="I447" s="24">
        <f t="shared" si="70"/>
        <v>-9097.6578184570117</v>
      </c>
      <c r="J447" s="25">
        <f t="shared" si="71"/>
        <v>7.9741404289037643E-3</v>
      </c>
      <c r="K447" s="24">
        <f t="shared" si="76"/>
        <v>6901410.4455877366</v>
      </c>
      <c r="L447" s="24">
        <f t="shared" si="72"/>
        <v>6901410.4455877366</v>
      </c>
      <c r="M447" s="24">
        <f t="shared" si="73"/>
        <v>0</v>
      </c>
      <c r="N447" s="24">
        <f>IF(M447&lt;=0,0,IF($E$2-A447&lt;12,(M447-E447)*Dashboard!$B$18,IF($Q$2+A447&gt;=$R$2,MAX(0,M447-E447*POWER(1+$C$2,$E$2-A447))*MAX(Dashboard!$C$18,Dashboard!$B$18),IF($S$2&lt;$R$2,(M447-E447)*0.5*Dashboard!$B$18,(E447*POWER(1+$A$2,$R$2-($Q$2+A447))-E447)*0.5*Dashboard!$B$18+MAX(0,M447-E447*POWER(1+$A$2,$R$2-($Q$2+A447))*POWER(1+$C$2,$S$2-$R$2))*MAX(Dashboard!$C$18,Dashboard!$B$18)))))</f>
        <v>0</v>
      </c>
    </row>
    <row r="448" spans="1:14" x14ac:dyDescent="0.2">
      <c r="A448" s="22">
        <f t="shared" si="74"/>
        <v>443</v>
      </c>
      <c r="B448" s="23">
        <f t="shared" si="75"/>
        <v>54.971461187215063</v>
      </c>
      <c r="C448" t="str">
        <f t="shared" si="66"/>
        <v>54 y 11.66 m</v>
      </c>
      <c r="D448" s="24">
        <f>IF(A448&gt;=$E$2,IF(A448&lt;$E$2+$H$2,$P$2,0),IF(B448&lt;Dashboard!$I$6,0,IF(A448&gt;=$F$2,Dashboard!$C$22*POWER(1+$C$2,A448-$F$2),Dashboard!$C$22)))</f>
        <v>0</v>
      </c>
      <c r="E448" s="24">
        <f>IF(A448&gt;=$F$2,0,IF(A448=0,Dashboard!$G$10,IF(B448&lt;Dashboard!$I$6,IF($J$2&lt;=Dashboard!$H$10,Dashboard!$H$10,MAX(Dashboard!$H$10,MIN($J$2,Dashboard!$H$10*POWER($J$2/Dashboard!$H$10,A448/$D$2)))),$I$2-D448-Dashboard!$I$10-Dashboard!$J$10-Dashboard!$F$10*$I$2)))</f>
        <v>0</v>
      </c>
      <c r="F448" s="24">
        <f t="shared" si="67"/>
        <v>7150.7261871112778</v>
      </c>
      <c r="G448" s="24">
        <f t="shared" si="68"/>
        <v>9118.6564577780155</v>
      </c>
      <c r="H448" s="24">
        <f t="shared" si="69"/>
        <v>0</v>
      </c>
      <c r="I448" s="24">
        <f t="shared" si="70"/>
        <v>-9118.6564577780155</v>
      </c>
      <c r="J448" s="25">
        <f t="shared" si="71"/>
        <v>7.9741404289037643E-3</v>
      </c>
      <c r="K448" s="24">
        <f t="shared" si="76"/>
        <v>6947251.8917334611</v>
      </c>
      <c r="L448" s="24">
        <f t="shared" si="72"/>
        <v>6947251.8917334611</v>
      </c>
      <c r="M448" s="24">
        <f t="shared" si="73"/>
        <v>0</v>
      </c>
      <c r="N448" s="24">
        <f>IF(M448&lt;=0,0,IF($E$2-A448&lt;12,(M448-E448)*Dashboard!$B$18,IF($Q$2+A448&gt;=$R$2,MAX(0,M448-E448*POWER(1+$C$2,$E$2-A448))*MAX(Dashboard!$C$18,Dashboard!$B$18),IF($S$2&lt;$R$2,(M448-E448)*0.5*Dashboard!$B$18,(E448*POWER(1+$A$2,$R$2-($Q$2+A448))-E448)*0.5*Dashboard!$B$18+MAX(0,M448-E448*POWER(1+$A$2,$R$2-($Q$2+A448))*POWER(1+$C$2,$S$2-$R$2))*MAX(Dashboard!$C$18,Dashboard!$B$18)))))</f>
        <v>0</v>
      </c>
    </row>
    <row r="449" spans="1:14" x14ac:dyDescent="0.2">
      <c r="A449" s="22">
        <f t="shared" si="74"/>
        <v>444</v>
      </c>
      <c r="B449" s="23">
        <f t="shared" si="75"/>
        <v>55.054794520548398</v>
      </c>
      <c r="C449" t="str">
        <f t="shared" si="66"/>
        <v>55 y 0.66 m</v>
      </c>
      <c r="D449" s="24">
        <f>IF(A449&gt;=$E$2,IF(A449&lt;$E$2+$H$2,$P$2,0),IF(B449&lt;Dashboard!$I$6,0,IF(A449&gt;=$F$2,Dashboard!$C$22*POWER(1+$C$2,A449-$F$2),Dashboard!$C$22)))</f>
        <v>0</v>
      </c>
      <c r="E449" s="24">
        <f>IF(A449&gt;=$F$2,0,IF(A449=0,Dashboard!$G$10,IF(B449&lt;Dashboard!$I$6,IF($J$2&lt;=Dashboard!$H$10,Dashboard!$H$10,MAX(Dashboard!$H$10,MIN($J$2,Dashboard!$H$10*POWER($J$2/Dashboard!$H$10,A449/$D$2)))),$I$2-D449-Dashboard!$I$10-Dashboard!$J$10-Dashboard!$F$10*$I$2)))</f>
        <v>0</v>
      </c>
      <c r="F449" s="24">
        <f t="shared" si="67"/>
        <v>7165.4555122672027</v>
      </c>
      <c r="G449" s="24">
        <f t="shared" si="68"/>
        <v>9139.6983508579087</v>
      </c>
      <c r="H449" s="24">
        <f t="shared" si="69"/>
        <v>0</v>
      </c>
      <c r="I449" s="24">
        <f t="shared" si="70"/>
        <v>-9139.6983508579087</v>
      </c>
      <c r="J449" s="25">
        <f t="shared" si="71"/>
        <v>7.9741404289037643E-3</v>
      </c>
      <c r="K449" s="24">
        <f t="shared" si="76"/>
        <v>6993437.6743241251</v>
      </c>
      <c r="L449" s="24">
        <f t="shared" si="72"/>
        <v>6993437.6743241251</v>
      </c>
      <c r="M449" s="24">
        <f t="shared" si="73"/>
        <v>0</v>
      </c>
      <c r="N449" s="24">
        <f>IF(M449&lt;=0,0,IF($E$2-A449&lt;12,(M449-E449)*Dashboard!$B$18,IF($Q$2+A449&gt;=$R$2,MAX(0,M449-E449*POWER(1+$C$2,$E$2-A449))*MAX(Dashboard!$C$18,Dashboard!$B$18),IF($S$2&lt;$R$2,(M449-E449)*0.5*Dashboard!$B$18,(E449*POWER(1+$A$2,$R$2-($Q$2+A449))-E449)*0.5*Dashboard!$B$18+MAX(0,M449-E449*POWER(1+$A$2,$R$2-($Q$2+A449))*POWER(1+$C$2,$S$2-$R$2))*MAX(Dashboard!$C$18,Dashboard!$B$18)))))</f>
        <v>0</v>
      </c>
    </row>
    <row r="450" spans="1:14" x14ac:dyDescent="0.2">
      <c r="A450" s="22">
        <f t="shared" si="74"/>
        <v>445</v>
      </c>
      <c r="B450" s="23">
        <f t="shared" si="75"/>
        <v>55.138127853881734</v>
      </c>
      <c r="C450" t="str">
        <f t="shared" si="66"/>
        <v>55 y 1.66 m</v>
      </c>
      <c r="D450" s="24">
        <f>IF(A450&gt;=$E$2,IF(A450&lt;$E$2+$H$2,$P$2,0),IF(B450&lt;Dashboard!$I$6,0,IF(A450&gt;=$F$2,Dashboard!$C$22*POWER(1+$C$2,A450-$F$2),Dashboard!$C$22)))</f>
        <v>0</v>
      </c>
      <c r="E450" s="24">
        <f>IF(A450&gt;=$F$2,0,IF(A450=0,Dashboard!$G$10,IF(B450&lt;Dashboard!$I$6,IF($J$2&lt;=Dashboard!$H$10,Dashboard!$H$10,MAX(Dashboard!$H$10,MIN($J$2,Dashboard!$H$10*POWER($J$2/Dashboard!$H$10,A450/$D$2)))),$I$2-D450-Dashboard!$I$10-Dashboard!$J$10-Dashboard!$F$10*$I$2)))</f>
        <v>0</v>
      </c>
      <c r="F450" s="24">
        <f t="shared" si="67"/>
        <v>7180.2151774213162</v>
      </c>
      <c r="G450" s="24">
        <f t="shared" si="68"/>
        <v>9160.7835867923568</v>
      </c>
      <c r="H450" s="24">
        <f t="shared" si="69"/>
        <v>0</v>
      </c>
      <c r="I450" s="24">
        <f t="shared" si="70"/>
        <v>-9160.7835867923568</v>
      </c>
      <c r="J450" s="25">
        <f t="shared" si="71"/>
        <v>7.9741404289037643E-3</v>
      </c>
      <c r="K450" s="24">
        <f t="shared" si="76"/>
        <v>7039970.4954584194</v>
      </c>
      <c r="L450" s="24">
        <f t="shared" si="72"/>
        <v>7039970.4954584194</v>
      </c>
      <c r="M450" s="24">
        <f t="shared" si="73"/>
        <v>0</v>
      </c>
      <c r="N450" s="24">
        <f>IF(M450&lt;=0,0,IF($E$2-A450&lt;12,(M450-E450)*Dashboard!$B$18,IF($Q$2+A450&gt;=$R$2,MAX(0,M450-E450*POWER(1+$C$2,$E$2-A450))*MAX(Dashboard!$C$18,Dashboard!$B$18),IF($S$2&lt;$R$2,(M450-E450)*0.5*Dashboard!$B$18,(E450*POWER(1+$A$2,$R$2-($Q$2+A450))-E450)*0.5*Dashboard!$B$18+MAX(0,M450-E450*POWER(1+$A$2,$R$2-($Q$2+A450))*POWER(1+$C$2,$S$2-$R$2))*MAX(Dashboard!$C$18,Dashboard!$B$18)))))</f>
        <v>0</v>
      </c>
    </row>
    <row r="451" spans="1:14" x14ac:dyDescent="0.2">
      <c r="A451" s="22">
        <f t="shared" si="74"/>
        <v>446</v>
      </c>
      <c r="B451" s="23">
        <f t="shared" si="75"/>
        <v>55.22146118721507</v>
      </c>
      <c r="C451" t="str">
        <f t="shared" si="66"/>
        <v>55 y 2.66 m</v>
      </c>
      <c r="D451" s="24">
        <f>IF(A451&gt;=$E$2,IF(A451&lt;$E$2+$H$2,$P$2,0),IF(B451&lt;Dashboard!$I$6,0,IF(A451&gt;=$F$2,Dashboard!$C$22*POWER(1+$C$2,A451-$F$2),Dashboard!$C$22)))</f>
        <v>0</v>
      </c>
      <c r="E451" s="24">
        <f>IF(A451&gt;=$F$2,0,IF(A451=0,Dashboard!$G$10,IF(B451&lt;Dashboard!$I$6,IF($J$2&lt;=Dashboard!$H$10,Dashboard!$H$10,MAX(Dashboard!$H$10,MIN($J$2,Dashboard!$H$10*POWER($J$2/Dashboard!$H$10,A451/$D$2)))),$I$2-D451-Dashboard!$I$10-Dashboard!$J$10-Dashboard!$F$10*$I$2)))</f>
        <v>0</v>
      </c>
      <c r="F451" s="24">
        <f t="shared" si="67"/>
        <v>7195.0052450690455</v>
      </c>
      <c r="G451" s="24">
        <f t="shared" si="68"/>
        <v>9181.9122548605428</v>
      </c>
      <c r="H451" s="24">
        <f t="shared" si="69"/>
        <v>0</v>
      </c>
      <c r="I451" s="24">
        <f t="shared" si="70"/>
        <v>-9181.9122548605428</v>
      </c>
      <c r="J451" s="25">
        <f t="shared" si="71"/>
        <v>7.9741404289037643E-3</v>
      </c>
      <c r="K451" s="24">
        <f t="shared" si="76"/>
        <v>7086853.0786919575</v>
      </c>
      <c r="L451" s="24">
        <f t="shared" si="72"/>
        <v>7086853.0786919575</v>
      </c>
      <c r="M451" s="24">
        <f t="shared" si="73"/>
        <v>0</v>
      </c>
      <c r="N451" s="24">
        <f>IF(M451&lt;=0,0,IF($E$2-A451&lt;12,(M451-E451)*Dashboard!$B$18,IF($Q$2+A451&gt;=$R$2,MAX(0,M451-E451*POWER(1+$C$2,$E$2-A451))*MAX(Dashboard!$C$18,Dashboard!$B$18),IF($S$2&lt;$R$2,(M451-E451)*0.5*Dashboard!$B$18,(E451*POWER(1+$A$2,$R$2-($Q$2+A451))-E451)*0.5*Dashboard!$B$18+MAX(0,M451-E451*POWER(1+$A$2,$R$2-($Q$2+A451))*POWER(1+$C$2,$S$2-$R$2))*MAX(Dashboard!$C$18,Dashboard!$B$18)))))</f>
        <v>0</v>
      </c>
    </row>
    <row r="452" spans="1:14" x14ac:dyDescent="0.2">
      <c r="A452" s="22">
        <f t="shared" si="74"/>
        <v>447</v>
      </c>
      <c r="B452" s="23">
        <f t="shared" si="75"/>
        <v>55.304794520548406</v>
      </c>
      <c r="C452" t="str">
        <f t="shared" si="66"/>
        <v>55 y 3.66 m</v>
      </c>
      <c r="D452" s="24">
        <f>IF(A452&gt;=$E$2,IF(A452&lt;$E$2+$H$2,$P$2,0),IF(B452&lt;Dashboard!$I$6,0,IF(A452&gt;=$F$2,Dashboard!$C$22*POWER(1+$C$2,A452-$F$2),Dashboard!$C$22)))</f>
        <v>0</v>
      </c>
      <c r="E452" s="24">
        <f>IF(A452&gt;=$F$2,0,IF(A452=0,Dashboard!$G$10,IF(B452&lt;Dashboard!$I$6,IF($J$2&lt;=Dashboard!$H$10,Dashboard!$H$10,MAX(Dashboard!$H$10,MIN($J$2,Dashboard!$H$10*POWER($J$2/Dashboard!$H$10,A452/$D$2)))),$I$2-D452-Dashboard!$I$10-Dashboard!$J$10-Dashboard!$F$10*$I$2)))</f>
        <v>0</v>
      </c>
      <c r="F452" s="24">
        <f t="shared" si="67"/>
        <v>7209.825777834546</v>
      </c>
      <c r="G452" s="24">
        <f t="shared" si="68"/>
        <v>9203.0844445255425</v>
      </c>
      <c r="H452" s="24">
        <f t="shared" si="69"/>
        <v>0</v>
      </c>
      <c r="I452" s="24">
        <f t="shared" si="70"/>
        <v>-9203.0844445255425</v>
      </c>
      <c r="J452" s="25">
        <f t="shared" si="71"/>
        <v>7.9741404289037643E-3</v>
      </c>
      <c r="K452" s="24">
        <f t="shared" si="76"/>
        <v>7134088.1692081904</v>
      </c>
      <c r="L452" s="24">
        <f t="shared" si="72"/>
        <v>7134088.1692081904</v>
      </c>
      <c r="M452" s="24">
        <f t="shared" si="73"/>
        <v>0</v>
      </c>
      <c r="N452" s="24">
        <f>IF(M452&lt;=0,0,IF($E$2-A452&lt;12,(M452-E452)*Dashboard!$B$18,IF($Q$2+A452&gt;=$R$2,MAX(0,M452-E452*POWER(1+$C$2,$E$2-A452))*MAX(Dashboard!$C$18,Dashboard!$B$18),IF($S$2&lt;$R$2,(M452-E452)*0.5*Dashboard!$B$18,(E452*POWER(1+$A$2,$R$2-($Q$2+A452))-E452)*0.5*Dashboard!$B$18+MAX(0,M452-E452*POWER(1+$A$2,$R$2-($Q$2+A452))*POWER(1+$C$2,$S$2-$R$2))*MAX(Dashboard!$C$18,Dashboard!$B$18)))))</f>
        <v>0</v>
      </c>
    </row>
    <row r="453" spans="1:14" x14ac:dyDescent="0.2">
      <c r="A453" s="22">
        <f t="shared" si="74"/>
        <v>448</v>
      </c>
      <c r="B453" s="23">
        <f t="shared" si="75"/>
        <v>55.388127853881741</v>
      </c>
      <c r="C453" t="str">
        <f t="shared" ref="C453:C516" si="77">INT(B453)&amp;" y "&amp;ROUND((B453-INT(B453))*12,2)&amp;" m"</f>
        <v>55 y 4.66 m</v>
      </c>
      <c r="D453" s="24">
        <f>IF(A453&gt;=$E$2,IF(A453&lt;$E$2+$H$2,$P$2,0),IF(B453&lt;Dashboard!$I$6,0,IF(A453&gt;=$F$2,Dashboard!$C$22*POWER(1+$C$2,A453-$F$2),Dashboard!$C$22)))</f>
        <v>0</v>
      </c>
      <c r="E453" s="24">
        <f>IF(A453&gt;=$F$2,0,IF(A453=0,Dashboard!$G$10,IF(B453&lt;Dashboard!$I$6,IF($J$2&lt;=Dashboard!$H$10,Dashboard!$H$10,MAX(Dashboard!$H$10,MIN($J$2,Dashboard!$H$10*POWER($J$2/Dashboard!$H$10,A453/$D$2)))),$I$2-D453-Dashboard!$I$10-Dashboard!$J$10-Dashboard!$F$10*$I$2)))</f>
        <v>0</v>
      </c>
      <c r="F453" s="24">
        <f t="shared" ref="F453:F516" si="78">IF(A453&gt;=$F$2,$X$2*POWER(1+$C$2,A453-$F$2)+D453,0)</f>
        <v>7224.6768384709767</v>
      </c>
      <c r="G453" s="24">
        <f t="shared" ref="G453:G516" si="79">IF(F453&lt;=0,0,IF(F453*12&lt;=18200,F453,IF(F453*12&lt;=40712,(18200+(F453*12-18200)/0.84)/12,IF(F453*12&lt;=103712,(45000+(F453*12-40712)/0.7)/12,IF(F453*12&lt;=138362,(135000+(F453*12-103712)/0.63)/12,(190000+(F453*12-138362)/0.55)/12)))))</f>
        <v>9224.3002454347297</v>
      </c>
      <c r="H453" s="24">
        <f t="shared" ref="H453:H516" si="80">IF(A453=$E$2,$W$2,0)</f>
        <v>0</v>
      </c>
      <c r="I453" s="24">
        <f t="shared" ref="I453:I516" si="81">E453-G453-H453</f>
        <v>-9224.3002454347297</v>
      </c>
      <c r="J453" s="25">
        <f t="shared" ref="J453:J516" si="82">IF(A453&gt;=$F$2,$B$2,$A$2)</f>
        <v>7.9741404289037643E-3</v>
      </c>
      <c r="K453" s="24">
        <f t="shared" si="76"/>
        <v>7181678.5339906868</v>
      </c>
      <c r="L453" s="24">
        <f t="shared" ref="L453:L516" si="83">IF(A453&gt;=$F$2,K453,"")</f>
        <v>7181678.5339906868</v>
      </c>
      <c r="M453" s="24">
        <f t="shared" ref="M453:M516" si="84">IF(AND(A453&lt;$E$2,E453&gt;0),E453*POWER(1+$A$2,$E$2-A453),0)</f>
        <v>0</v>
      </c>
      <c r="N453" s="24">
        <f>IF(M453&lt;=0,0,IF($E$2-A453&lt;12,(M453-E453)*Dashboard!$B$18,IF($Q$2+A453&gt;=$R$2,MAX(0,M453-E453*POWER(1+$C$2,$E$2-A453))*MAX(Dashboard!$C$18,Dashboard!$B$18),IF($S$2&lt;$R$2,(M453-E453)*0.5*Dashboard!$B$18,(E453*POWER(1+$A$2,$R$2-($Q$2+A453))-E453)*0.5*Dashboard!$B$18+MAX(0,M453-E453*POWER(1+$A$2,$R$2-($Q$2+A453))*POWER(1+$C$2,$S$2-$R$2))*MAX(Dashboard!$C$18,Dashboard!$B$18)))))</f>
        <v>0</v>
      </c>
    </row>
    <row r="454" spans="1:14" x14ac:dyDescent="0.2">
      <c r="A454" s="22">
        <f t="shared" ref="A454:A517" si="85">A453+1</f>
        <v>449</v>
      </c>
      <c r="B454" s="23">
        <f t="shared" ref="B454:B517" si="86">B453+1/12</f>
        <v>55.471461187215077</v>
      </c>
      <c r="C454" t="str">
        <f t="shared" si="77"/>
        <v>55 y 5.66 m</v>
      </c>
      <c r="D454" s="24">
        <f>IF(A454&gt;=$E$2,IF(A454&lt;$E$2+$H$2,$P$2,0),IF(B454&lt;Dashboard!$I$6,0,IF(A454&gt;=$F$2,Dashboard!$C$22*POWER(1+$C$2,A454-$F$2),Dashboard!$C$22)))</f>
        <v>0</v>
      </c>
      <c r="E454" s="24">
        <f>IF(A454&gt;=$F$2,0,IF(A454=0,Dashboard!$G$10,IF(B454&lt;Dashboard!$I$6,IF($J$2&lt;=Dashboard!$H$10,Dashboard!$H$10,MAX(Dashboard!$H$10,MIN($J$2,Dashboard!$H$10*POWER($J$2/Dashboard!$H$10,A454/$D$2)))),$I$2-D454-Dashboard!$I$10-Dashboard!$J$10-Dashboard!$F$10*$I$2)))</f>
        <v>0</v>
      </c>
      <c r="F454" s="24">
        <f t="shared" si="78"/>
        <v>7239.5584898607522</v>
      </c>
      <c r="G454" s="24">
        <f t="shared" si="79"/>
        <v>9245.5597474201222</v>
      </c>
      <c r="H454" s="24">
        <f t="shared" si="80"/>
        <v>0</v>
      </c>
      <c r="I454" s="24">
        <f t="shared" si="81"/>
        <v>-9245.5597474201222</v>
      </c>
      <c r="J454" s="25">
        <f t="shared" si="82"/>
        <v>7.9741404289037643E-3</v>
      </c>
      <c r="K454" s="24">
        <f t="shared" ref="K454:K517" si="87">(K453+I454)*(1+J454)</f>
        <v>7229626.9619967826</v>
      </c>
      <c r="L454" s="24">
        <f t="shared" si="83"/>
        <v>7229626.9619967826</v>
      </c>
      <c r="M454" s="24">
        <f t="shared" si="84"/>
        <v>0</v>
      </c>
      <c r="N454" s="24">
        <f>IF(M454&lt;=0,0,IF($E$2-A454&lt;12,(M454-E454)*Dashboard!$B$18,IF($Q$2+A454&gt;=$R$2,MAX(0,M454-E454*POWER(1+$C$2,$E$2-A454))*MAX(Dashboard!$C$18,Dashboard!$B$18),IF($S$2&lt;$R$2,(M454-E454)*0.5*Dashboard!$B$18,(E454*POWER(1+$A$2,$R$2-($Q$2+A454))-E454)*0.5*Dashboard!$B$18+MAX(0,M454-E454*POWER(1+$A$2,$R$2-($Q$2+A454))*POWER(1+$C$2,$S$2-$R$2))*MAX(Dashboard!$C$18,Dashboard!$B$18)))))</f>
        <v>0</v>
      </c>
    </row>
    <row r="455" spans="1:14" x14ac:dyDescent="0.2">
      <c r="A455" s="22">
        <f t="shared" si="85"/>
        <v>450</v>
      </c>
      <c r="B455" s="23">
        <f t="shared" si="86"/>
        <v>55.554794520548413</v>
      </c>
      <c r="C455" t="str">
        <f t="shared" si="77"/>
        <v>55 y 6.66 m</v>
      </c>
      <c r="D455" s="24">
        <f>IF(A455&gt;=$E$2,IF(A455&lt;$E$2+$H$2,$P$2,0),IF(B455&lt;Dashboard!$I$6,0,IF(A455&gt;=$F$2,Dashboard!$C$22*POWER(1+$C$2,A455-$F$2),Dashboard!$C$22)))</f>
        <v>0</v>
      </c>
      <c r="E455" s="24">
        <f>IF(A455&gt;=$F$2,0,IF(A455=0,Dashboard!$G$10,IF(B455&lt;Dashboard!$I$6,IF($J$2&lt;=Dashboard!$H$10,Dashboard!$H$10,MAX(Dashboard!$H$10,MIN($J$2,Dashboard!$H$10*POWER($J$2/Dashboard!$H$10,A455/$D$2)))),$I$2-D455-Dashboard!$I$10-Dashboard!$J$10-Dashboard!$F$10*$I$2)))</f>
        <v>0</v>
      </c>
      <c r="F455" s="24">
        <f t="shared" si="78"/>
        <v>7254.4707950158154</v>
      </c>
      <c r="G455" s="24">
        <f t="shared" si="79"/>
        <v>9266.8630404987834</v>
      </c>
      <c r="H455" s="24">
        <f t="shared" si="80"/>
        <v>0</v>
      </c>
      <c r="I455" s="24">
        <f t="shared" si="81"/>
        <v>-9266.8630404987834</v>
      </c>
      <c r="J455" s="25">
        <f t="shared" si="82"/>
        <v>7.9741404289037643E-3</v>
      </c>
      <c r="K455" s="24">
        <f t="shared" si="87"/>
        <v>7277936.2643326148</v>
      </c>
      <c r="L455" s="24">
        <f t="shared" si="83"/>
        <v>7277936.2643326148</v>
      </c>
      <c r="M455" s="24">
        <f t="shared" si="84"/>
        <v>0</v>
      </c>
      <c r="N455" s="24">
        <f>IF(M455&lt;=0,0,IF($E$2-A455&lt;12,(M455-E455)*Dashboard!$B$18,IF($Q$2+A455&gt;=$R$2,MAX(0,M455-E455*POWER(1+$C$2,$E$2-A455))*MAX(Dashboard!$C$18,Dashboard!$B$18),IF($S$2&lt;$R$2,(M455-E455)*0.5*Dashboard!$B$18,(E455*POWER(1+$A$2,$R$2-($Q$2+A455))-E455)*0.5*Dashboard!$B$18+MAX(0,M455-E455*POWER(1+$A$2,$R$2-($Q$2+A455))*POWER(1+$C$2,$S$2-$R$2))*MAX(Dashboard!$C$18,Dashboard!$B$18)))))</f>
        <v>0</v>
      </c>
    </row>
    <row r="456" spans="1:14" x14ac:dyDescent="0.2">
      <c r="A456" s="22">
        <f t="shared" si="85"/>
        <v>451</v>
      </c>
      <c r="B456" s="23">
        <f t="shared" si="86"/>
        <v>55.638127853881748</v>
      </c>
      <c r="C456" t="str">
        <f t="shared" si="77"/>
        <v>55 y 7.66 m</v>
      </c>
      <c r="D456" s="24">
        <f>IF(A456&gt;=$E$2,IF(A456&lt;$E$2+$H$2,$P$2,0),IF(B456&lt;Dashboard!$I$6,0,IF(A456&gt;=$F$2,Dashboard!$C$22*POWER(1+$C$2,A456-$F$2),Dashboard!$C$22)))</f>
        <v>0</v>
      </c>
      <c r="E456" s="24">
        <f>IF(A456&gt;=$F$2,0,IF(A456=0,Dashboard!$G$10,IF(B456&lt;Dashboard!$I$6,IF($J$2&lt;=Dashboard!$H$10,Dashboard!$H$10,MAX(Dashboard!$H$10,MIN($J$2,Dashboard!$H$10*POWER($J$2/Dashboard!$H$10,A456/$D$2)))),$I$2-D456-Dashboard!$I$10-Dashboard!$J$10-Dashboard!$F$10*$I$2)))</f>
        <v>0</v>
      </c>
      <c r="F456" s="24">
        <f t="shared" si="78"/>
        <v>7269.4138170779033</v>
      </c>
      <c r="G456" s="24">
        <f t="shared" si="79"/>
        <v>9288.2102148731956</v>
      </c>
      <c r="H456" s="24">
        <f t="shared" si="80"/>
        <v>0</v>
      </c>
      <c r="I456" s="24">
        <f t="shared" si="81"/>
        <v>-9288.2102148731956</v>
      </c>
      <c r="J456" s="25">
        <f t="shared" si="82"/>
        <v>7.9741404289037643E-3</v>
      </c>
      <c r="K456" s="24">
        <f t="shared" si="87"/>
        <v>7326609.2744295551</v>
      </c>
      <c r="L456" s="24">
        <f t="shared" si="83"/>
        <v>7326609.2744295551</v>
      </c>
      <c r="M456" s="24">
        <f t="shared" si="84"/>
        <v>0</v>
      </c>
      <c r="N456" s="24">
        <f>IF(M456&lt;=0,0,IF($E$2-A456&lt;12,(M456-E456)*Dashboard!$B$18,IF($Q$2+A456&gt;=$R$2,MAX(0,M456-E456*POWER(1+$C$2,$E$2-A456))*MAX(Dashboard!$C$18,Dashboard!$B$18),IF($S$2&lt;$R$2,(M456-E456)*0.5*Dashboard!$B$18,(E456*POWER(1+$A$2,$R$2-($Q$2+A456))-E456)*0.5*Dashboard!$B$18+MAX(0,M456-E456*POWER(1+$A$2,$R$2-($Q$2+A456))*POWER(1+$C$2,$S$2-$R$2))*MAX(Dashboard!$C$18,Dashboard!$B$18)))))</f>
        <v>0</v>
      </c>
    </row>
    <row r="457" spans="1:14" x14ac:dyDescent="0.2">
      <c r="A457" s="22">
        <f t="shared" si="85"/>
        <v>452</v>
      </c>
      <c r="B457" s="23">
        <f t="shared" si="86"/>
        <v>55.721461187215084</v>
      </c>
      <c r="C457" t="str">
        <f t="shared" si="77"/>
        <v>55 y 8.66 m</v>
      </c>
      <c r="D457" s="24">
        <f>IF(A457&gt;=$E$2,IF(A457&lt;$E$2+$H$2,$P$2,0),IF(B457&lt;Dashboard!$I$6,0,IF(A457&gt;=$F$2,Dashboard!$C$22*POWER(1+$C$2,A457-$F$2),Dashboard!$C$22)))</f>
        <v>0</v>
      </c>
      <c r="E457" s="24">
        <f>IF(A457&gt;=$F$2,0,IF(A457=0,Dashboard!$G$10,IF(B457&lt;Dashboard!$I$6,IF($J$2&lt;=Dashboard!$H$10,Dashboard!$H$10,MAX(Dashboard!$H$10,MIN($J$2,Dashboard!$H$10*POWER($J$2/Dashboard!$H$10,A457/$D$2)))),$I$2-D457-Dashboard!$I$10-Dashboard!$J$10-Dashboard!$F$10*$I$2)))</f>
        <v>0</v>
      </c>
      <c r="F457" s="24">
        <f t="shared" si="78"/>
        <v>7284.3876193188162</v>
      </c>
      <c r="G457" s="24">
        <f t="shared" si="79"/>
        <v>9309.6013609316433</v>
      </c>
      <c r="H457" s="24">
        <f t="shared" si="80"/>
        <v>0</v>
      </c>
      <c r="I457" s="24">
        <f t="shared" si="81"/>
        <v>-9309.6013609316433</v>
      </c>
      <c r="J457" s="25">
        <f t="shared" si="82"/>
        <v>7.9741404289037643E-3</v>
      </c>
      <c r="K457" s="24">
        <f t="shared" si="87"/>
        <v>7375648.8482220443</v>
      </c>
      <c r="L457" s="24">
        <f t="shared" si="83"/>
        <v>7375648.8482220443</v>
      </c>
      <c r="M457" s="24">
        <f t="shared" si="84"/>
        <v>0</v>
      </c>
      <c r="N457" s="24">
        <f>IF(M457&lt;=0,0,IF($E$2-A457&lt;12,(M457-E457)*Dashboard!$B$18,IF($Q$2+A457&gt;=$R$2,MAX(0,M457-E457*POWER(1+$C$2,$E$2-A457))*MAX(Dashboard!$C$18,Dashboard!$B$18),IF($S$2&lt;$R$2,(M457-E457)*0.5*Dashboard!$B$18,(E457*POWER(1+$A$2,$R$2-($Q$2+A457))-E457)*0.5*Dashboard!$B$18+MAX(0,M457-E457*POWER(1+$A$2,$R$2-($Q$2+A457))*POWER(1+$C$2,$S$2-$R$2))*MAX(Dashboard!$C$18,Dashboard!$B$18)))))</f>
        <v>0</v>
      </c>
    </row>
    <row r="458" spans="1:14" x14ac:dyDescent="0.2">
      <c r="A458" s="22">
        <f t="shared" si="85"/>
        <v>453</v>
      </c>
      <c r="B458" s="23">
        <f t="shared" si="86"/>
        <v>55.80479452054842</v>
      </c>
      <c r="C458" t="str">
        <f t="shared" si="77"/>
        <v>55 y 9.66 m</v>
      </c>
      <c r="D458" s="24">
        <f>IF(A458&gt;=$E$2,IF(A458&lt;$E$2+$H$2,$P$2,0),IF(B458&lt;Dashboard!$I$6,0,IF(A458&gt;=$F$2,Dashboard!$C$22*POWER(1+$C$2,A458-$F$2),Dashboard!$C$22)))</f>
        <v>0</v>
      </c>
      <c r="E458" s="24">
        <f>IF(A458&gt;=$F$2,0,IF(A458=0,Dashboard!$G$10,IF(B458&lt;Dashboard!$I$6,IF($J$2&lt;=Dashboard!$H$10,Dashboard!$H$10,MAX(Dashboard!$H$10,MIN($J$2,Dashboard!$H$10*POWER($J$2/Dashboard!$H$10,A458/$D$2)))),$I$2-D458-Dashboard!$I$10-Dashboard!$J$10-Dashboard!$F$10*$I$2)))</f>
        <v>0</v>
      </c>
      <c r="F458" s="24">
        <f t="shared" si="78"/>
        <v>7299.392265140682</v>
      </c>
      <c r="G458" s="24">
        <f t="shared" si="79"/>
        <v>9331.0365692485921</v>
      </c>
      <c r="H458" s="24">
        <f t="shared" si="80"/>
        <v>0</v>
      </c>
      <c r="I458" s="24">
        <f t="shared" si="81"/>
        <v>-9331.0365692485921</v>
      </c>
      <c r="J458" s="25">
        <f t="shared" si="82"/>
        <v>7.9741404289037643E-3</v>
      </c>
      <c r="K458" s="24">
        <f t="shared" si="87"/>
        <v>7425057.8643268496</v>
      </c>
      <c r="L458" s="24">
        <f t="shared" si="83"/>
        <v>7425057.8643268496</v>
      </c>
      <c r="M458" s="24">
        <f t="shared" si="84"/>
        <v>0</v>
      </c>
      <c r="N458" s="24">
        <f>IF(M458&lt;=0,0,IF($E$2-A458&lt;12,(M458-E458)*Dashboard!$B$18,IF($Q$2+A458&gt;=$R$2,MAX(0,M458-E458*POWER(1+$C$2,$E$2-A458))*MAX(Dashboard!$C$18,Dashboard!$B$18),IF($S$2&lt;$R$2,(M458-E458)*0.5*Dashboard!$B$18,(E458*POWER(1+$A$2,$R$2-($Q$2+A458))-E458)*0.5*Dashboard!$B$18+MAX(0,M458-E458*POWER(1+$A$2,$R$2-($Q$2+A458))*POWER(1+$C$2,$S$2-$R$2))*MAX(Dashboard!$C$18,Dashboard!$B$18)))))</f>
        <v>0</v>
      </c>
    </row>
    <row r="459" spans="1:14" x14ac:dyDescent="0.2">
      <c r="A459" s="22">
        <f t="shared" si="85"/>
        <v>454</v>
      </c>
      <c r="B459" s="23">
        <f t="shared" si="86"/>
        <v>55.888127853881755</v>
      </c>
      <c r="C459" t="str">
        <f t="shared" si="77"/>
        <v>55 y 10.66 m</v>
      </c>
      <c r="D459" s="24">
        <f>IF(A459&gt;=$E$2,IF(A459&lt;$E$2+$H$2,$P$2,0),IF(B459&lt;Dashboard!$I$6,0,IF(A459&gt;=$F$2,Dashboard!$C$22*POWER(1+$C$2,A459-$F$2),Dashboard!$C$22)))</f>
        <v>0</v>
      </c>
      <c r="E459" s="24">
        <f>IF(A459&gt;=$F$2,0,IF(A459=0,Dashboard!$G$10,IF(B459&lt;Dashboard!$I$6,IF($J$2&lt;=Dashboard!$H$10,Dashboard!$H$10,MAX(Dashboard!$H$10,MIN($J$2,Dashboard!$H$10*POWER($J$2/Dashboard!$H$10,A459/$D$2)))),$I$2-D459-Dashboard!$I$10-Dashboard!$J$10-Dashboard!$F$10*$I$2)))</f>
        <v>0</v>
      </c>
      <c r="F459" s="24">
        <f t="shared" si="78"/>
        <v>7314.4278180762294</v>
      </c>
      <c r="G459" s="24">
        <f t="shared" si="79"/>
        <v>9352.5159305850884</v>
      </c>
      <c r="H459" s="24">
        <f t="shared" si="80"/>
        <v>0</v>
      </c>
      <c r="I459" s="24">
        <f t="shared" si="81"/>
        <v>-9352.5159305850884</v>
      </c>
      <c r="J459" s="25">
        <f t="shared" si="82"/>
        <v>7.9741404289037643E-3</v>
      </c>
      <c r="K459" s="24">
        <f t="shared" si="87"/>
        <v>7474839.2242237497</v>
      </c>
      <c r="L459" s="24">
        <f t="shared" si="83"/>
        <v>7474839.2242237497</v>
      </c>
      <c r="M459" s="24">
        <f t="shared" si="84"/>
        <v>0</v>
      </c>
      <c r="N459" s="24">
        <f>IF(M459&lt;=0,0,IF($E$2-A459&lt;12,(M459-E459)*Dashboard!$B$18,IF($Q$2+A459&gt;=$R$2,MAX(0,M459-E459*POWER(1+$C$2,$E$2-A459))*MAX(Dashboard!$C$18,Dashboard!$B$18),IF($S$2&lt;$R$2,(M459-E459)*0.5*Dashboard!$B$18,(E459*POWER(1+$A$2,$R$2-($Q$2+A459))-E459)*0.5*Dashboard!$B$18+MAX(0,M459-E459*POWER(1+$A$2,$R$2-($Q$2+A459))*POWER(1+$C$2,$S$2-$R$2))*MAX(Dashboard!$C$18,Dashboard!$B$18)))))</f>
        <v>0</v>
      </c>
    </row>
    <row r="460" spans="1:14" x14ac:dyDescent="0.2">
      <c r="A460" s="22">
        <f t="shared" si="85"/>
        <v>455</v>
      </c>
      <c r="B460" s="23">
        <f t="shared" si="86"/>
        <v>55.971461187215091</v>
      </c>
      <c r="C460" t="str">
        <f t="shared" si="77"/>
        <v>55 y 11.66 m</v>
      </c>
      <c r="D460" s="24">
        <f>IF(A460&gt;=$E$2,IF(A460&lt;$E$2+$H$2,$P$2,0),IF(B460&lt;Dashboard!$I$6,0,IF(A460&gt;=$F$2,Dashboard!$C$22*POWER(1+$C$2,A460-$F$2),Dashboard!$C$22)))</f>
        <v>0</v>
      </c>
      <c r="E460" s="24">
        <f>IF(A460&gt;=$F$2,0,IF(A460=0,Dashboard!$G$10,IF(B460&lt;Dashboard!$I$6,IF($J$2&lt;=Dashboard!$H$10,Dashboard!$H$10,MAX(Dashboard!$H$10,MIN($J$2,Dashboard!$H$10*POWER($J$2/Dashboard!$H$10,A460/$D$2)))),$I$2-D460-Dashboard!$I$10-Dashboard!$J$10-Dashboard!$F$10*$I$2)))</f>
        <v>0</v>
      </c>
      <c r="F460" s="24">
        <f t="shared" si="78"/>
        <v>7329.494341789049</v>
      </c>
      <c r="G460" s="24">
        <f t="shared" si="79"/>
        <v>9374.0395358891165</v>
      </c>
      <c r="H460" s="24">
        <f t="shared" si="80"/>
        <v>0</v>
      </c>
      <c r="I460" s="24">
        <f t="shared" si="81"/>
        <v>-9374.0395358891165</v>
      </c>
      <c r="J460" s="25">
        <f t="shared" si="82"/>
        <v>7.9741404289037643E-3</v>
      </c>
      <c r="K460" s="24">
        <f t="shared" si="87"/>
        <v>7524995.8524376536</v>
      </c>
      <c r="L460" s="24">
        <f t="shared" si="83"/>
        <v>7524995.8524376536</v>
      </c>
      <c r="M460" s="24">
        <f t="shared" si="84"/>
        <v>0</v>
      </c>
      <c r="N460" s="24">
        <f>IF(M460&lt;=0,0,IF($E$2-A460&lt;12,(M460-E460)*Dashboard!$B$18,IF($Q$2+A460&gt;=$R$2,MAX(0,M460-E460*POWER(1+$C$2,$E$2-A460))*MAX(Dashboard!$C$18,Dashboard!$B$18),IF($S$2&lt;$R$2,(M460-E460)*0.5*Dashboard!$B$18,(E460*POWER(1+$A$2,$R$2-($Q$2+A460))-E460)*0.5*Dashboard!$B$18+MAX(0,M460-E460*POWER(1+$A$2,$R$2-($Q$2+A460))*POWER(1+$C$2,$S$2-$R$2))*MAX(Dashboard!$C$18,Dashboard!$B$18)))))</f>
        <v>0</v>
      </c>
    </row>
    <row r="461" spans="1:14" x14ac:dyDescent="0.2">
      <c r="A461" s="22">
        <f t="shared" si="85"/>
        <v>456</v>
      </c>
      <c r="B461" s="23">
        <f t="shared" si="86"/>
        <v>56.054794520548427</v>
      </c>
      <c r="C461" t="str">
        <f t="shared" si="77"/>
        <v>56 y 0.66 m</v>
      </c>
      <c r="D461" s="24">
        <f>IF(A461&gt;=$E$2,IF(A461&lt;$E$2+$H$2,$P$2,0),IF(B461&lt;Dashboard!$I$6,0,IF(A461&gt;=$F$2,Dashboard!$C$22*POWER(1+$C$2,A461-$F$2),Dashboard!$C$22)))</f>
        <v>0</v>
      </c>
      <c r="E461" s="24">
        <f>IF(A461&gt;=$F$2,0,IF(A461=0,Dashboard!$G$10,IF(B461&lt;Dashboard!$I$6,IF($J$2&lt;=Dashboard!$H$10,Dashboard!$H$10,MAX(Dashboard!$H$10,MIN($J$2,Dashboard!$H$10*POWER($J$2/Dashboard!$H$10,A461/$D$2)))),$I$2-D461-Dashboard!$I$10-Dashboard!$J$10-Dashboard!$F$10*$I$2)))</f>
        <v>0</v>
      </c>
      <c r="F461" s="24">
        <f t="shared" si="78"/>
        <v>7344.5919000738731</v>
      </c>
      <c r="G461" s="24">
        <f t="shared" si="79"/>
        <v>9395.6074762960106</v>
      </c>
      <c r="H461" s="24">
        <f t="shared" si="80"/>
        <v>0</v>
      </c>
      <c r="I461" s="24">
        <f t="shared" si="81"/>
        <v>-9395.6074762960106</v>
      </c>
      <c r="J461" s="25">
        <f t="shared" si="82"/>
        <v>7.9741404289037643E-3</v>
      </c>
      <c r="K461" s="24">
        <f t="shared" si="87"/>
        <v>7575530.6967221834</v>
      </c>
      <c r="L461" s="24">
        <f t="shared" si="83"/>
        <v>7575530.6967221834</v>
      </c>
      <c r="M461" s="24">
        <f t="shared" si="84"/>
        <v>0</v>
      </c>
      <c r="N461" s="24">
        <f>IF(M461&lt;=0,0,IF($E$2-A461&lt;12,(M461-E461)*Dashboard!$B$18,IF($Q$2+A461&gt;=$R$2,MAX(0,M461-E461*POWER(1+$C$2,$E$2-A461))*MAX(Dashboard!$C$18,Dashboard!$B$18),IF($S$2&lt;$R$2,(M461-E461)*0.5*Dashboard!$B$18,(E461*POWER(1+$A$2,$R$2-($Q$2+A461))-E461)*0.5*Dashboard!$B$18+MAX(0,M461-E461*POWER(1+$A$2,$R$2-($Q$2+A461))*POWER(1+$C$2,$S$2-$R$2))*MAX(Dashboard!$C$18,Dashboard!$B$18)))))</f>
        <v>0</v>
      </c>
    </row>
    <row r="462" spans="1:14" x14ac:dyDescent="0.2">
      <c r="A462" s="22">
        <f t="shared" si="85"/>
        <v>457</v>
      </c>
      <c r="B462" s="23">
        <f t="shared" si="86"/>
        <v>56.138127853881763</v>
      </c>
      <c r="C462" t="str">
        <f t="shared" si="77"/>
        <v>56 y 1.66 m</v>
      </c>
      <c r="D462" s="24">
        <f>IF(A462&gt;=$E$2,IF(A462&lt;$E$2+$H$2,$P$2,0),IF(B462&lt;Dashboard!$I$6,0,IF(A462&gt;=$F$2,Dashboard!$C$22*POWER(1+$C$2,A462-$F$2),Dashboard!$C$22)))</f>
        <v>0</v>
      </c>
      <c r="E462" s="24">
        <f>IF(A462&gt;=$F$2,0,IF(A462=0,Dashboard!$G$10,IF(B462&lt;Dashboard!$I$6,IF($J$2&lt;=Dashboard!$H$10,Dashboard!$H$10,MAX(Dashboard!$H$10,MIN($J$2,Dashboard!$H$10*POWER($J$2/Dashboard!$H$10,A462/$D$2)))),$I$2-D462-Dashboard!$I$10-Dashboard!$J$10-Dashboard!$F$10*$I$2)))</f>
        <v>0</v>
      </c>
      <c r="F462" s="24">
        <f t="shared" si="78"/>
        <v>7359.7205568568388</v>
      </c>
      <c r="G462" s="24">
        <f t="shared" si="79"/>
        <v>9417.219843128818</v>
      </c>
      <c r="H462" s="24">
        <f t="shared" si="80"/>
        <v>0</v>
      </c>
      <c r="I462" s="24">
        <f t="shared" si="81"/>
        <v>-9417.219843128818</v>
      </c>
      <c r="J462" s="25">
        <f t="shared" si="82"/>
        <v>7.9741404289037643E-3</v>
      </c>
      <c r="K462" s="24">
        <f t="shared" si="87"/>
        <v>7626446.7282447098</v>
      </c>
      <c r="L462" s="24">
        <f t="shared" si="83"/>
        <v>7626446.7282447098</v>
      </c>
      <c r="M462" s="24">
        <f t="shared" si="84"/>
        <v>0</v>
      </c>
      <c r="N462" s="24">
        <f>IF(M462&lt;=0,0,IF($E$2-A462&lt;12,(M462-E462)*Dashboard!$B$18,IF($Q$2+A462&gt;=$R$2,MAX(0,M462-E462*POWER(1+$C$2,$E$2-A462))*MAX(Dashboard!$C$18,Dashboard!$B$18),IF($S$2&lt;$R$2,(M462-E462)*0.5*Dashboard!$B$18,(E462*POWER(1+$A$2,$R$2-($Q$2+A462))-E462)*0.5*Dashboard!$B$18+MAX(0,M462-E462*POWER(1+$A$2,$R$2-($Q$2+A462))*POWER(1+$C$2,$S$2-$R$2))*MAX(Dashboard!$C$18,Dashboard!$B$18)))))</f>
        <v>0</v>
      </c>
    </row>
    <row r="463" spans="1:14" x14ac:dyDescent="0.2">
      <c r="A463" s="22">
        <f t="shared" si="85"/>
        <v>458</v>
      </c>
      <c r="B463" s="23">
        <f t="shared" si="86"/>
        <v>56.221461187215098</v>
      </c>
      <c r="C463" t="str">
        <f t="shared" si="77"/>
        <v>56 y 2.66 m</v>
      </c>
      <c r="D463" s="24">
        <f>IF(A463&gt;=$E$2,IF(A463&lt;$E$2+$H$2,$P$2,0),IF(B463&lt;Dashboard!$I$6,0,IF(A463&gt;=$F$2,Dashboard!$C$22*POWER(1+$C$2,A463-$F$2),Dashboard!$C$22)))</f>
        <v>0</v>
      </c>
      <c r="E463" s="24">
        <f>IF(A463&gt;=$F$2,0,IF(A463=0,Dashboard!$G$10,IF(B463&lt;Dashboard!$I$6,IF($J$2&lt;=Dashboard!$H$10,Dashboard!$H$10,MAX(Dashboard!$H$10,MIN($J$2,Dashboard!$H$10*POWER($J$2/Dashboard!$H$10,A463/$D$2)))),$I$2-D463-Dashboard!$I$10-Dashboard!$J$10-Dashboard!$F$10*$I$2)))</f>
        <v>0</v>
      </c>
      <c r="F463" s="24">
        <f t="shared" si="78"/>
        <v>7374.8803761957597</v>
      </c>
      <c r="G463" s="24">
        <f t="shared" si="79"/>
        <v>9438.8767278987052</v>
      </c>
      <c r="H463" s="24">
        <f t="shared" si="80"/>
        <v>0</v>
      </c>
      <c r="I463" s="24">
        <f t="shared" si="81"/>
        <v>-9438.8767278987052</v>
      </c>
      <c r="J463" s="25">
        <f t="shared" si="82"/>
        <v>7.9741404289037643E-3</v>
      </c>
      <c r="K463" s="24">
        <f t="shared" si="87"/>
        <v>7677746.9417728689</v>
      </c>
      <c r="L463" s="24">
        <f t="shared" si="83"/>
        <v>7677746.9417728689</v>
      </c>
      <c r="M463" s="24">
        <f t="shared" si="84"/>
        <v>0</v>
      </c>
      <c r="N463" s="24">
        <f>IF(M463&lt;=0,0,IF($E$2-A463&lt;12,(M463-E463)*Dashboard!$B$18,IF($Q$2+A463&gt;=$R$2,MAX(0,M463-E463*POWER(1+$C$2,$E$2-A463))*MAX(Dashboard!$C$18,Dashboard!$B$18),IF($S$2&lt;$R$2,(M463-E463)*0.5*Dashboard!$B$18,(E463*POWER(1+$A$2,$R$2-($Q$2+A463))-E463)*0.5*Dashboard!$B$18+MAX(0,M463-E463*POWER(1+$A$2,$R$2-($Q$2+A463))*POWER(1+$C$2,$S$2-$R$2))*MAX(Dashboard!$C$18,Dashboard!$B$18)))))</f>
        <v>0</v>
      </c>
    </row>
    <row r="464" spans="1:14" x14ac:dyDescent="0.2">
      <c r="A464" s="22">
        <f t="shared" si="85"/>
        <v>459</v>
      </c>
      <c r="B464" s="23">
        <f t="shared" si="86"/>
        <v>56.304794520548434</v>
      </c>
      <c r="C464" t="str">
        <f t="shared" si="77"/>
        <v>56 y 3.66 m</v>
      </c>
      <c r="D464" s="24">
        <f>IF(A464&gt;=$E$2,IF(A464&lt;$E$2+$H$2,$P$2,0),IF(B464&lt;Dashboard!$I$6,0,IF(A464&gt;=$F$2,Dashboard!$C$22*POWER(1+$C$2,A464-$F$2),Dashboard!$C$22)))</f>
        <v>0</v>
      </c>
      <c r="E464" s="24">
        <f>IF(A464&gt;=$F$2,0,IF(A464=0,Dashboard!$G$10,IF(B464&lt;Dashboard!$I$6,IF($J$2&lt;=Dashboard!$H$10,Dashboard!$H$10,MAX(Dashboard!$H$10,MIN($J$2,Dashboard!$H$10*POWER($J$2/Dashboard!$H$10,A464/$D$2)))),$I$2-D464-Dashboard!$I$10-Dashboard!$J$10-Dashboard!$F$10*$I$2)))</f>
        <v>0</v>
      </c>
      <c r="F464" s="24">
        <f t="shared" si="78"/>
        <v>7390.0714222803999</v>
      </c>
      <c r="G464" s="24">
        <f t="shared" si="79"/>
        <v>9460.5782223053338</v>
      </c>
      <c r="H464" s="24">
        <f t="shared" si="80"/>
        <v>0</v>
      </c>
      <c r="I464" s="24">
        <f t="shared" si="81"/>
        <v>-9460.5782223053338</v>
      </c>
      <c r="J464" s="25">
        <f t="shared" si="82"/>
        <v>7.9741404289037643E-3</v>
      </c>
      <c r="K464" s="24">
        <f t="shared" si="87"/>
        <v>7729434.3558625635</v>
      </c>
      <c r="L464" s="24">
        <f t="shared" si="83"/>
        <v>7729434.3558625635</v>
      </c>
      <c r="M464" s="24">
        <f t="shared" si="84"/>
        <v>0</v>
      </c>
      <c r="N464" s="24">
        <f>IF(M464&lt;=0,0,IF($E$2-A464&lt;12,(M464-E464)*Dashboard!$B$18,IF($Q$2+A464&gt;=$R$2,MAX(0,M464-E464*POWER(1+$C$2,$E$2-A464))*MAX(Dashboard!$C$18,Dashboard!$B$18),IF($S$2&lt;$R$2,(M464-E464)*0.5*Dashboard!$B$18,(E464*POWER(1+$A$2,$R$2-($Q$2+A464))-E464)*0.5*Dashboard!$B$18+MAX(0,M464-E464*POWER(1+$A$2,$R$2-($Q$2+A464))*POWER(1+$C$2,$S$2-$R$2))*MAX(Dashboard!$C$18,Dashboard!$B$18)))))</f>
        <v>0</v>
      </c>
    </row>
    <row r="465" spans="1:14" x14ac:dyDescent="0.2">
      <c r="A465" s="22">
        <f t="shared" si="85"/>
        <v>460</v>
      </c>
      <c r="B465" s="23">
        <f t="shared" si="86"/>
        <v>56.38812785388177</v>
      </c>
      <c r="C465" t="str">
        <f t="shared" si="77"/>
        <v>56 y 4.66 m</v>
      </c>
      <c r="D465" s="24">
        <f>IF(A465&gt;=$E$2,IF(A465&lt;$E$2+$H$2,$P$2,0),IF(B465&lt;Dashboard!$I$6,0,IF(A465&gt;=$F$2,Dashboard!$C$22*POWER(1+$C$2,A465-$F$2),Dashboard!$C$22)))</f>
        <v>0</v>
      </c>
      <c r="E465" s="24">
        <f>IF(A465&gt;=$F$2,0,IF(A465=0,Dashboard!$G$10,IF(B465&lt;Dashboard!$I$6,IF($J$2&lt;=Dashboard!$H$10,Dashboard!$H$10,MAX(Dashboard!$H$10,MIN($J$2,Dashboard!$H$10*POWER($J$2/Dashboard!$H$10,A465/$D$2)))),$I$2-D465-Dashboard!$I$10-Dashboard!$J$10-Dashboard!$F$10*$I$2)))</f>
        <v>0</v>
      </c>
      <c r="F465" s="24">
        <f t="shared" si="78"/>
        <v>7405.2937594327395</v>
      </c>
      <c r="G465" s="24">
        <f t="shared" si="79"/>
        <v>9482.3244182372491</v>
      </c>
      <c r="H465" s="24">
        <f t="shared" si="80"/>
        <v>0</v>
      </c>
      <c r="I465" s="24">
        <f t="shared" si="81"/>
        <v>-9482.3244182372491</v>
      </c>
      <c r="J465" s="25">
        <f t="shared" si="82"/>
        <v>7.9741404289037643E-3</v>
      </c>
      <c r="K465" s="24">
        <f t="shared" si="87"/>
        <v>7781512.0130474642</v>
      </c>
      <c r="L465" s="24">
        <f t="shared" si="83"/>
        <v>7781512.0130474642</v>
      </c>
      <c r="M465" s="24">
        <f t="shared" si="84"/>
        <v>0</v>
      </c>
      <c r="N465" s="24">
        <f>IF(M465&lt;=0,0,IF($E$2-A465&lt;12,(M465-E465)*Dashboard!$B$18,IF($Q$2+A465&gt;=$R$2,MAX(0,M465-E465*POWER(1+$C$2,$E$2-A465))*MAX(Dashboard!$C$18,Dashboard!$B$18),IF($S$2&lt;$R$2,(M465-E465)*0.5*Dashboard!$B$18,(E465*POWER(1+$A$2,$R$2-($Q$2+A465))-E465)*0.5*Dashboard!$B$18+MAX(0,M465-E465*POWER(1+$A$2,$R$2-($Q$2+A465))*POWER(1+$C$2,$S$2-$R$2))*MAX(Dashboard!$C$18,Dashboard!$B$18)))))</f>
        <v>0</v>
      </c>
    </row>
    <row r="466" spans="1:14" x14ac:dyDescent="0.2">
      <c r="A466" s="22">
        <f t="shared" si="85"/>
        <v>461</v>
      </c>
      <c r="B466" s="23">
        <f t="shared" si="86"/>
        <v>56.471461187215105</v>
      </c>
      <c r="C466" t="str">
        <f t="shared" si="77"/>
        <v>56 y 5.66 m</v>
      </c>
      <c r="D466" s="24">
        <f>IF(A466&gt;=$E$2,IF(A466&lt;$E$2+$H$2,$P$2,0),IF(B466&lt;Dashboard!$I$6,0,IF(A466&gt;=$F$2,Dashboard!$C$22*POWER(1+$C$2,A466-$F$2),Dashboard!$C$22)))</f>
        <v>0</v>
      </c>
      <c r="E466" s="24">
        <f>IF(A466&gt;=$F$2,0,IF(A466=0,Dashboard!$G$10,IF(B466&lt;Dashboard!$I$6,IF($J$2&lt;=Dashboard!$H$10,Dashboard!$H$10,MAX(Dashboard!$H$10,MIN($J$2,Dashboard!$H$10*POWER($J$2/Dashboard!$H$10,A466/$D$2)))),$I$2-D466-Dashboard!$I$10-Dashboard!$J$10-Dashboard!$F$10*$I$2)))</f>
        <v>0</v>
      </c>
      <c r="F466" s="24">
        <f t="shared" si="78"/>
        <v>7420.5474521072592</v>
      </c>
      <c r="G466" s="24">
        <f t="shared" si="79"/>
        <v>9504.1154077722749</v>
      </c>
      <c r="H466" s="24">
        <f t="shared" si="80"/>
        <v>0</v>
      </c>
      <c r="I466" s="24">
        <f t="shared" si="81"/>
        <v>-9504.1154077722749</v>
      </c>
      <c r="J466" s="25">
        <f t="shared" si="82"/>
        <v>7.9741404289037643E-3</v>
      </c>
      <c r="K466" s="24">
        <f t="shared" si="87"/>
        <v>7833982.9800300198</v>
      </c>
      <c r="L466" s="24">
        <f t="shared" si="83"/>
        <v>7833982.9800300198</v>
      </c>
      <c r="M466" s="24">
        <f t="shared" si="84"/>
        <v>0</v>
      </c>
      <c r="N466" s="24">
        <f>IF(M466&lt;=0,0,IF($E$2-A466&lt;12,(M466-E466)*Dashboard!$B$18,IF($Q$2+A466&gt;=$R$2,MAX(0,M466-E466*POWER(1+$C$2,$E$2-A466))*MAX(Dashboard!$C$18,Dashboard!$B$18),IF($S$2&lt;$R$2,(M466-E466)*0.5*Dashboard!$B$18,(E466*POWER(1+$A$2,$R$2-($Q$2+A466))-E466)*0.5*Dashboard!$B$18+MAX(0,M466-E466*POWER(1+$A$2,$R$2-($Q$2+A466))*POWER(1+$C$2,$S$2-$R$2))*MAX(Dashboard!$C$18,Dashboard!$B$18)))))</f>
        <v>0</v>
      </c>
    </row>
    <row r="467" spans="1:14" x14ac:dyDescent="0.2">
      <c r="A467" s="22">
        <f t="shared" si="85"/>
        <v>462</v>
      </c>
      <c r="B467" s="23">
        <f t="shared" si="86"/>
        <v>56.554794520548441</v>
      </c>
      <c r="C467" t="str">
        <f t="shared" si="77"/>
        <v>56 y 6.66 m</v>
      </c>
      <c r="D467" s="24">
        <f>IF(A467&gt;=$E$2,IF(A467&lt;$E$2+$H$2,$P$2,0),IF(B467&lt;Dashboard!$I$6,0,IF(A467&gt;=$F$2,Dashboard!$C$22*POWER(1+$C$2,A467-$F$2),Dashboard!$C$22)))</f>
        <v>0</v>
      </c>
      <c r="E467" s="24">
        <f>IF(A467&gt;=$F$2,0,IF(A467=0,Dashboard!$G$10,IF(B467&lt;Dashboard!$I$6,IF($J$2&lt;=Dashboard!$H$10,Dashboard!$H$10,MAX(Dashboard!$H$10,MIN($J$2,Dashboard!$H$10*POWER($J$2/Dashboard!$H$10,A467/$D$2)))),$I$2-D467-Dashboard!$I$10-Dashboard!$J$10-Dashboard!$F$10*$I$2)))</f>
        <v>0</v>
      </c>
      <c r="F467" s="24">
        <f t="shared" si="78"/>
        <v>7435.8325648912005</v>
      </c>
      <c r="G467" s="24">
        <f t="shared" si="79"/>
        <v>9525.9512831779066</v>
      </c>
      <c r="H467" s="24">
        <f t="shared" si="80"/>
        <v>0</v>
      </c>
      <c r="I467" s="24">
        <f t="shared" si="81"/>
        <v>-9525.9512831779066</v>
      </c>
      <c r="J467" s="25">
        <f t="shared" si="82"/>
        <v>7.9741404289037643E-3</v>
      </c>
      <c r="K467" s="24">
        <f t="shared" si="87"/>
        <v>7886850.3478739923</v>
      </c>
      <c r="L467" s="24">
        <f t="shared" si="83"/>
        <v>7886850.3478739923</v>
      </c>
      <c r="M467" s="24">
        <f t="shared" si="84"/>
        <v>0</v>
      </c>
      <c r="N467" s="24">
        <f>IF(M467&lt;=0,0,IF($E$2-A467&lt;12,(M467-E467)*Dashboard!$B$18,IF($Q$2+A467&gt;=$R$2,MAX(0,M467-E467*POWER(1+$C$2,$E$2-A467))*MAX(Dashboard!$C$18,Dashboard!$B$18),IF($S$2&lt;$R$2,(M467-E467)*0.5*Dashboard!$B$18,(E467*POWER(1+$A$2,$R$2-($Q$2+A467))-E467)*0.5*Dashboard!$B$18+MAX(0,M467-E467*POWER(1+$A$2,$R$2-($Q$2+A467))*POWER(1+$C$2,$S$2-$R$2))*MAX(Dashboard!$C$18,Dashboard!$B$18)))))</f>
        <v>0</v>
      </c>
    </row>
    <row r="468" spans="1:14" x14ac:dyDescent="0.2">
      <c r="A468" s="22">
        <f t="shared" si="85"/>
        <v>463</v>
      </c>
      <c r="B468" s="23">
        <f t="shared" si="86"/>
        <v>56.638127853881777</v>
      </c>
      <c r="C468" t="str">
        <f t="shared" si="77"/>
        <v>56 y 7.66 m</v>
      </c>
      <c r="D468" s="24">
        <f>IF(A468&gt;=$E$2,IF(A468&lt;$E$2+$H$2,$P$2,0),IF(B468&lt;Dashboard!$I$6,0,IF(A468&gt;=$F$2,Dashboard!$C$22*POWER(1+$C$2,A468-$F$2),Dashboard!$C$22)))</f>
        <v>0</v>
      </c>
      <c r="E468" s="24">
        <f>IF(A468&gt;=$F$2,0,IF(A468=0,Dashboard!$G$10,IF(B468&lt;Dashboard!$I$6,IF($J$2&lt;=Dashboard!$H$10,Dashboard!$H$10,MAX(Dashboard!$H$10,MIN($J$2,Dashboard!$H$10*POWER($J$2/Dashboard!$H$10,A468/$D$2)))),$I$2-D468-Dashboard!$I$10-Dashboard!$J$10-Dashboard!$F$10*$I$2)))</f>
        <v>0</v>
      </c>
      <c r="F468" s="24">
        <f t="shared" si="78"/>
        <v>7451.1491625048402</v>
      </c>
      <c r="G468" s="24">
        <f t="shared" si="79"/>
        <v>9547.8321369116766</v>
      </c>
      <c r="H468" s="24">
        <f t="shared" si="80"/>
        <v>0</v>
      </c>
      <c r="I468" s="24">
        <f t="shared" si="81"/>
        <v>-9547.8321369116766</v>
      </c>
      <c r="J468" s="25">
        <f t="shared" si="82"/>
        <v>7.9741404289037643E-3</v>
      </c>
      <c r="K468" s="24">
        <f t="shared" si="87"/>
        <v>7940117.2321985252</v>
      </c>
      <c r="L468" s="24">
        <f t="shared" si="83"/>
        <v>7940117.2321985252</v>
      </c>
      <c r="M468" s="24">
        <f t="shared" si="84"/>
        <v>0</v>
      </c>
      <c r="N468" s="24">
        <f>IF(M468&lt;=0,0,IF($E$2-A468&lt;12,(M468-E468)*Dashboard!$B$18,IF($Q$2+A468&gt;=$R$2,MAX(0,M468-E468*POWER(1+$C$2,$E$2-A468))*MAX(Dashboard!$C$18,Dashboard!$B$18),IF($S$2&lt;$R$2,(M468-E468)*0.5*Dashboard!$B$18,(E468*POWER(1+$A$2,$R$2-($Q$2+A468))-E468)*0.5*Dashboard!$B$18+MAX(0,M468-E468*POWER(1+$A$2,$R$2-($Q$2+A468))*POWER(1+$C$2,$S$2-$R$2))*MAX(Dashboard!$C$18,Dashboard!$B$18)))))</f>
        <v>0</v>
      </c>
    </row>
    <row r="469" spans="1:14" x14ac:dyDescent="0.2">
      <c r="A469" s="22">
        <f t="shared" si="85"/>
        <v>464</v>
      </c>
      <c r="B469" s="23">
        <f t="shared" si="86"/>
        <v>56.721461187215112</v>
      </c>
      <c r="C469" t="str">
        <f t="shared" si="77"/>
        <v>56 y 8.66 m</v>
      </c>
      <c r="D469" s="24">
        <f>IF(A469&gt;=$E$2,IF(A469&lt;$E$2+$H$2,$P$2,0),IF(B469&lt;Dashboard!$I$6,0,IF(A469&gt;=$F$2,Dashboard!$C$22*POWER(1+$C$2,A469-$F$2),Dashboard!$C$22)))</f>
        <v>0</v>
      </c>
      <c r="E469" s="24">
        <f>IF(A469&gt;=$F$2,0,IF(A469=0,Dashboard!$G$10,IF(B469&lt;Dashboard!$I$6,IF($J$2&lt;=Dashboard!$H$10,Dashboard!$H$10,MAX(Dashboard!$H$10,MIN($J$2,Dashboard!$H$10*POWER($J$2/Dashboard!$H$10,A469/$D$2)))),$I$2-D469-Dashboard!$I$10-Dashboard!$J$10-Dashboard!$F$10*$I$2)))</f>
        <v>0</v>
      </c>
      <c r="F469" s="24">
        <f t="shared" si="78"/>
        <v>7466.4973098017763</v>
      </c>
      <c r="G469" s="24">
        <f t="shared" si="79"/>
        <v>9569.7580616215855</v>
      </c>
      <c r="H469" s="24">
        <f t="shared" si="80"/>
        <v>0</v>
      </c>
      <c r="I469" s="24">
        <f t="shared" si="81"/>
        <v>-9569.7580616215855</v>
      </c>
      <c r="J469" s="25">
        <f t="shared" si="82"/>
        <v>7.9741404289037643E-3</v>
      </c>
      <c r="K469" s="24">
        <f t="shared" si="87"/>
        <v>7993786.7733737594</v>
      </c>
      <c r="L469" s="24">
        <f t="shared" si="83"/>
        <v>7993786.7733737594</v>
      </c>
      <c r="M469" s="24">
        <f t="shared" si="84"/>
        <v>0</v>
      </c>
      <c r="N469" s="24">
        <f>IF(M469&lt;=0,0,IF($E$2-A469&lt;12,(M469-E469)*Dashboard!$B$18,IF($Q$2+A469&gt;=$R$2,MAX(0,M469-E469*POWER(1+$C$2,$E$2-A469))*MAX(Dashboard!$C$18,Dashboard!$B$18),IF($S$2&lt;$R$2,(M469-E469)*0.5*Dashboard!$B$18,(E469*POWER(1+$A$2,$R$2-($Q$2+A469))-E469)*0.5*Dashboard!$B$18+MAX(0,M469-E469*POWER(1+$A$2,$R$2-($Q$2+A469))*POWER(1+$C$2,$S$2-$R$2))*MAX(Dashboard!$C$18,Dashboard!$B$18)))))</f>
        <v>0</v>
      </c>
    </row>
    <row r="470" spans="1:14" x14ac:dyDescent="0.2">
      <c r="A470" s="22">
        <f t="shared" si="85"/>
        <v>465</v>
      </c>
      <c r="B470" s="23">
        <f t="shared" si="86"/>
        <v>56.804794520548448</v>
      </c>
      <c r="C470" t="str">
        <f t="shared" si="77"/>
        <v>56 y 9.66 m</v>
      </c>
      <c r="D470" s="24">
        <f>IF(A470&gt;=$E$2,IF(A470&lt;$E$2+$H$2,$P$2,0),IF(B470&lt;Dashboard!$I$6,0,IF(A470&gt;=$F$2,Dashboard!$C$22*POWER(1+$C$2,A470-$F$2),Dashboard!$C$22)))</f>
        <v>0</v>
      </c>
      <c r="E470" s="24">
        <f>IF(A470&gt;=$F$2,0,IF(A470=0,Dashboard!$G$10,IF(B470&lt;Dashboard!$I$6,IF($J$2&lt;=Dashboard!$H$10,Dashboard!$H$10,MAX(Dashboard!$H$10,MIN($J$2,Dashboard!$H$10*POWER($J$2/Dashboard!$H$10,A470/$D$2)))),$I$2-D470-Dashboard!$I$10-Dashboard!$J$10-Dashboard!$F$10*$I$2)))</f>
        <v>0</v>
      </c>
      <c r="F470" s="24">
        <f t="shared" si="78"/>
        <v>7481.8770717691896</v>
      </c>
      <c r="G470" s="24">
        <f t="shared" si="79"/>
        <v>9591.7291501464624</v>
      </c>
      <c r="H470" s="24">
        <f t="shared" si="80"/>
        <v>0</v>
      </c>
      <c r="I470" s="24">
        <f t="shared" si="81"/>
        <v>-9591.7291501464624</v>
      </c>
      <c r="J470" s="25">
        <f t="shared" si="82"/>
        <v>7.9741404289037643E-3</v>
      </c>
      <c r="K470" s="24">
        <f t="shared" si="87"/>
        <v>8047862.1367180096</v>
      </c>
      <c r="L470" s="24">
        <f t="shared" si="83"/>
        <v>8047862.1367180096</v>
      </c>
      <c r="M470" s="24">
        <f t="shared" si="84"/>
        <v>0</v>
      </c>
      <c r="N470" s="24">
        <f>IF(M470&lt;=0,0,IF($E$2-A470&lt;12,(M470-E470)*Dashboard!$B$18,IF($Q$2+A470&gt;=$R$2,MAX(0,M470-E470*POWER(1+$C$2,$E$2-A470))*MAX(Dashboard!$C$18,Dashboard!$B$18),IF($S$2&lt;$R$2,(M470-E470)*0.5*Dashboard!$B$18,(E470*POWER(1+$A$2,$R$2-($Q$2+A470))-E470)*0.5*Dashboard!$B$18+MAX(0,M470-E470*POWER(1+$A$2,$R$2-($Q$2+A470))*POWER(1+$C$2,$S$2-$R$2))*MAX(Dashboard!$C$18,Dashboard!$B$18)))))</f>
        <v>0</v>
      </c>
    </row>
    <row r="471" spans="1:14" x14ac:dyDescent="0.2">
      <c r="A471" s="22">
        <f t="shared" si="85"/>
        <v>466</v>
      </c>
      <c r="B471" s="23">
        <f t="shared" si="86"/>
        <v>56.888127853881784</v>
      </c>
      <c r="C471" t="str">
        <f t="shared" si="77"/>
        <v>56 y 10.66 m</v>
      </c>
      <c r="D471" s="24">
        <f>IF(A471&gt;=$E$2,IF(A471&lt;$E$2+$H$2,$P$2,0),IF(B471&lt;Dashboard!$I$6,0,IF(A471&gt;=$F$2,Dashboard!$C$22*POWER(1+$C$2,A471-$F$2),Dashboard!$C$22)))</f>
        <v>0</v>
      </c>
      <c r="E471" s="24">
        <f>IF(A471&gt;=$F$2,0,IF(A471=0,Dashboard!$G$10,IF(B471&lt;Dashboard!$I$6,IF($J$2&lt;=Dashboard!$H$10,Dashboard!$H$10,MAX(Dashboard!$H$10,MIN($J$2,Dashboard!$H$10*POWER($J$2/Dashboard!$H$10,A471/$D$2)))),$I$2-D471-Dashboard!$I$10-Dashboard!$J$10-Dashboard!$F$10*$I$2)))</f>
        <v>0</v>
      </c>
      <c r="F471" s="24">
        <f t="shared" si="78"/>
        <v>7497.288513528124</v>
      </c>
      <c r="G471" s="24">
        <f t="shared" si="79"/>
        <v>9613.7454955163685</v>
      </c>
      <c r="H471" s="24">
        <f t="shared" si="80"/>
        <v>0</v>
      </c>
      <c r="I471" s="24">
        <f t="shared" si="81"/>
        <v>-9613.7454955163685</v>
      </c>
      <c r="J471" s="25">
        <f t="shared" si="82"/>
        <v>7.9741404289037643E-3</v>
      </c>
      <c r="K471" s="24">
        <f t="shared" si="87"/>
        <v>8102346.5126965111</v>
      </c>
      <c r="L471" s="24">
        <f t="shared" si="83"/>
        <v>8102346.5126965111</v>
      </c>
      <c r="M471" s="24">
        <f t="shared" si="84"/>
        <v>0</v>
      </c>
      <c r="N471" s="24">
        <f>IF(M471&lt;=0,0,IF($E$2-A471&lt;12,(M471-E471)*Dashboard!$B$18,IF($Q$2+A471&gt;=$R$2,MAX(0,M471-E471*POWER(1+$C$2,$E$2-A471))*MAX(Dashboard!$C$18,Dashboard!$B$18),IF($S$2&lt;$R$2,(M471-E471)*0.5*Dashboard!$B$18,(E471*POWER(1+$A$2,$R$2-($Q$2+A471))-E471)*0.5*Dashboard!$B$18+MAX(0,M471-E471*POWER(1+$A$2,$R$2-($Q$2+A471))*POWER(1+$C$2,$S$2-$R$2))*MAX(Dashboard!$C$18,Dashboard!$B$18)))))</f>
        <v>0</v>
      </c>
    </row>
    <row r="472" spans="1:14" x14ac:dyDescent="0.2">
      <c r="A472" s="22">
        <f t="shared" si="85"/>
        <v>467</v>
      </c>
      <c r="B472" s="23">
        <f t="shared" si="86"/>
        <v>56.97146118721512</v>
      </c>
      <c r="C472" t="str">
        <f t="shared" si="77"/>
        <v>56 y 11.66 m</v>
      </c>
      <c r="D472" s="24">
        <f>IF(A472&gt;=$E$2,IF(A472&lt;$E$2+$H$2,$P$2,0),IF(B472&lt;Dashboard!$I$6,0,IF(A472&gt;=$F$2,Dashboard!$C$22*POWER(1+$C$2,A472-$F$2),Dashboard!$C$22)))</f>
        <v>0</v>
      </c>
      <c r="E472" s="24">
        <f>IF(A472&gt;=$F$2,0,IF(A472=0,Dashboard!$G$10,IF(B472&lt;Dashboard!$I$6,IF($J$2&lt;=Dashboard!$H$10,Dashboard!$H$10,MAX(Dashboard!$H$10,MIN($J$2,Dashboard!$H$10*POWER($J$2/Dashboard!$H$10,A472/$D$2)))),$I$2-D472-Dashboard!$I$10-Dashboard!$J$10-Dashboard!$F$10*$I$2)))</f>
        <v>0</v>
      </c>
      <c r="F472" s="24">
        <f t="shared" si="78"/>
        <v>7512.7317003337666</v>
      </c>
      <c r="G472" s="24">
        <f t="shared" si="79"/>
        <v>9635.8071909530008</v>
      </c>
      <c r="H472" s="24">
        <f t="shared" si="80"/>
        <v>0</v>
      </c>
      <c r="I472" s="24">
        <f t="shared" si="81"/>
        <v>-9635.8071909530008</v>
      </c>
      <c r="J472" s="25">
        <f t="shared" si="82"/>
        <v>7.9741404289037643E-3</v>
      </c>
      <c r="K472" s="24">
        <f t="shared" si="87"/>
        <v>8157243.1171217524</v>
      </c>
      <c r="L472" s="24">
        <f t="shared" si="83"/>
        <v>8157243.1171217524</v>
      </c>
      <c r="M472" s="24">
        <f t="shared" si="84"/>
        <v>0</v>
      </c>
      <c r="N472" s="24">
        <f>IF(M472&lt;=0,0,IF($E$2-A472&lt;12,(M472-E472)*Dashboard!$B$18,IF($Q$2+A472&gt;=$R$2,MAX(0,M472-E472*POWER(1+$C$2,$E$2-A472))*MAX(Dashboard!$C$18,Dashboard!$B$18),IF($S$2&lt;$R$2,(M472-E472)*0.5*Dashboard!$B$18,(E472*POWER(1+$A$2,$R$2-($Q$2+A472))-E472)*0.5*Dashboard!$B$18+MAX(0,M472-E472*POWER(1+$A$2,$R$2-($Q$2+A472))*POWER(1+$C$2,$S$2-$R$2))*MAX(Dashboard!$C$18,Dashboard!$B$18)))))</f>
        <v>0</v>
      </c>
    </row>
    <row r="473" spans="1:14" x14ac:dyDescent="0.2">
      <c r="A473" s="22">
        <f t="shared" si="85"/>
        <v>468</v>
      </c>
      <c r="B473" s="23">
        <f t="shared" si="86"/>
        <v>57.054794520548455</v>
      </c>
      <c r="C473" t="str">
        <f t="shared" si="77"/>
        <v>57 y 0.66 m</v>
      </c>
      <c r="D473" s="24">
        <f>IF(A473&gt;=$E$2,IF(A473&lt;$E$2+$H$2,$P$2,0),IF(B473&lt;Dashboard!$I$6,0,IF(A473&gt;=$F$2,Dashboard!$C$22*POWER(1+$C$2,A473-$F$2),Dashboard!$C$22)))</f>
        <v>0</v>
      </c>
      <c r="E473" s="24">
        <f>IF(A473&gt;=$F$2,0,IF(A473=0,Dashboard!$G$10,IF(B473&lt;Dashboard!$I$6,IF($J$2&lt;=Dashboard!$H$10,Dashboard!$H$10,MAX(Dashboard!$H$10,MIN($J$2,Dashboard!$H$10*POWER($J$2/Dashboard!$H$10,A473/$D$2)))),$I$2-D473-Dashboard!$I$10-Dashboard!$J$10-Dashboard!$F$10*$I$2)))</f>
        <v>0</v>
      </c>
      <c r="F473" s="24">
        <f t="shared" si="78"/>
        <v>7528.2066975757089</v>
      </c>
      <c r="G473" s="24">
        <f t="shared" si="79"/>
        <v>9657.9143298700601</v>
      </c>
      <c r="H473" s="24">
        <f t="shared" si="80"/>
        <v>0</v>
      </c>
      <c r="I473" s="24">
        <f t="shared" si="81"/>
        <v>-9657.9143298700601</v>
      </c>
      <c r="J473" s="25">
        <f t="shared" si="82"/>
        <v>7.9741404289037643E-3</v>
      </c>
      <c r="K473" s="24">
        <f t="shared" si="87"/>
        <v>8212555.1913554035</v>
      </c>
      <c r="L473" s="24">
        <f t="shared" si="83"/>
        <v>8212555.1913554035</v>
      </c>
      <c r="M473" s="24">
        <f t="shared" si="84"/>
        <v>0</v>
      </c>
      <c r="N473" s="24">
        <f>IF(M473&lt;=0,0,IF($E$2-A473&lt;12,(M473-E473)*Dashboard!$B$18,IF($Q$2+A473&gt;=$R$2,MAX(0,M473-E473*POWER(1+$C$2,$E$2-A473))*MAX(Dashboard!$C$18,Dashboard!$B$18),IF($S$2&lt;$R$2,(M473-E473)*0.5*Dashboard!$B$18,(E473*POWER(1+$A$2,$R$2-($Q$2+A473))-E473)*0.5*Dashboard!$B$18+MAX(0,M473-E473*POWER(1+$A$2,$R$2-($Q$2+A473))*POWER(1+$C$2,$S$2-$R$2))*MAX(Dashboard!$C$18,Dashboard!$B$18)))))</f>
        <v>0</v>
      </c>
    </row>
    <row r="474" spans="1:14" x14ac:dyDescent="0.2">
      <c r="A474" s="22">
        <f t="shared" si="85"/>
        <v>469</v>
      </c>
      <c r="B474" s="23">
        <f t="shared" si="86"/>
        <v>57.138127853881791</v>
      </c>
      <c r="C474" t="str">
        <f t="shared" si="77"/>
        <v>57 y 1.66 m</v>
      </c>
      <c r="D474" s="24">
        <f>IF(A474&gt;=$E$2,IF(A474&lt;$E$2+$H$2,$P$2,0),IF(B474&lt;Dashboard!$I$6,0,IF(A474&gt;=$F$2,Dashboard!$C$22*POWER(1+$C$2,A474-$F$2),Dashboard!$C$22)))</f>
        <v>0</v>
      </c>
      <c r="E474" s="24">
        <f>IF(A474&gt;=$F$2,0,IF(A474=0,Dashboard!$G$10,IF(B474&lt;Dashboard!$I$6,IF($J$2&lt;=Dashboard!$H$10,Dashboard!$H$10,MAX(Dashboard!$H$10,MIN($J$2,Dashboard!$H$10*POWER($J$2/Dashboard!$H$10,A474/$D$2)))),$I$2-D474-Dashboard!$I$10-Dashboard!$J$10-Dashboard!$F$10*$I$2)))</f>
        <v>0</v>
      </c>
      <c r="F474" s="24">
        <f t="shared" si="78"/>
        <v>7543.7135707782481</v>
      </c>
      <c r="G474" s="24">
        <f t="shared" si="79"/>
        <v>9680.0670058736887</v>
      </c>
      <c r="H474" s="24">
        <f t="shared" si="80"/>
        <v>0</v>
      </c>
      <c r="I474" s="24">
        <f t="shared" si="81"/>
        <v>-9680.0670058736887</v>
      </c>
      <c r="J474" s="25">
        <f t="shared" si="82"/>
        <v>7.9741404289037643E-3</v>
      </c>
      <c r="K474" s="24">
        <f t="shared" si="87"/>
        <v>8268286.0025118543</v>
      </c>
      <c r="L474" s="24">
        <f t="shared" si="83"/>
        <v>8268286.0025118543</v>
      </c>
      <c r="M474" s="24">
        <f t="shared" si="84"/>
        <v>0</v>
      </c>
      <c r="N474" s="24">
        <f>IF(M474&lt;=0,0,IF($E$2-A474&lt;12,(M474-E474)*Dashboard!$B$18,IF($Q$2+A474&gt;=$R$2,MAX(0,M474-E474*POWER(1+$C$2,$E$2-A474))*MAX(Dashboard!$C$18,Dashboard!$B$18),IF($S$2&lt;$R$2,(M474-E474)*0.5*Dashboard!$B$18,(E474*POWER(1+$A$2,$R$2-($Q$2+A474))-E474)*0.5*Dashboard!$B$18+MAX(0,M474-E474*POWER(1+$A$2,$R$2-($Q$2+A474))*POWER(1+$C$2,$S$2-$R$2))*MAX(Dashboard!$C$18,Dashboard!$B$18)))))</f>
        <v>0</v>
      </c>
    </row>
    <row r="475" spans="1:14" x14ac:dyDescent="0.2">
      <c r="A475" s="22">
        <f t="shared" si="85"/>
        <v>470</v>
      </c>
      <c r="B475" s="23">
        <f t="shared" si="86"/>
        <v>57.221461187215127</v>
      </c>
      <c r="C475" t="str">
        <f t="shared" si="77"/>
        <v>57 y 2.66 m</v>
      </c>
      <c r="D475" s="24">
        <f>IF(A475&gt;=$E$2,IF(A475&lt;$E$2+$H$2,$P$2,0),IF(B475&lt;Dashboard!$I$6,0,IF(A475&gt;=$F$2,Dashboard!$C$22*POWER(1+$C$2,A475-$F$2),Dashboard!$C$22)))</f>
        <v>0</v>
      </c>
      <c r="E475" s="24">
        <f>IF(A475&gt;=$F$2,0,IF(A475=0,Dashboard!$G$10,IF(B475&lt;Dashboard!$I$6,IF($J$2&lt;=Dashboard!$H$10,Dashboard!$H$10,MAX(Dashboard!$H$10,MIN($J$2,Dashboard!$H$10*POWER($J$2/Dashboard!$H$10,A475/$D$2)))),$I$2-D475-Dashboard!$I$10-Dashboard!$J$10-Dashboard!$F$10*$I$2)))</f>
        <v>0</v>
      </c>
      <c r="F475" s="24">
        <f t="shared" si="78"/>
        <v>7559.2523856006428</v>
      </c>
      <c r="G475" s="24">
        <f t="shared" si="79"/>
        <v>9702.2653127628237</v>
      </c>
      <c r="H475" s="24">
        <f t="shared" si="80"/>
        <v>0</v>
      </c>
      <c r="I475" s="24">
        <f t="shared" si="81"/>
        <v>-9702.2653127628237</v>
      </c>
      <c r="J475" s="25">
        <f t="shared" si="82"/>
        <v>7.9741404289037643E-3</v>
      </c>
      <c r="K475" s="24">
        <f t="shared" si="87"/>
        <v>8324438.8436633777</v>
      </c>
      <c r="L475" s="24">
        <f t="shared" si="83"/>
        <v>8324438.8436633777</v>
      </c>
      <c r="M475" s="24">
        <f t="shared" si="84"/>
        <v>0</v>
      </c>
      <c r="N475" s="24">
        <f>IF(M475&lt;=0,0,IF($E$2-A475&lt;12,(M475-E475)*Dashboard!$B$18,IF($Q$2+A475&gt;=$R$2,MAX(0,M475-E475*POWER(1+$C$2,$E$2-A475))*MAX(Dashboard!$C$18,Dashboard!$B$18),IF($S$2&lt;$R$2,(M475-E475)*0.5*Dashboard!$B$18,(E475*POWER(1+$A$2,$R$2-($Q$2+A475))-E475)*0.5*Dashboard!$B$18+MAX(0,M475-E475*POWER(1+$A$2,$R$2-($Q$2+A475))*POWER(1+$C$2,$S$2-$R$2))*MAX(Dashboard!$C$18,Dashboard!$B$18)))))</f>
        <v>0</v>
      </c>
    </row>
    <row r="476" spans="1:14" x14ac:dyDescent="0.2">
      <c r="A476" s="22">
        <f t="shared" si="85"/>
        <v>471</v>
      </c>
      <c r="B476" s="23">
        <f t="shared" si="86"/>
        <v>57.304794520548462</v>
      </c>
      <c r="C476" t="str">
        <f t="shared" si="77"/>
        <v>57 y 3.66 m</v>
      </c>
      <c r="D476" s="24">
        <f>IF(A476&gt;=$E$2,IF(A476&lt;$E$2+$H$2,$P$2,0),IF(B476&lt;Dashboard!$I$6,0,IF(A476&gt;=$F$2,Dashboard!$C$22*POWER(1+$C$2,A476-$F$2),Dashboard!$C$22)))</f>
        <v>0</v>
      </c>
      <c r="E476" s="24">
        <f>IF(A476&gt;=$F$2,0,IF(A476=0,Dashboard!$G$10,IF(B476&lt;Dashboard!$I$6,IF($J$2&lt;=Dashboard!$H$10,Dashboard!$H$10,MAX(Dashboard!$H$10,MIN($J$2,Dashboard!$H$10*POWER($J$2/Dashboard!$H$10,A476/$D$2)))),$I$2-D476-Dashboard!$I$10-Dashboard!$J$10-Dashboard!$F$10*$I$2)))</f>
        <v>0</v>
      </c>
      <c r="F476" s="24">
        <f t="shared" si="78"/>
        <v>7574.8232078373976</v>
      </c>
      <c r="G476" s="24">
        <f t="shared" si="79"/>
        <v>9724.5093445296152</v>
      </c>
      <c r="H476" s="24">
        <f t="shared" si="80"/>
        <v>0</v>
      </c>
      <c r="I476" s="24">
        <f t="shared" si="81"/>
        <v>-9724.5093445296152</v>
      </c>
      <c r="J476" s="25">
        <f t="shared" si="82"/>
        <v>7.9741404289037643E-3</v>
      </c>
      <c r="K476" s="24">
        <f t="shared" si="87"/>
        <v>8381017.0340469256</v>
      </c>
      <c r="L476" s="24">
        <f t="shared" si="83"/>
        <v>8381017.0340469256</v>
      </c>
      <c r="M476" s="24">
        <f t="shared" si="84"/>
        <v>0</v>
      </c>
      <c r="N476" s="24">
        <f>IF(M476&lt;=0,0,IF($E$2-A476&lt;12,(M476-E476)*Dashboard!$B$18,IF($Q$2+A476&gt;=$R$2,MAX(0,M476-E476*POWER(1+$C$2,$E$2-A476))*MAX(Dashboard!$C$18,Dashboard!$B$18),IF($S$2&lt;$R$2,(M476-E476)*0.5*Dashboard!$B$18,(E476*POWER(1+$A$2,$R$2-($Q$2+A476))-E476)*0.5*Dashboard!$B$18+MAX(0,M476-E476*POWER(1+$A$2,$R$2-($Q$2+A476))*POWER(1+$C$2,$S$2-$R$2))*MAX(Dashboard!$C$18,Dashboard!$B$18)))))</f>
        <v>0</v>
      </c>
    </row>
    <row r="477" spans="1:14" x14ac:dyDescent="0.2">
      <c r="A477" s="22">
        <f t="shared" si="85"/>
        <v>472</v>
      </c>
      <c r="B477" s="23">
        <f t="shared" si="86"/>
        <v>57.388127853881798</v>
      </c>
      <c r="C477" t="str">
        <f t="shared" si="77"/>
        <v>57 y 4.66 m</v>
      </c>
      <c r="D477" s="24">
        <f>IF(A477&gt;=$E$2,IF(A477&lt;$E$2+$H$2,$P$2,0),IF(B477&lt;Dashboard!$I$6,0,IF(A477&gt;=$F$2,Dashboard!$C$22*POWER(1+$C$2,A477-$F$2),Dashboard!$C$22)))</f>
        <v>0</v>
      </c>
      <c r="E477" s="24">
        <f>IF(A477&gt;=$F$2,0,IF(A477=0,Dashboard!$G$10,IF(B477&lt;Dashboard!$I$6,IF($J$2&lt;=Dashboard!$H$10,Dashboard!$H$10,MAX(Dashboard!$H$10,MIN($J$2,Dashboard!$H$10*POWER($J$2/Dashboard!$H$10,A477/$D$2)))),$I$2-D477-Dashboard!$I$10-Dashboard!$J$10-Dashboard!$F$10*$I$2)))</f>
        <v>0</v>
      </c>
      <c r="F477" s="24">
        <f t="shared" si="78"/>
        <v>7590.4261034185492</v>
      </c>
      <c r="G477" s="24">
        <f t="shared" si="79"/>
        <v>9746.7991953598339</v>
      </c>
      <c r="H477" s="24">
        <f t="shared" si="80"/>
        <v>0</v>
      </c>
      <c r="I477" s="24">
        <f t="shared" si="81"/>
        <v>-9746.7991953598339</v>
      </c>
      <c r="J477" s="25">
        <f t="shared" si="82"/>
        <v>7.9741404289037643E-3</v>
      </c>
      <c r="K477" s="24">
        <f t="shared" si="87"/>
        <v>8438023.9192725755</v>
      </c>
      <c r="L477" s="24">
        <f t="shared" si="83"/>
        <v>8438023.9192725755</v>
      </c>
      <c r="M477" s="24">
        <f t="shared" si="84"/>
        <v>0</v>
      </c>
      <c r="N477" s="24">
        <f>IF(M477&lt;=0,0,IF($E$2-A477&lt;12,(M477-E477)*Dashboard!$B$18,IF($Q$2+A477&gt;=$R$2,MAX(0,M477-E477*POWER(1+$C$2,$E$2-A477))*MAX(Dashboard!$C$18,Dashboard!$B$18),IF($S$2&lt;$R$2,(M477-E477)*0.5*Dashboard!$B$18,(E477*POWER(1+$A$2,$R$2-($Q$2+A477))-E477)*0.5*Dashboard!$B$18+MAX(0,M477-E477*POWER(1+$A$2,$R$2-($Q$2+A477))*POWER(1+$C$2,$S$2-$R$2))*MAX(Dashboard!$C$18,Dashboard!$B$18)))))</f>
        <v>0</v>
      </c>
    </row>
    <row r="478" spans="1:14" x14ac:dyDescent="0.2">
      <c r="A478" s="22">
        <f t="shared" si="85"/>
        <v>473</v>
      </c>
      <c r="B478" s="23">
        <f t="shared" si="86"/>
        <v>57.471461187215134</v>
      </c>
      <c r="C478" t="str">
        <f t="shared" si="77"/>
        <v>57 y 5.66 m</v>
      </c>
      <c r="D478" s="24">
        <f>IF(A478&gt;=$E$2,IF(A478&lt;$E$2+$H$2,$P$2,0),IF(B478&lt;Dashboard!$I$6,0,IF(A478&gt;=$F$2,Dashboard!$C$22*POWER(1+$C$2,A478-$F$2),Dashboard!$C$22)))</f>
        <v>0</v>
      </c>
      <c r="E478" s="24">
        <f>IF(A478&gt;=$F$2,0,IF(A478=0,Dashboard!$G$10,IF(B478&lt;Dashboard!$I$6,IF($J$2&lt;=Dashboard!$H$10,Dashboard!$H$10,MAX(Dashboard!$H$10,MIN($J$2,Dashboard!$H$10*POWER($J$2/Dashboard!$H$10,A478/$D$2)))),$I$2-D478-Dashboard!$I$10-Dashboard!$J$10-Dashboard!$F$10*$I$2)))</f>
        <v>0</v>
      </c>
      <c r="F478" s="24">
        <f t="shared" si="78"/>
        <v>7606.0611384099311</v>
      </c>
      <c r="G478" s="24">
        <f t="shared" si="79"/>
        <v>9769.1349596332348</v>
      </c>
      <c r="H478" s="24">
        <f t="shared" si="80"/>
        <v>0</v>
      </c>
      <c r="I478" s="24">
        <f t="shared" si="81"/>
        <v>-9769.1349596332348</v>
      </c>
      <c r="J478" s="25">
        <f t="shared" si="82"/>
        <v>7.9741404289037643E-3</v>
      </c>
      <c r="K478" s="24">
        <f t="shared" si="87"/>
        <v>8495462.8715336341</v>
      </c>
      <c r="L478" s="24">
        <f t="shared" si="83"/>
        <v>8495462.8715336341</v>
      </c>
      <c r="M478" s="24">
        <f t="shared" si="84"/>
        <v>0</v>
      </c>
      <c r="N478" s="24">
        <f>IF(M478&lt;=0,0,IF($E$2-A478&lt;12,(M478-E478)*Dashboard!$B$18,IF($Q$2+A478&gt;=$R$2,MAX(0,M478-E478*POWER(1+$C$2,$E$2-A478))*MAX(Dashboard!$C$18,Dashboard!$B$18),IF($S$2&lt;$R$2,(M478-E478)*0.5*Dashboard!$B$18,(E478*POWER(1+$A$2,$R$2-($Q$2+A478))-E478)*0.5*Dashboard!$B$18+MAX(0,M478-E478*POWER(1+$A$2,$R$2-($Q$2+A478))*POWER(1+$C$2,$S$2-$R$2))*MAX(Dashboard!$C$18,Dashboard!$B$18)))))</f>
        <v>0</v>
      </c>
    </row>
    <row r="479" spans="1:14" x14ac:dyDescent="0.2">
      <c r="A479" s="22">
        <f t="shared" si="85"/>
        <v>474</v>
      </c>
      <c r="B479" s="23">
        <f t="shared" si="86"/>
        <v>57.554794520548469</v>
      </c>
      <c r="C479" t="str">
        <f t="shared" si="77"/>
        <v>57 y 6.66 m</v>
      </c>
      <c r="D479" s="24">
        <f>IF(A479&gt;=$E$2,IF(A479&lt;$E$2+$H$2,$P$2,0),IF(B479&lt;Dashboard!$I$6,0,IF(A479&gt;=$F$2,Dashboard!$C$22*POWER(1+$C$2,A479-$F$2),Dashboard!$C$22)))</f>
        <v>0</v>
      </c>
      <c r="E479" s="24">
        <f>IF(A479&gt;=$F$2,0,IF(A479=0,Dashboard!$G$10,IF(B479&lt;Dashboard!$I$6,IF($J$2&lt;=Dashboard!$H$10,Dashboard!$H$10,MAX(Dashboard!$H$10,MIN($J$2,Dashboard!$H$10*POWER($J$2/Dashboard!$H$10,A479/$D$2)))),$I$2-D479-Dashboard!$I$10-Dashboard!$J$10-Dashboard!$F$10*$I$2)))</f>
        <v>0</v>
      </c>
      <c r="F479" s="24">
        <f t="shared" si="78"/>
        <v>7621.7283790134697</v>
      </c>
      <c r="G479" s="24">
        <f t="shared" si="79"/>
        <v>9791.5167319240045</v>
      </c>
      <c r="H479" s="24">
        <f t="shared" si="80"/>
        <v>0</v>
      </c>
      <c r="I479" s="24">
        <f t="shared" si="81"/>
        <v>-9791.5167319240045</v>
      </c>
      <c r="J479" s="25">
        <f t="shared" si="82"/>
        <v>7.9741404289037643E-3</v>
      </c>
      <c r="K479" s="24">
        <f t="shared" si="87"/>
        <v>8553337.2898184247</v>
      </c>
      <c r="L479" s="24">
        <f t="shared" si="83"/>
        <v>8553337.2898184247</v>
      </c>
      <c r="M479" s="24">
        <f t="shared" si="84"/>
        <v>0</v>
      </c>
      <c r="N479" s="24">
        <f>IF(M479&lt;=0,0,IF($E$2-A479&lt;12,(M479-E479)*Dashboard!$B$18,IF($Q$2+A479&gt;=$R$2,MAX(0,M479-E479*POWER(1+$C$2,$E$2-A479))*MAX(Dashboard!$C$18,Dashboard!$B$18),IF($S$2&lt;$R$2,(M479-E479)*0.5*Dashboard!$B$18,(E479*POWER(1+$A$2,$R$2-($Q$2+A479))-E479)*0.5*Dashboard!$B$18+MAX(0,M479-E479*POWER(1+$A$2,$R$2-($Q$2+A479))*POWER(1+$C$2,$S$2-$R$2))*MAX(Dashboard!$C$18,Dashboard!$B$18)))))</f>
        <v>0</v>
      </c>
    </row>
    <row r="480" spans="1:14" x14ac:dyDescent="0.2">
      <c r="A480" s="22">
        <f t="shared" si="85"/>
        <v>475</v>
      </c>
      <c r="B480" s="23">
        <f t="shared" si="86"/>
        <v>57.638127853881805</v>
      </c>
      <c r="C480" t="str">
        <f t="shared" si="77"/>
        <v>57 y 7.66 m</v>
      </c>
      <c r="D480" s="24">
        <f>IF(A480&gt;=$E$2,IF(A480&lt;$E$2+$H$2,$P$2,0),IF(B480&lt;Dashboard!$I$6,0,IF(A480&gt;=$F$2,Dashboard!$C$22*POWER(1+$C$2,A480-$F$2),Dashboard!$C$22)))</f>
        <v>0</v>
      </c>
      <c r="E480" s="24">
        <f>IF(A480&gt;=$F$2,0,IF(A480=0,Dashboard!$G$10,IF(B480&lt;Dashboard!$I$6,IF($J$2&lt;=Dashboard!$H$10,Dashboard!$H$10,MAX(Dashboard!$H$10,MIN($J$2,Dashboard!$H$10*POWER($J$2/Dashboard!$H$10,A480/$D$2)))),$I$2-D480-Dashboard!$I$10-Dashboard!$J$10-Dashboard!$F$10*$I$2)))</f>
        <v>0</v>
      </c>
      <c r="F480" s="24">
        <f t="shared" si="78"/>
        <v>7637.4278915674513</v>
      </c>
      <c r="G480" s="24">
        <f t="shared" si="79"/>
        <v>9813.9446070011218</v>
      </c>
      <c r="H480" s="24">
        <f t="shared" si="80"/>
        <v>0</v>
      </c>
      <c r="I480" s="24">
        <f t="shared" si="81"/>
        <v>-9813.9446070011218</v>
      </c>
      <c r="J480" s="25">
        <f t="shared" si="82"/>
        <v>7.9741404289037643E-3</v>
      </c>
      <c r="K480" s="24">
        <f t="shared" si="87"/>
        <v>8611650.6001237575</v>
      </c>
      <c r="L480" s="24">
        <f t="shared" si="83"/>
        <v>8611650.6001237575</v>
      </c>
      <c r="M480" s="24">
        <f t="shared" si="84"/>
        <v>0</v>
      </c>
      <c r="N480" s="24">
        <f>IF(M480&lt;=0,0,IF($E$2-A480&lt;12,(M480-E480)*Dashboard!$B$18,IF($Q$2+A480&gt;=$R$2,MAX(0,M480-E480*POWER(1+$C$2,$E$2-A480))*MAX(Dashboard!$C$18,Dashboard!$B$18),IF($S$2&lt;$R$2,(M480-E480)*0.5*Dashboard!$B$18,(E480*POWER(1+$A$2,$R$2-($Q$2+A480))-E480)*0.5*Dashboard!$B$18+MAX(0,M480-E480*POWER(1+$A$2,$R$2-($Q$2+A480))*POWER(1+$C$2,$S$2-$R$2))*MAX(Dashboard!$C$18,Dashboard!$B$18)))))</f>
        <v>0</v>
      </c>
    </row>
    <row r="481" spans="1:14" x14ac:dyDescent="0.2">
      <c r="A481" s="22">
        <f t="shared" si="85"/>
        <v>476</v>
      </c>
      <c r="B481" s="23">
        <f t="shared" si="86"/>
        <v>57.721461187215141</v>
      </c>
      <c r="C481" t="str">
        <f t="shared" si="77"/>
        <v>57 y 8.66 m</v>
      </c>
      <c r="D481" s="24">
        <f>IF(A481&gt;=$E$2,IF(A481&lt;$E$2+$H$2,$P$2,0),IF(B481&lt;Dashboard!$I$6,0,IF(A481&gt;=$F$2,Dashboard!$C$22*POWER(1+$C$2,A481-$F$2),Dashboard!$C$22)))</f>
        <v>0</v>
      </c>
      <c r="E481" s="24">
        <f>IF(A481&gt;=$F$2,0,IF(A481=0,Dashboard!$G$10,IF(B481&lt;Dashboard!$I$6,IF($J$2&lt;=Dashboard!$H$10,Dashboard!$H$10,MAX(Dashboard!$H$10,MIN($J$2,Dashboard!$H$10*POWER($J$2/Dashboard!$H$10,A481/$D$2)))),$I$2-D481-Dashboard!$I$10-Dashboard!$J$10-Dashboard!$F$10*$I$2)))</f>
        <v>0</v>
      </c>
      <c r="F481" s="24">
        <f t="shared" si="78"/>
        <v>7653.159742546809</v>
      </c>
      <c r="G481" s="24">
        <f t="shared" si="79"/>
        <v>9836.4186798287756</v>
      </c>
      <c r="H481" s="24">
        <f t="shared" si="80"/>
        <v>0</v>
      </c>
      <c r="I481" s="24">
        <f t="shared" si="81"/>
        <v>-9836.4186798287756</v>
      </c>
      <c r="J481" s="25">
        <f t="shared" si="82"/>
        <v>7.9741404289037643E-3</v>
      </c>
      <c r="K481" s="24">
        <f t="shared" si="87"/>
        <v>8670406.2556700967</v>
      </c>
      <c r="L481" s="24">
        <f t="shared" si="83"/>
        <v>8670406.2556700967</v>
      </c>
      <c r="M481" s="24">
        <f t="shared" si="84"/>
        <v>0</v>
      </c>
      <c r="N481" s="24">
        <f>IF(M481&lt;=0,0,IF($E$2-A481&lt;12,(M481-E481)*Dashboard!$B$18,IF($Q$2+A481&gt;=$R$2,MAX(0,M481-E481*POWER(1+$C$2,$E$2-A481))*MAX(Dashboard!$C$18,Dashboard!$B$18),IF($S$2&lt;$R$2,(M481-E481)*0.5*Dashboard!$B$18,(E481*POWER(1+$A$2,$R$2-($Q$2+A481))-E481)*0.5*Dashboard!$B$18+MAX(0,M481-E481*POWER(1+$A$2,$R$2-($Q$2+A481))*POWER(1+$C$2,$S$2-$R$2))*MAX(Dashboard!$C$18,Dashboard!$B$18)))))</f>
        <v>0</v>
      </c>
    </row>
    <row r="482" spans="1:14" x14ac:dyDescent="0.2">
      <c r="A482" s="22">
        <f t="shared" si="85"/>
        <v>477</v>
      </c>
      <c r="B482" s="23">
        <f t="shared" si="86"/>
        <v>57.804794520548477</v>
      </c>
      <c r="C482" t="str">
        <f t="shared" si="77"/>
        <v>57 y 9.66 m</v>
      </c>
      <c r="D482" s="24">
        <f>IF(A482&gt;=$E$2,IF(A482&lt;$E$2+$H$2,$P$2,0),IF(B482&lt;Dashboard!$I$6,0,IF(A482&gt;=$F$2,Dashboard!$C$22*POWER(1+$C$2,A482-$F$2),Dashboard!$C$22)))</f>
        <v>0</v>
      </c>
      <c r="E482" s="24">
        <f>IF(A482&gt;=$F$2,0,IF(A482=0,Dashboard!$G$10,IF(B482&lt;Dashboard!$I$6,IF($J$2&lt;=Dashboard!$H$10,Dashboard!$H$10,MAX(Dashboard!$H$10,MIN($J$2,Dashboard!$H$10*POWER($J$2/Dashboard!$H$10,A482/$D$2)))),$I$2-D482-Dashboard!$I$10-Dashboard!$J$10-Dashboard!$F$10*$I$2)))</f>
        <v>0</v>
      </c>
      <c r="F482" s="24">
        <f t="shared" si="78"/>
        <v>7668.9239985634076</v>
      </c>
      <c r="G482" s="24">
        <f t="shared" si="79"/>
        <v>9858.9390455667726</v>
      </c>
      <c r="H482" s="24">
        <f t="shared" si="80"/>
        <v>0</v>
      </c>
      <c r="I482" s="24">
        <f t="shared" si="81"/>
        <v>-9858.9390455667726</v>
      </c>
      <c r="J482" s="25">
        <f t="shared" si="82"/>
        <v>7.9741404289037643E-3</v>
      </c>
      <c r="K482" s="24">
        <f t="shared" si="87"/>
        <v>8729607.7371184602</v>
      </c>
      <c r="L482" s="24">
        <f t="shared" si="83"/>
        <v>8729607.7371184602</v>
      </c>
      <c r="M482" s="24">
        <f t="shared" si="84"/>
        <v>0</v>
      </c>
      <c r="N482" s="24">
        <f>IF(M482&lt;=0,0,IF($E$2-A482&lt;12,(M482-E482)*Dashboard!$B$18,IF($Q$2+A482&gt;=$R$2,MAX(0,M482-E482*POWER(1+$C$2,$E$2-A482))*MAX(Dashboard!$C$18,Dashboard!$B$18),IF($S$2&lt;$R$2,(M482-E482)*0.5*Dashboard!$B$18,(E482*POWER(1+$A$2,$R$2-($Q$2+A482))-E482)*0.5*Dashboard!$B$18+MAX(0,M482-E482*POWER(1+$A$2,$R$2-($Q$2+A482))*POWER(1+$C$2,$S$2-$R$2))*MAX(Dashboard!$C$18,Dashboard!$B$18)))))</f>
        <v>0</v>
      </c>
    </row>
    <row r="483" spans="1:14" x14ac:dyDescent="0.2">
      <c r="A483" s="22">
        <f t="shared" si="85"/>
        <v>478</v>
      </c>
      <c r="B483" s="23">
        <f t="shared" si="86"/>
        <v>57.888127853881812</v>
      </c>
      <c r="C483" t="str">
        <f t="shared" si="77"/>
        <v>57 y 10.66 m</v>
      </c>
      <c r="D483" s="24">
        <f>IF(A483&gt;=$E$2,IF(A483&lt;$E$2+$H$2,$P$2,0),IF(B483&lt;Dashboard!$I$6,0,IF(A483&gt;=$F$2,Dashboard!$C$22*POWER(1+$C$2,A483-$F$2),Dashboard!$C$22)))</f>
        <v>0</v>
      </c>
      <c r="E483" s="24">
        <f>IF(A483&gt;=$F$2,0,IF(A483=0,Dashboard!$G$10,IF(B483&lt;Dashboard!$I$6,IF($J$2&lt;=Dashboard!$H$10,Dashboard!$H$10,MAX(Dashboard!$H$10,MIN($J$2,Dashboard!$H$10*POWER($J$2/Dashboard!$H$10,A483/$D$2)))),$I$2-D483-Dashboard!$I$10-Dashboard!$J$10-Dashboard!$F$10*$I$2)))</f>
        <v>0</v>
      </c>
      <c r="F483" s="24">
        <f t="shared" si="78"/>
        <v>7684.7207263663176</v>
      </c>
      <c r="G483" s="24">
        <f t="shared" si="79"/>
        <v>9881.5057995709303</v>
      </c>
      <c r="H483" s="24">
        <f t="shared" si="80"/>
        <v>0</v>
      </c>
      <c r="I483" s="24">
        <f t="shared" si="81"/>
        <v>-9881.5057995709303</v>
      </c>
      <c r="J483" s="25">
        <f t="shared" si="82"/>
        <v>7.9741404289037643E-3</v>
      </c>
      <c r="K483" s="24">
        <f t="shared" si="87"/>
        <v>8789258.5527890213</v>
      </c>
      <c r="L483" s="24">
        <f t="shared" si="83"/>
        <v>8789258.5527890213</v>
      </c>
      <c r="M483" s="24">
        <f t="shared" si="84"/>
        <v>0</v>
      </c>
      <c r="N483" s="24">
        <f>IF(M483&lt;=0,0,IF($E$2-A483&lt;12,(M483-E483)*Dashboard!$B$18,IF($Q$2+A483&gt;=$R$2,MAX(0,M483-E483*POWER(1+$C$2,$E$2-A483))*MAX(Dashboard!$C$18,Dashboard!$B$18),IF($S$2&lt;$R$2,(M483-E483)*0.5*Dashboard!$B$18,(E483*POWER(1+$A$2,$R$2-($Q$2+A483))-E483)*0.5*Dashboard!$B$18+MAX(0,M483-E483*POWER(1+$A$2,$R$2-($Q$2+A483))*POWER(1+$C$2,$S$2-$R$2))*MAX(Dashboard!$C$18,Dashboard!$B$18)))))</f>
        <v>0</v>
      </c>
    </row>
    <row r="484" spans="1:14" x14ac:dyDescent="0.2">
      <c r="A484" s="22">
        <f t="shared" si="85"/>
        <v>479</v>
      </c>
      <c r="B484" s="23">
        <f t="shared" si="86"/>
        <v>57.971461187215148</v>
      </c>
      <c r="C484" t="str">
        <f t="shared" si="77"/>
        <v>57 y 11.66 m</v>
      </c>
      <c r="D484" s="24">
        <f>IF(A484&gt;=$E$2,IF(A484&lt;$E$2+$H$2,$P$2,0),IF(B484&lt;Dashboard!$I$6,0,IF(A484&gt;=$F$2,Dashboard!$C$22*POWER(1+$C$2,A484-$F$2),Dashboard!$C$22)))</f>
        <v>0</v>
      </c>
      <c r="E484" s="24">
        <f>IF(A484&gt;=$F$2,0,IF(A484=0,Dashboard!$G$10,IF(B484&lt;Dashboard!$I$6,IF($J$2&lt;=Dashboard!$H$10,Dashboard!$H$10,MAX(Dashboard!$H$10,MIN($J$2,Dashboard!$H$10*POWER($J$2/Dashboard!$H$10,A484/$D$2)))),$I$2-D484-Dashboard!$I$10-Dashboard!$J$10-Dashboard!$F$10*$I$2)))</f>
        <v>0</v>
      </c>
      <c r="F484" s="24">
        <f t="shared" si="78"/>
        <v>7700.5499928420977</v>
      </c>
      <c r="G484" s="24">
        <f t="shared" si="79"/>
        <v>9904.1190373934733</v>
      </c>
      <c r="H484" s="24">
        <f t="shared" si="80"/>
        <v>0</v>
      </c>
      <c r="I484" s="24">
        <f t="shared" si="81"/>
        <v>-9904.1190373934733</v>
      </c>
      <c r="J484" s="25">
        <f t="shared" si="82"/>
        <v>7.9741404289037643E-3</v>
      </c>
      <c r="K484" s="24">
        <f t="shared" si="87"/>
        <v>8849362.2388814818</v>
      </c>
      <c r="L484" s="24">
        <f t="shared" si="83"/>
        <v>8849362.2388814818</v>
      </c>
      <c r="M484" s="24">
        <f t="shared" si="84"/>
        <v>0</v>
      </c>
      <c r="N484" s="24">
        <f>IF(M484&lt;=0,0,IF($E$2-A484&lt;12,(M484-E484)*Dashboard!$B$18,IF($Q$2+A484&gt;=$R$2,MAX(0,M484-E484*POWER(1+$C$2,$E$2-A484))*MAX(Dashboard!$C$18,Dashboard!$B$18),IF($S$2&lt;$R$2,(M484-E484)*0.5*Dashboard!$B$18,(E484*POWER(1+$A$2,$R$2-($Q$2+A484))-E484)*0.5*Dashboard!$B$18+MAX(0,M484-E484*POWER(1+$A$2,$R$2-($Q$2+A484))*POWER(1+$C$2,$S$2-$R$2))*MAX(Dashboard!$C$18,Dashboard!$B$18)))))</f>
        <v>0</v>
      </c>
    </row>
    <row r="485" spans="1:14" x14ac:dyDescent="0.2">
      <c r="A485" s="22">
        <f t="shared" si="85"/>
        <v>480</v>
      </c>
      <c r="B485" s="23">
        <f t="shared" si="86"/>
        <v>58.054794520548484</v>
      </c>
      <c r="C485" t="str">
        <f t="shared" si="77"/>
        <v>58 y 0.66 m</v>
      </c>
      <c r="D485" s="24">
        <f>IF(A485&gt;=$E$2,IF(A485&lt;$E$2+$H$2,$P$2,0),IF(B485&lt;Dashboard!$I$6,0,IF(A485&gt;=$F$2,Dashboard!$C$22*POWER(1+$C$2,A485-$F$2),Dashboard!$C$22)))</f>
        <v>0</v>
      </c>
      <c r="E485" s="24">
        <f>IF(A485&gt;=$F$2,0,IF(A485=0,Dashboard!$G$10,IF(B485&lt;Dashboard!$I$6,IF($J$2&lt;=Dashboard!$H$10,Dashboard!$H$10,MAX(Dashboard!$H$10,MIN($J$2,Dashboard!$H$10*POWER($J$2/Dashboard!$H$10,A485/$D$2)))),$I$2-D485-Dashboard!$I$10-Dashboard!$J$10-Dashboard!$F$10*$I$2)))</f>
        <v>0</v>
      </c>
      <c r="F485" s="24">
        <f t="shared" si="78"/>
        <v>7716.4118650150904</v>
      </c>
      <c r="G485" s="24">
        <f t="shared" si="79"/>
        <v>9926.7788547834625</v>
      </c>
      <c r="H485" s="24">
        <f t="shared" si="80"/>
        <v>0</v>
      </c>
      <c r="I485" s="24">
        <f t="shared" si="81"/>
        <v>-9926.7788547834625</v>
      </c>
      <c r="J485" s="25">
        <f t="shared" si="82"/>
        <v>7.9741404289037643E-3</v>
      </c>
      <c r="K485" s="24">
        <f t="shared" si="87"/>
        <v>8909922.3596971817</v>
      </c>
      <c r="L485" s="24">
        <f t="shared" si="83"/>
        <v>8909922.3596971817</v>
      </c>
      <c r="M485" s="24">
        <f t="shared" si="84"/>
        <v>0</v>
      </c>
      <c r="N485" s="24">
        <f>IF(M485&lt;=0,0,IF($E$2-A485&lt;12,(M485-E485)*Dashboard!$B$18,IF($Q$2+A485&gt;=$R$2,MAX(0,M485-E485*POWER(1+$C$2,$E$2-A485))*MAX(Dashboard!$C$18,Dashboard!$B$18),IF($S$2&lt;$R$2,(M485-E485)*0.5*Dashboard!$B$18,(E485*POWER(1+$A$2,$R$2-($Q$2+A485))-E485)*0.5*Dashboard!$B$18+MAX(0,M485-E485*POWER(1+$A$2,$R$2-($Q$2+A485))*POWER(1+$C$2,$S$2-$R$2))*MAX(Dashboard!$C$18,Dashboard!$B$18)))))</f>
        <v>0</v>
      </c>
    </row>
    <row r="486" spans="1:14" x14ac:dyDescent="0.2">
      <c r="A486" s="22">
        <f t="shared" si="85"/>
        <v>481</v>
      </c>
      <c r="B486" s="23">
        <f t="shared" si="86"/>
        <v>58.138127853881819</v>
      </c>
      <c r="C486" t="str">
        <f t="shared" si="77"/>
        <v>58 y 1.66 m</v>
      </c>
      <c r="D486" s="24">
        <f>IF(A486&gt;=$E$2,IF(A486&lt;$E$2+$H$2,$P$2,0),IF(B486&lt;Dashboard!$I$6,0,IF(A486&gt;=$F$2,Dashboard!$C$22*POWER(1+$C$2,A486-$F$2),Dashboard!$C$22)))</f>
        <v>0</v>
      </c>
      <c r="E486" s="24">
        <f>IF(A486&gt;=$F$2,0,IF(A486=0,Dashboard!$G$10,IF(B486&lt;Dashboard!$I$6,IF($J$2&lt;=Dashboard!$H$10,Dashboard!$H$10,MAX(Dashboard!$H$10,MIN($J$2,Dashboard!$H$10*POWER($J$2/Dashboard!$H$10,A486/$D$2)))),$I$2-D486-Dashboard!$I$10-Dashboard!$J$10-Dashboard!$F$10*$I$2)))</f>
        <v>0</v>
      </c>
      <c r="F486" s="24">
        <f t="shared" si="78"/>
        <v>7732.3064100476931</v>
      </c>
      <c r="G486" s="24">
        <f t="shared" si="79"/>
        <v>9949.4853476871813</v>
      </c>
      <c r="H486" s="24">
        <f t="shared" si="80"/>
        <v>0</v>
      </c>
      <c r="I486" s="24">
        <f t="shared" si="81"/>
        <v>-9949.4853476871813</v>
      </c>
      <c r="J486" s="25">
        <f t="shared" si="82"/>
        <v>7.9741404289037643E-3</v>
      </c>
      <c r="K486" s="24">
        <f t="shared" si="87"/>
        <v>8970942.5078629926</v>
      </c>
      <c r="L486" s="24">
        <f t="shared" si="83"/>
        <v>8970942.5078629926</v>
      </c>
      <c r="M486" s="24">
        <f t="shared" si="84"/>
        <v>0</v>
      </c>
      <c r="N486" s="24">
        <f>IF(M486&lt;=0,0,IF($E$2-A486&lt;12,(M486-E486)*Dashboard!$B$18,IF($Q$2+A486&gt;=$R$2,MAX(0,M486-E486*POWER(1+$C$2,$E$2-A486))*MAX(Dashboard!$C$18,Dashboard!$B$18),IF($S$2&lt;$R$2,(M486-E486)*0.5*Dashboard!$B$18,(E486*POWER(1+$A$2,$R$2-($Q$2+A486))-E486)*0.5*Dashboard!$B$18+MAX(0,M486-E486*POWER(1+$A$2,$R$2-($Q$2+A486))*POWER(1+$C$2,$S$2-$R$2))*MAX(Dashboard!$C$18,Dashboard!$B$18)))))</f>
        <v>0</v>
      </c>
    </row>
    <row r="487" spans="1:14" x14ac:dyDescent="0.2">
      <c r="A487" s="22">
        <f t="shared" si="85"/>
        <v>482</v>
      </c>
      <c r="B487" s="23">
        <f t="shared" si="86"/>
        <v>58.221461187215155</v>
      </c>
      <c r="C487" t="str">
        <f t="shared" si="77"/>
        <v>58 y 2.66 m</v>
      </c>
      <c r="D487" s="24">
        <f>IF(A487&gt;=$E$2,IF(A487&lt;$E$2+$H$2,$P$2,0),IF(B487&lt;Dashboard!$I$6,0,IF(A487&gt;=$F$2,Dashboard!$C$22*POWER(1+$C$2,A487-$F$2),Dashboard!$C$22)))</f>
        <v>0</v>
      </c>
      <c r="E487" s="24">
        <f>IF(A487&gt;=$F$2,0,IF(A487=0,Dashboard!$G$10,IF(B487&lt;Dashboard!$I$6,IF($J$2&lt;=Dashboard!$H$10,Dashboard!$H$10,MAX(Dashboard!$H$10,MIN($J$2,Dashboard!$H$10*POWER($J$2/Dashboard!$H$10,A487/$D$2)))),$I$2-D487-Dashboard!$I$10-Dashboard!$J$10-Dashboard!$F$10*$I$2)))</f>
        <v>0</v>
      </c>
      <c r="F487" s="24">
        <f t="shared" si="78"/>
        <v>7748.2336952406467</v>
      </c>
      <c r="G487" s="24">
        <f t="shared" si="79"/>
        <v>9972.2386122485423</v>
      </c>
      <c r="H487" s="24">
        <f t="shared" si="80"/>
        <v>0</v>
      </c>
      <c r="I487" s="24">
        <f t="shared" si="81"/>
        <v>-9972.2386122485423</v>
      </c>
      <c r="J487" s="25">
        <f t="shared" si="82"/>
        <v>7.9741404289037643E-3</v>
      </c>
      <c r="K487" s="24">
        <f t="shared" si="87"/>
        <v>9032426.3045569826</v>
      </c>
      <c r="L487" s="24">
        <f t="shared" si="83"/>
        <v>9032426.3045569826</v>
      </c>
      <c r="M487" s="24">
        <f t="shared" si="84"/>
        <v>0</v>
      </c>
      <c r="N487" s="24">
        <f>IF(M487&lt;=0,0,IF($E$2-A487&lt;12,(M487-E487)*Dashboard!$B$18,IF($Q$2+A487&gt;=$R$2,MAX(0,M487-E487*POWER(1+$C$2,$E$2-A487))*MAX(Dashboard!$C$18,Dashboard!$B$18),IF($S$2&lt;$R$2,(M487-E487)*0.5*Dashboard!$B$18,(E487*POWER(1+$A$2,$R$2-($Q$2+A487))-E487)*0.5*Dashboard!$B$18+MAX(0,M487-E487*POWER(1+$A$2,$R$2-($Q$2+A487))*POWER(1+$C$2,$S$2-$R$2))*MAX(Dashboard!$C$18,Dashboard!$B$18)))))</f>
        <v>0</v>
      </c>
    </row>
    <row r="488" spans="1:14" x14ac:dyDescent="0.2">
      <c r="A488" s="22">
        <f t="shared" si="85"/>
        <v>483</v>
      </c>
      <c r="B488" s="23">
        <f t="shared" si="86"/>
        <v>58.304794520548491</v>
      </c>
      <c r="C488" t="str">
        <f t="shared" si="77"/>
        <v>58 y 3.66 m</v>
      </c>
      <c r="D488" s="24">
        <f>IF(A488&gt;=$E$2,IF(A488&lt;$E$2+$H$2,$P$2,0),IF(B488&lt;Dashboard!$I$6,0,IF(A488&gt;=$F$2,Dashboard!$C$22*POWER(1+$C$2,A488-$F$2),Dashboard!$C$22)))</f>
        <v>0</v>
      </c>
      <c r="E488" s="24">
        <f>IF(A488&gt;=$F$2,0,IF(A488=0,Dashboard!$G$10,IF(B488&lt;Dashboard!$I$6,IF($J$2&lt;=Dashboard!$H$10,Dashboard!$H$10,MAX(Dashboard!$H$10,MIN($J$2,Dashboard!$H$10*POWER($J$2/Dashboard!$H$10,A488/$D$2)))),$I$2-D488-Dashboard!$I$10-Dashboard!$J$10-Dashboard!$F$10*$I$2)))</f>
        <v>0</v>
      </c>
      <c r="F488" s="24">
        <f t="shared" si="78"/>
        <v>7764.1937880333235</v>
      </c>
      <c r="G488" s="24">
        <f t="shared" si="79"/>
        <v>9995.0387448095098</v>
      </c>
      <c r="H488" s="24">
        <f t="shared" si="80"/>
        <v>0</v>
      </c>
      <c r="I488" s="24">
        <f t="shared" si="81"/>
        <v>-9995.0387448095098</v>
      </c>
      <c r="J488" s="25">
        <f t="shared" si="82"/>
        <v>7.9741404289037643E-3</v>
      </c>
      <c r="K488" s="24">
        <f t="shared" si="87"/>
        <v>9094377.3997358922</v>
      </c>
      <c r="L488" s="24">
        <f t="shared" si="83"/>
        <v>9094377.3997358922</v>
      </c>
      <c r="M488" s="24">
        <f t="shared" si="84"/>
        <v>0</v>
      </c>
      <c r="N488" s="24">
        <f>IF(M488&lt;=0,0,IF($E$2-A488&lt;12,(M488-E488)*Dashboard!$B$18,IF($Q$2+A488&gt;=$R$2,MAX(0,M488-E488*POWER(1+$C$2,$E$2-A488))*MAX(Dashboard!$C$18,Dashboard!$B$18),IF($S$2&lt;$R$2,(M488-E488)*0.5*Dashboard!$B$18,(E488*POWER(1+$A$2,$R$2-($Q$2+A488))-E488)*0.5*Dashboard!$B$18+MAX(0,M488-E488*POWER(1+$A$2,$R$2-($Q$2+A488))*POWER(1+$C$2,$S$2-$R$2))*MAX(Dashboard!$C$18,Dashboard!$B$18)))))</f>
        <v>0</v>
      </c>
    </row>
    <row r="489" spans="1:14" x14ac:dyDescent="0.2">
      <c r="A489" s="22">
        <f t="shared" si="85"/>
        <v>484</v>
      </c>
      <c r="B489" s="23">
        <f t="shared" si="86"/>
        <v>58.388127853881826</v>
      </c>
      <c r="C489" t="str">
        <f t="shared" si="77"/>
        <v>58 y 4.66 m</v>
      </c>
      <c r="D489" s="24">
        <f>IF(A489&gt;=$E$2,IF(A489&lt;$E$2+$H$2,$P$2,0),IF(B489&lt;Dashboard!$I$6,0,IF(A489&gt;=$F$2,Dashboard!$C$22*POWER(1+$C$2,A489-$F$2),Dashboard!$C$22)))</f>
        <v>0</v>
      </c>
      <c r="E489" s="24">
        <f>IF(A489&gt;=$F$2,0,IF(A489=0,Dashboard!$G$10,IF(B489&lt;Dashboard!$I$6,IF($J$2&lt;=Dashboard!$H$10,Dashboard!$H$10,MAX(Dashboard!$H$10,MIN($J$2,Dashboard!$H$10*POWER($J$2/Dashboard!$H$10,A489/$D$2)))),$I$2-D489-Dashboard!$I$10-Dashboard!$J$10-Dashboard!$F$10*$I$2)))</f>
        <v>0</v>
      </c>
      <c r="F489" s="24">
        <f t="shared" si="78"/>
        <v>7780.1867560040009</v>
      </c>
      <c r="G489" s="24">
        <f t="shared" si="79"/>
        <v>10017.885841910478</v>
      </c>
      <c r="H489" s="24">
        <f t="shared" si="80"/>
        <v>0</v>
      </c>
      <c r="I489" s="24">
        <f t="shared" si="81"/>
        <v>-10017.885841910478</v>
      </c>
      <c r="J489" s="25">
        <f t="shared" si="82"/>
        <v>7.9741404289037643E-3</v>
      </c>
      <c r="K489" s="24">
        <f t="shared" si="87"/>
        <v>9156799.4723644201</v>
      </c>
      <c r="L489" s="24">
        <f t="shared" si="83"/>
        <v>9156799.4723644201</v>
      </c>
      <c r="M489" s="24">
        <f t="shared" si="84"/>
        <v>0</v>
      </c>
      <c r="N489" s="24">
        <f>IF(M489&lt;=0,0,IF($E$2-A489&lt;12,(M489-E489)*Dashboard!$B$18,IF($Q$2+A489&gt;=$R$2,MAX(0,M489-E489*POWER(1+$C$2,$E$2-A489))*MAX(Dashboard!$C$18,Dashboard!$B$18),IF($S$2&lt;$R$2,(M489-E489)*0.5*Dashboard!$B$18,(E489*POWER(1+$A$2,$R$2-($Q$2+A489))-E489)*0.5*Dashboard!$B$18+MAX(0,M489-E489*POWER(1+$A$2,$R$2-($Q$2+A489))*POWER(1+$C$2,$S$2-$R$2))*MAX(Dashboard!$C$18,Dashboard!$B$18)))))</f>
        <v>0</v>
      </c>
    </row>
    <row r="490" spans="1:14" x14ac:dyDescent="0.2">
      <c r="A490" s="22">
        <f t="shared" si="85"/>
        <v>485</v>
      </c>
      <c r="B490" s="23">
        <f t="shared" si="86"/>
        <v>58.471461187215162</v>
      </c>
      <c r="C490" t="str">
        <f t="shared" si="77"/>
        <v>58 y 5.66 m</v>
      </c>
      <c r="D490" s="24">
        <f>IF(A490&gt;=$E$2,IF(A490&lt;$E$2+$H$2,$P$2,0),IF(B490&lt;Dashboard!$I$6,0,IF(A490&gt;=$F$2,Dashboard!$C$22*POWER(1+$C$2,A490-$F$2),Dashboard!$C$22)))</f>
        <v>0</v>
      </c>
      <c r="E490" s="24">
        <f>IF(A490&gt;=$F$2,0,IF(A490=0,Dashboard!$G$10,IF(B490&lt;Dashboard!$I$6,IF($J$2&lt;=Dashboard!$H$10,Dashboard!$H$10,MAX(Dashboard!$H$10,MIN($J$2,Dashboard!$H$10*POWER($J$2/Dashboard!$H$10,A490/$D$2)))),$I$2-D490-Dashboard!$I$10-Dashboard!$J$10-Dashboard!$F$10*$I$2)))</f>
        <v>0</v>
      </c>
      <c r="F490" s="24">
        <f t="shared" si="78"/>
        <v>7796.2126668701676</v>
      </c>
      <c r="G490" s="24">
        <f t="shared" si="79"/>
        <v>10040.780000290715</v>
      </c>
      <c r="H490" s="24">
        <f t="shared" si="80"/>
        <v>0</v>
      </c>
      <c r="I490" s="24">
        <f t="shared" si="81"/>
        <v>-10040.780000290715</v>
      </c>
      <c r="J490" s="25">
        <f t="shared" si="82"/>
        <v>7.9741404289037643E-3</v>
      </c>
      <c r="K490" s="24">
        <f t="shared" si="87"/>
        <v>9219696.2306463383</v>
      </c>
      <c r="L490" s="24">
        <f t="shared" si="83"/>
        <v>9219696.2306463383</v>
      </c>
      <c r="M490" s="24">
        <f t="shared" si="84"/>
        <v>0</v>
      </c>
      <c r="N490" s="24">
        <f>IF(M490&lt;=0,0,IF($E$2-A490&lt;12,(M490-E490)*Dashboard!$B$18,IF($Q$2+A490&gt;=$R$2,MAX(0,M490-E490*POWER(1+$C$2,$E$2-A490))*MAX(Dashboard!$C$18,Dashboard!$B$18),IF($S$2&lt;$R$2,(M490-E490)*0.5*Dashboard!$B$18,(E490*POWER(1+$A$2,$R$2-($Q$2+A490))-E490)*0.5*Dashboard!$B$18+MAX(0,M490-E490*POWER(1+$A$2,$R$2-($Q$2+A490))*POWER(1+$C$2,$S$2-$R$2))*MAX(Dashboard!$C$18,Dashboard!$B$18)))))</f>
        <v>0</v>
      </c>
    </row>
    <row r="491" spans="1:14" x14ac:dyDescent="0.2">
      <c r="A491" s="22">
        <f t="shared" si="85"/>
        <v>486</v>
      </c>
      <c r="B491" s="23">
        <f t="shared" si="86"/>
        <v>58.554794520548498</v>
      </c>
      <c r="C491" t="str">
        <f t="shared" si="77"/>
        <v>58 y 6.66 m</v>
      </c>
      <c r="D491" s="24">
        <f>IF(A491&gt;=$E$2,IF(A491&lt;$E$2+$H$2,$P$2,0),IF(B491&lt;Dashboard!$I$6,0,IF(A491&gt;=$F$2,Dashboard!$C$22*POWER(1+$C$2,A491-$F$2),Dashboard!$C$22)))</f>
        <v>0</v>
      </c>
      <c r="E491" s="24">
        <f>IF(A491&gt;=$F$2,0,IF(A491=0,Dashboard!$G$10,IF(B491&lt;Dashboard!$I$6,IF($J$2&lt;=Dashboard!$H$10,Dashboard!$H$10,MAX(Dashboard!$H$10,MIN($J$2,Dashboard!$H$10*POWER($J$2/Dashboard!$H$10,A491/$D$2)))),$I$2-D491-Dashboard!$I$10-Dashboard!$J$10-Dashboard!$F$10*$I$2)))</f>
        <v>0</v>
      </c>
      <c r="F491" s="24">
        <f t="shared" si="78"/>
        <v>7812.2715884887966</v>
      </c>
      <c r="G491" s="24">
        <f t="shared" si="79"/>
        <v>10063.721316888759</v>
      </c>
      <c r="H491" s="24">
        <f t="shared" si="80"/>
        <v>0</v>
      </c>
      <c r="I491" s="24">
        <f t="shared" si="81"/>
        <v>-10063.721316888759</v>
      </c>
      <c r="J491" s="25">
        <f t="shared" si="82"/>
        <v>7.9741404289037643E-3</v>
      </c>
      <c r="K491" s="24">
        <f t="shared" si="87"/>
        <v>9283071.4122574404</v>
      </c>
      <c r="L491" s="24">
        <f t="shared" si="83"/>
        <v>9283071.4122574404</v>
      </c>
      <c r="M491" s="24">
        <f t="shared" si="84"/>
        <v>0</v>
      </c>
      <c r="N491" s="24">
        <f>IF(M491&lt;=0,0,IF($E$2-A491&lt;12,(M491-E491)*Dashboard!$B$18,IF($Q$2+A491&gt;=$R$2,MAX(0,M491-E491*POWER(1+$C$2,$E$2-A491))*MAX(Dashboard!$C$18,Dashboard!$B$18),IF($S$2&lt;$R$2,(M491-E491)*0.5*Dashboard!$B$18,(E491*POWER(1+$A$2,$R$2-($Q$2+A491))-E491)*0.5*Dashboard!$B$18+MAX(0,M491-E491*POWER(1+$A$2,$R$2-($Q$2+A491))*POWER(1+$C$2,$S$2-$R$2))*MAX(Dashboard!$C$18,Dashboard!$B$18)))))</f>
        <v>0</v>
      </c>
    </row>
    <row r="492" spans="1:14" x14ac:dyDescent="0.2">
      <c r="A492" s="22">
        <f t="shared" si="85"/>
        <v>487</v>
      </c>
      <c r="B492" s="23">
        <f t="shared" si="86"/>
        <v>58.638127853881834</v>
      </c>
      <c r="C492" t="str">
        <f t="shared" si="77"/>
        <v>58 y 7.66 m</v>
      </c>
      <c r="D492" s="24">
        <f>IF(A492&gt;=$E$2,IF(A492&lt;$E$2+$H$2,$P$2,0),IF(B492&lt;Dashboard!$I$6,0,IF(A492&gt;=$F$2,Dashboard!$C$22*POWER(1+$C$2,A492-$F$2),Dashboard!$C$22)))</f>
        <v>0</v>
      </c>
      <c r="E492" s="24">
        <f>IF(A492&gt;=$F$2,0,IF(A492=0,Dashboard!$G$10,IF(B492&lt;Dashboard!$I$6,IF($J$2&lt;=Dashboard!$H$10,Dashboard!$H$10,MAX(Dashboard!$H$10,MIN($J$2,Dashboard!$H$10*POWER($J$2/Dashboard!$H$10,A492/$D$2)))),$I$2-D492-Dashboard!$I$10-Dashboard!$J$10-Dashboard!$F$10*$I$2)))</f>
        <v>0</v>
      </c>
      <c r="F492" s="24">
        <f t="shared" si="78"/>
        <v>7828.3635888566259</v>
      </c>
      <c r="G492" s="24">
        <f t="shared" si="79"/>
        <v>10086.709888842799</v>
      </c>
      <c r="H492" s="24">
        <f t="shared" si="80"/>
        <v>0</v>
      </c>
      <c r="I492" s="24">
        <f t="shared" si="81"/>
        <v>-10086.709888842799</v>
      </c>
      <c r="J492" s="25">
        <f t="shared" si="82"/>
        <v>7.9741404289037643E-3</v>
      </c>
      <c r="K492" s="24">
        <f t="shared" si="87"/>
        <v>9346928.7845803611</v>
      </c>
      <c r="L492" s="24">
        <f t="shared" si="83"/>
        <v>9346928.7845803611</v>
      </c>
      <c r="M492" s="24">
        <f t="shared" si="84"/>
        <v>0</v>
      </c>
      <c r="N492" s="24">
        <f>IF(M492&lt;=0,0,IF($E$2-A492&lt;12,(M492-E492)*Dashboard!$B$18,IF($Q$2+A492&gt;=$R$2,MAX(0,M492-E492*POWER(1+$C$2,$E$2-A492))*MAX(Dashboard!$C$18,Dashboard!$B$18),IF($S$2&lt;$R$2,(M492-E492)*0.5*Dashboard!$B$18,(E492*POWER(1+$A$2,$R$2-($Q$2+A492))-E492)*0.5*Dashboard!$B$18+MAX(0,M492-E492*POWER(1+$A$2,$R$2-($Q$2+A492))*POWER(1+$C$2,$S$2-$R$2))*MAX(Dashboard!$C$18,Dashboard!$B$18)))))</f>
        <v>0</v>
      </c>
    </row>
    <row r="493" spans="1:14" x14ac:dyDescent="0.2">
      <c r="A493" s="22">
        <f t="shared" si="85"/>
        <v>488</v>
      </c>
      <c r="B493" s="23">
        <f t="shared" si="86"/>
        <v>58.721461187215169</v>
      </c>
      <c r="C493" t="str">
        <f t="shared" si="77"/>
        <v>58 y 8.66 m</v>
      </c>
      <c r="D493" s="24">
        <f>IF(A493&gt;=$E$2,IF(A493&lt;$E$2+$H$2,$P$2,0),IF(B493&lt;Dashboard!$I$6,0,IF(A493&gt;=$F$2,Dashboard!$C$22*POWER(1+$C$2,A493-$F$2),Dashboard!$C$22)))</f>
        <v>0</v>
      </c>
      <c r="E493" s="24">
        <f>IF(A493&gt;=$F$2,0,IF(A493=0,Dashboard!$G$10,IF(B493&lt;Dashboard!$I$6,IF($J$2&lt;=Dashboard!$H$10,Dashboard!$H$10,MAX(Dashboard!$H$10,MIN($J$2,Dashboard!$H$10*POWER($J$2/Dashboard!$H$10,A493/$D$2)))),$I$2-D493-Dashboard!$I$10-Dashboard!$J$10-Dashboard!$F$10*$I$2)))</f>
        <v>0</v>
      </c>
      <c r="F493" s="24">
        <f t="shared" si="78"/>
        <v>7844.4887361104702</v>
      </c>
      <c r="G493" s="24">
        <f t="shared" si="79"/>
        <v>10109.745813491149</v>
      </c>
      <c r="H493" s="24">
        <f t="shared" si="80"/>
        <v>0</v>
      </c>
      <c r="I493" s="24">
        <f t="shared" si="81"/>
        <v>-10109.745813491149</v>
      </c>
      <c r="J493" s="25">
        <f t="shared" si="82"/>
        <v>7.9741404289037643E-3</v>
      </c>
      <c r="K493" s="24">
        <f t="shared" si="87"/>
        <v>9411272.1449412592</v>
      </c>
      <c r="L493" s="24">
        <f t="shared" si="83"/>
        <v>9411272.1449412592</v>
      </c>
      <c r="M493" s="24">
        <f t="shared" si="84"/>
        <v>0</v>
      </c>
      <c r="N493" s="24">
        <f>IF(M493&lt;=0,0,IF($E$2-A493&lt;12,(M493-E493)*Dashboard!$B$18,IF($Q$2+A493&gt;=$R$2,MAX(0,M493-E493*POWER(1+$C$2,$E$2-A493))*MAX(Dashboard!$C$18,Dashboard!$B$18),IF($S$2&lt;$R$2,(M493-E493)*0.5*Dashboard!$B$18,(E493*POWER(1+$A$2,$R$2-($Q$2+A493))-E493)*0.5*Dashboard!$B$18+MAX(0,M493-E493*POWER(1+$A$2,$R$2-($Q$2+A493))*POWER(1+$C$2,$S$2-$R$2))*MAX(Dashboard!$C$18,Dashboard!$B$18)))))</f>
        <v>0</v>
      </c>
    </row>
    <row r="494" spans="1:14" x14ac:dyDescent="0.2">
      <c r="A494" s="22">
        <f t="shared" si="85"/>
        <v>489</v>
      </c>
      <c r="B494" s="23">
        <f t="shared" si="86"/>
        <v>58.804794520548505</v>
      </c>
      <c r="C494" t="str">
        <f t="shared" si="77"/>
        <v>58 y 9.66 m</v>
      </c>
      <c r="D494" s="24">
        <f>IF(A494&gt;=$E$2,IF(A494&lt;$E$2+$H$2,$P$2,0),IF(B494&lt;Dashboard!$I$6,0,IF(A494&gt;=$F$2,Dashboard!$C$22*POWER(1+$C$2,A494-$F$2),Dashboard!$C$22)))</f>
        <v>0</v>
      </c>
      <c r="E494" s="24">
        <f>IF(A494&gt;=$F$2,0,IF(A494=0,Dashboard!$G$10,IF(B494&lt;Dashboard!$I$6,IF($J$2&lt;=Dashboard!$H$10,Dashboard!$H$10,MAX(Dashboard!$H$10,MIN($J$2,Dashboard!$H$10*POWER($J$2/Dashboard!$H$10,A494/$D$2)))),$I$2-D494-Dashboard!$I$10-Dashboard!$J$10-Dashboard!$F$10*$I$2)))</f>
        <v>0</v>
      </c>
      <c r="F494" s="24">
        <f t="shared" si="78"/>
        <v>7860.6470985274827</v>
      </c>
      <c r="G494" s="24">
        <f t="shared" si="79"/>
        <v>10132.829188372594</v>
      </c>
      <c r="H494" s="24">
        <f t="shared" si="80"/>
        <v>0</v>
      </c>
      <c r="I494" s="24">
        <f t="shared" si="81"/>
        <v>-10132.829188372594</v>
      </c>
      <c r="J494" s="25">
        <f t="shared" si="82"/>
        <v>7.9741404289037643E-3</v>
      </c>
      <c r="K494" s="24">
        <f t="shared" si="87"/>
        <v>9476105.3208483886</v>
      </c>
      <c r="L494" s="24">
        <f t="shared" si="83"/>
        <v>9476105.3208483886</v>
      </c>
      <c r="M494" s="24">
        <f t="shared" si="84"/>
        <v>0</v>
      </c>
      <c r="N494" s="24">
        <f>IF(M494&lt;=0,0,IF($E$2-A494&lt;12,(M494-E494)*Dashboard!$B$18,IF($Q$2+A494&gt;=$R$2,MAX(0,M494-E494*POWER(1+$C$2,$E$2-A494))*MAX(Dashboard!$C$18,Dashboard!$B$18),IF($S$2&lt;$R$2,(M494-E494)*0.5*Dashboard!$B$18,(E494*POWER(1+$A$2,$R$2-($Q$2+A494))-E494)*0.5*Dashboard!$B$18+MAX(0,M494-E494*POWER(1+$A$2,$R$2-($Q$2+A494))*POWER(1+$C$2,$S$2-$R$2))*MAX(Dashboard!$C$18,Dashboard!$B$18)))))</f>
        <v>0</v>
      </c>
    </row>
    <row r="495" spans="1:14" x14ac:dyDescent="0.2">
      <c r="A495" s="22">
        <f t="shared" si="85"/>
        <v>490</v>
      </c>
      <c r="B495" s="23">
        <f t="shared" si="86"/>
        <v>58.888127853881841</v>
      </c>
      <c r="C495" t="str">
        <f t="shared" si="77"/>
        <v>58 y 10.66 m</v>
      </c>
      <c r="D495" s="24">
        <f>IF(A495&gt;=$E$2,IF(A495&lt;$E$2+$H$2,$P$2,0),IF(B495&lt;Dashboard!$I$6,0,IF(A495&gt;=$F$2,Dashboard!$C$22*POWER(1+$C$2,A495-$F$2),Dashboard!$C$22)))</f>
        <v>0</v>
      </c>
      <c r="E495" s="24">
        <f>IF(A495&gt;=$F$2,0,IF(A495=0,Dashboard!$G$10,IF(B495&lt;Dashboard!$I$6,IF($J$2&lt;=Dashboard!$H$10,Dashboard!$H$10,MAX(Dashboard!$H$10,MIN($J$2,Dashboard!$H$10*POWER($J$2/Dashboard!$H$10,A495/$D$2)))),$I$2-D495-Dashboard!$I$10-Dashboard!$J$10-Dashboard!$F$10*$I$2)))</f>
        <v>0</v>
      </c>
      <c r="F495" s="24">
        <f t="shared" si="78"/>
        <v>7876.838744525463</v>
      </c>
      <c r="G495" s="24">
        <f t="shared" si="79"/>
        <v>10155.960111226852</v>
      </c>
      <c r="H495" s="24">
        <f t="shared" si="80"/>
        <v>0</v>
      </c>
      <c r="I495" s="24">
        <f t="shared" si="81"/>
        <v>-10155.960111226852</v>
      </c>
      <c r="J495" s="25">
        <f t="shared" si="82"/>
        <v>7.9741404289037643E-3</v>
      </c>
      <c r="K495" s="24">
        <f t="shared" si="87"/>
        <v>9541432.1702325717</v>
      </c>
      <c r="L495" s="24">
        <f t="shared" si="83"/>
        <v>9541432.1702325717</v>
      </c>
      <c r="M495" s="24">
        <f t="shared" si="84"/>
        <v>0</v>
      </c>
      <c r="N495" s="24">
        <f>IF(M495&lt;=0,0,IF($E$2-A495&lt;12,(M495-E495)*Dashboard!$B$18,IF($Q$2+A495&gt;=$R$2,MAX(0,M495-E495*POWER(1+$C$2,$E$2-A495))*MAX(Dashboard!$C$18,Dashboard!$B$18),IF($S$2&lt;$R$2,(M495-E495)*0.5*Dashboard!$B$18,(E495*POWER(1+$A$2,$R$2-($Q$2+A495))-E495)*0.5*Dashboard!$B$18+MAX(0,M495-E495*POWER(1+$A$2,$R$2-($Q$2+A495))*POWER(1+$C$2,$S$2-$R$2))*MAX(Dashboard!$C$18,Dashboard!$B$18)))))</f>
        <v>0</v>
      </c>
    </row>
    <row r="496" spans="1:14" x14ac:dyDescent="0.2">
      <c r="A496" s="22">
        <f t="shared" si="85"/>
        <v>491</v>
      </c>
      <c r="B496" s="23">
        <f t="shared" si="86"/>
        <v>58.971461187215176</v>
      </c>
      <c r="C496" t="str">
        <f t="shared" si="77"/>
        <v>58 y 11.66 m</v>
      </c>
      <c r="D496" s="24">
        <f>IF(A496&gt;=$E$2,IF(A496&lt;$E$2+$H$2,$P$2,0),IF(B496&lt;Dashboard!$I$6,0,IF(A496&gt;=$F$2,Dashboard!$C$22*POWER(1+$C$2,A496-$F$2),Dashboard!$C$22)))</f>
        <v>0</v>
      </c>
      <c r="E496" s="24">
        <f>IF(A496&gt;=$F$2,0,IF(A496=0,Dashboard!$G$10,IF(B496&lt;Dashboard!$I$6,IF($J$2&lt;=Dashboard!$H$10,Dashboard!$H$10,MAX(Dashboard!$H$10,MIN($J$2,Dashboard!$H$10*POWER($J$2/Dashboard!$H$10,A496/$D$2)))),$I$2-D496-Dashboard!$I$10-Dashboard!$J$10-Dashboard!$F$10*$I$2)))</f>
        <v>0</v>
      </c>
      <c r="F496" s="24">
        <f t="shared" si="78"/>
        <v>7893.0637426631392</v>
      </c>
      <c r="G496" s="24">
        <f t="shared" si="79"/>
        <v>10179.13867999496</v>
      </c>
      <c r="H496" s="24">
        <f t="shared" si="80"/>
        <v>0</v>
      </c>
      <c r="I496" s="24">
        <f t="shared" si="81"/>
        <v>-10179.13867999496</v>
      </c>
      <c r="J496" s="25">
        <f t="shared" si="82"/>
        <v>7.9741404289037643E-3</v>
      </c>
      <c r="K496" s="24">
        <f t="shared" si="87"/>
        <v>9607256.5816895925</v>
      </c>
      <c r="L496" s="24">
        <f t="shared" si="83"/>
        <v>9607256.5816895925</v>
      </c>
      <c r="M496" s="24">
        <f t="shared" si="84"/>
        <v>0</v>
      </c>
      <c r="N496" s="24">
        <f>IF(M496&lt;=0,0,IF($E$2-A496&lt;12,(M496-E496)*Dashboard!$B$18,IF($Q$2+A496&gt;=$R$2,MAX(0,M496-E496*POWER(1+$C$2,$E$2-A496))*MAX(Dashboard!$C$18,Dashboard!$B$18),IF($S$2&lt;$R$2,(M496-E496)*0.5*Dashboard!$B$18,(E496*POWER(1+$A$2,$R$2-($Q$2+A496))-E496)*0.5*Dashboard!$B$18+MAX(0,M496-E496*POWER(1+$A$2,$R$2-($Q$2+A496))*POWER(1+$C$2,$S$2-$R$2))*MAX(Dashboard!$C$18,Dashboard!$B$18)))))</f>
        <v>0</v>
      </c>
    </row>
    <row r="497" spans="1:14" x14ac:dyDescent="0.2">
      <c r="A497" s="22">
        <f t="shared" si="85"/>
        <v>492</v>
      </c>
      <c r="B497" s="23">
        <f t="shared" si="86"/>
        <v>59.054794520548512</v>
      </c>
      <c r="C497" t="str">
        <f t="shared" si="77"/>
        <v>59 y 0.66 m</v>
      </c>
      <c r="D497" s="24">
        <f>IF(A497&gt;=$E$2,IF(A497&lt;$E$2+$H$2,$P$2,0),IF(B497&lt;Dashboard!$I$6,0,IF(A497&gt;=$F$2,Dashboard!$C$22*POWER(1+$C$2,A497-$F$2),Dashboard!$C$22)))</f>
        <v>0</v>
      </c>
      <c r="E497" s="24">
        <f>IF(A497&gt;=$F$2,0,IF(A497=0,Dashboard!$G$10,IF(B497&lt;Dashboard!$I$6,IF($J$2&lt;=Dashboard!$H$10,Dashboard!$H$10,MAX(Dashboard!$H$10,MIN($J$2,Dashboard!$H$10*POWER($J$2/Dashboard!$H$10,A497/$D$2)))),$I$2-D497-Dashboard!$I$10-Dashboard!$J$10-Dashboard!$F$10*$I$2)))</f>
        <v>0</v>
      </c>
      <c r="F497" s="24">
        <f t="shared" si="78"/>
        <v>7909.3221616404571</v>
      </c>
      <c r="G497" s="24">
        <f t="shared" si="79"/>
        <v>10202.364992819703</v>
      </c>
      <c r="H497" s="24">
        <f t="shared" si="80"/>
        <v>0</v>
      </c>
      <c r="I497" s="24">
        <f t="shared" si="81"/>
        <v>-10202.364992819703</v>
      </c>
      <c r="J497" s="25">
        <f t="shared" si="82"/>
        <v>7.9741404289037643E-3</v>
      </c>
      <c r="K497" s="24">
        <f t="shared" si="87"/>
        <v>9673582.4747245163</v>
      </c>
      <c r="L497" s="24">
        <f t="shared" si="83"/>
        <v>9673582.4747245163</v>
      </c>
      <c r="M497" s="24">
        <f t="shared" si="84"/>
        <v>0</v>
      </c>
      <c r="N497" s="24">
        <f>IF(M497&lt;=0,0,IF($E$2-A497&lt;12,(M497-E497)*Dashboard!$B$18,IF($Q$2+A497&gt;=$R$2,MAX(0,M497-E497*POWER(1+$C$2,$E$2-A497))*MAX(Dashboard!$C$18,Dashboard!$B$18),IF($S$2&lt;$R$2,(M497-E497)*0.5*Dashboard!$B$18,(E497*POWER(1+$A$2,$R$2-($Q$2+A497))-E497)*0.5*Dashboard!$B$18+MAX(0,M497-E497*POWER(1+$A$2,$R$2-($Q$2+A497))*POWER(1+$C$2,$S$2-$R$2))*MAX(Dashboard!$C$18,Dashboard!$B$18)))))</f>
        <v>0</v>
      </c>
    </row>
    <row r="498" spans="1:14" x14ac:dyDescent="0.2">
      <c r="A498" s="22">
        <f t="shared" si="85"/>
        <v>493</v>
      </c>
      <c r="B498" s="23">
        <f t="shared" si="86"/>
        <v>59.138127853881848</v>
      </c>
      <c r="C498" t="str">
        <f t="shared" si="77"/>
        <v>59 y 1.66 m</v>
      </c>
      <c r="D498" s="24">
        <f>IF(A498&gt;=$E$2,IF(A498&lt;$E$2+$H$2,$P$2,0),IF(B498&lt;Dashboard!$I$6,0,IF(A498&gt;=$F$2,Dashboard!$C$22*POWER(1+$C$2,A498-$F$2),Dashboard!$C$22)))</f>
        <v>0</v>
      </c>
      <c r="E498" s="24">
        <f>IF(A498&gt;=$F$2,0,IF(A498=0,Dashboard!$G$10,IF(B498&lt;Dashboard!$I$6,IF($J$2&lt;=Dashboard!$H$10,Dashboard!$H$10,MAX(Dashboard!$H$10,MIN($J$2,Dashboard!$H$10*POWER($J$2/Dashboard!$H$10,A498/$D$2)))),$I$2-D498-Dashboard!$I$10-Dashboard!$J$10-Dashboard!$F$10*$I$2)))</f>
        <v>0</v>
      </c>
      <c r="F498" s="24">
        <f t="shared" si="78"/>
        <v>7925.614070298876</v>
      </c>
      <c r="G498" s="24">
        <f t="shared" si="79"/>
        <v>10225.639148046013</v>
      </c>
      <c r="H498" s="24">
        <f t="shared" si="80"/>
        <v>0</v>
      </c>
      <c r="I498" s="24">
        <f t="shared" si="81"/>
        <v>-10225.639148046013</v>
      </c>
      <c r="J498" s="25">
        <f t="shared" si="82"/>
        <v>7.9741404289037643E-3</v>
      </c>
      <c r="K498" s="24">
        <f t="shared" si="87"/>
        <v>9740413.7999979649</v>
      </c>
      <c r="L498" s="24">
        <f t="shared" si="83"/>
        <v>9740413.7999979649</v>
      </c>
      <c r="M498" s="24">
        <f t="shared" si="84"/>
        <v>0</v>
      </c>
      <c r="N498" s="24">
        <f>IF(M498&lt;=0,0,IF($E$2-A498&lt;12,(M498-E498)*Dashboard!$B$18,IF($Q$2+A498&gt;=$R$2,MAX(0,M498-E498*POWER(1+$C$2,$E$2-A498))*MAX(Dashboard!$C$18,Dashboard!$B$18),IF($S$2&lt;$R$2,(M498-E498)*0.5*Dashboard!$B$18,(E498*POWER(1+$A$2,$R$2-($Q$2+A498))-E498)*0.5*Dashboard!$B$18+MAX(0,M498-E498*POWER(1+$A$2,$R$2-($Q$2+A498))*POWER(1+$C$2,$S$2-$R$2))*MAX(Dashboard!$C$18,Dashboard!$B$18)))))</f>
        <v>0</v>
      </c>
    </row>
    <row r="499" spans="1:14" x14ac:dyDescent="0.2">
      <c r="A499" s="22">
        <f t="shared" si="85"/>
        <v>494</v>
      </c>
      <c r="B499" s="23">
        <f t="shared" si="86"/>
        <v>59.221461187215183</v>
      </c>
      <c r="C499" t="str">
        <f t="shared" si="77"/>
        <v>59 y 2.66 m</v>
      </c>
      <c r="D499" s="24">
        <f>IF(A499&gt;=$E$2,IF(A499&lt;$E$2+$H$2,$P$2,0),IF(B499&lt;Dashboard!$I$6,0,IF(A499&gt;=$F$2,Dashboard!$C$22*POWER(1+$C$2,A499-$F$2),Dashboard!$C$22)))</f>
        <v>0</v>
      </c>
      <c r="E499" s="24">
        <f>IF(A499&gt;=$F$2,0,IF(A499=0,Dashboard!$G$10,IF(B499&lt;Dashboard!$I$6,IF($J$2&lt;=Dashboard!$H$10,Dashboard!$H$10,MAX(Dashboard!$H$10,MIN($J$2,Dashboard!$H$10*POWER($J$2/Dashboard!$H$10,A499/$D$2)))),$I$2-D499-Dashboard!$I$10-Dashboard!$J$10-Dashboard!$F$10*$I$2)))</f>
        <v>0</v>
      </c>
      <c r="F499" s="24">
        <f t="shared" si="78"/>
        <v>7941.9395376216535</v>
      </c>
      <c r="G499" s="24">
        <f t="shared" si="79"/>
        <v>10248.961244221411</v>
      </c>
      <c r="H499" s="24">
        <f t="shared" si="80"/>
        <v>0</v>
      </c>
      <c r="I499" s="24">
        <f t="shared" si="81"/>
        <v>-10248.961244221411</v>
      </c>
      <c r="J499" s="25">
        <f t="shared" si="82"/>
        <v>7.9741404289037643E-3</v>
      </c>
      <c r="K499" s="24">
        <f t="shared" si="87"/>
        <v>9807754.5395743474</v>
      </c>
      <c r="L499" s="24">
        <f t="shared" si="83"/>
        <v>9807754.5395743474</v>
      </c>
      <c r="M499" s="24">
        <f t="shared" si="84"/>
        <v>0</v>
      </c>
      <c r="N499" s="24">
        <f>IF(M499&lt;=0,0,IF($E$2-A499&lt;12,(M499-E499)*Dashboard!$B$18,IF($Q$2+A499&gt;=$R$2,MAX(0,M499-E499*POWER(1+$C$2,$E$2-A499))*MAX(Dashboard!$C$18,Dashboard!$B$18),IF($S$2&lt;$R$2,(M499-E499)*0.5*Dashboard!$B$18,(E499*POWER(1+$A$2,$R$2-($Q$2+A499))-E499)*0.5*Dashboard!$B$18+MAX(0,M499-E499*POWER(1+$A$2,$R$2-($Q$2+A499))*POWER(1+$C$2,$S$2-$R$2))*MAX(Dashboard!$C$18,Dashboard!$B$18)))))</f>
        <v>0</v>
      </c>
    </row>
    <row r="500" spans="1:14" x14ac:dyDescent="0.2">
      <c r="A500" s="22">
        <f t="shared" si="85"/>
        <v>495</v>
      </c>
      <c r="B500" s="23">
        <f t="shared" si="86"/>
        <v>59.304794520548519</v>
      </c>
      <c r="C500" t="str">
        <f t="shared" si="77"/>
        <v>59 y 3.66 m</v>
      </c>
      <c r="D500" s="24">
        <f>IF(A500&gt;=$E$2,IF(A500&lt;$E$2+$H$2,$P$2,0),IF(B500&lt;Dashboard!$I$6,0,IF(A500&gt;=$F$2,Dashboard!$C$22*POWER(1+$C$2,A500-$F$2),Dashboard!$C$22)))</f>
        <v>0</v>
      </c>
      <c r="E500" s="24">
        <f>IF(A500&gt;=$F$2,0,IF(A500=0,Dashboard!$G$10,IF(B500&lt;Dashboard!$I$6,IF($J$2&lt;=Dashboard!$H$10,Dashboard!$H$10,MAX(Dashboard!$H$10,MIN($J$2,Dashboard!$H$10*POWER($J$2/Dashboard!$H$10,A500/$D$2)))),$I$2-D500-Dashboard!$I$10-Dashboard!$J$10-Dashboard!$F$10*$I$2)))</f>
        <v>0</v>
      </c>
      <c r="F500" s="24">
        <f t="shared" si="78"/>
        <v>7958.2986327341441</v>
      </c>
      <c r="G500" s="24">
        <f t="shared" si="79"/>
        <v>10272.331380096397</v>
      </c>
      <c r="H500" s="24">
        <f t="shared" si="80"/>
        <v>0</v>
      </c>
      <c r="I500" s="24">
        <f t="shared" si="81"/>
        <v>-10272.331380096397</v>
      </c>
      <c r="J500" s="25">
        <f t="shared" si="82"/>
        <v>7.9741404289037643E-3</v>
      </c>
      <c r="K500" s="24">
        <f t="shared" si="87"/>
        <v>9875608.7071720771</v>
      </c>
      <c r="L500" s="24">
        <f t="shared" si="83"/>
        <v>9875608.7071720771</v>
      </c>
      <c r="M500" s="24">
        <f t="shared" si="84"/>
        <v>0</v>
      </c>
      <c r="N500" s="24">
        <f>IF(M500&lt;=0,0,IF($E$2-A500&lt;12,(M500-E500)*Dashboard!$B$18,IF($Q$2+A500&gt;=$R$2,MAX(0,M500-E500*POWER(1+$C$2,$E$2-A500))*MAX(Dashboard!$C$18,Dashboard!$B$18),IF($S$2&lt;$R$2,(M500-E500)*0.5*Dashboard!$B$18,(E500*POWER(1+$A$2,$R$2-($Q$2+A500))-E500)*0.5*Dashboard!$B$18+MAX(0,M500-E500*POWER(1+$A$2,$R$2-($Q$2+A500))*POWER(1+$C$2,$S$2-$R$2))*MAX(Dashboard!$C$18,Dashboard!$B$18)))))</f>
        <v>0</v>
      </c>
    </row>
    <row r="501" spans="1:14" x14ac:dyDescent="0.2">
      <c r="A501" s="22">
        <f t="shared" si="85"/>
        <v>496</v>
      </c>
      <c r="B501" s="23">
        <f t="shared" si="86"/>
        <v>59.388127853881855</v>
      </c>
      <c r="C501" t="str">
        <f t="shared" si="77"/>
        <v>59 y 4.66 m</v>
      </c>
      <c r="D501" s="24">
        <f>IF(A501&gt;=$E$2,IF(A501&lt;$E$2+$H$2,$P$2,0),IF(B501&lt;Dashboard!$I$6,0,IF(A501&gt;=$F$2,Dashboard!$C$22*POWER(1+$C$2,A501-$F$2),Dashboard!$C$22)))</f>
        <v>0</v>
      </c>
      <c r="E501" s="24">
        <f>IF(A501&gt;=$F$2,0,IF(A501=0,Dashboard!$G$10,IF(B501&lt;Dashboard!$I$6,IF($J$2&lt;=Dashboard!$H$10,Dashboard!$H$10,MAX(Dashboard!$H$10,MIN($J$2,Dashboard!$H$10*POWER($J$2/Dashboard!$H$10,A501/$D$2)))),$I$2-D501-Dashboard!$I$10-Dashboard!$J$10-Dashboard!$F$10*$I$2)))</f>
        <v>0</v>
      </c>
      <c r="F501" s="24">
        <f t="shared" si="78"/>
        <v>7974.6914249040901</v>
      </c>
      <c r="G501" s="24">
        <f t="shared" si="79"/>
        <v>10295.749654624891</v>
      </c>
      <c r="H501" s="24">
        <f t="shared" si="80"/>
        <v>0</v>
      </c>
      <c r="I501" s="24">
        <f t="shared" si="81"/>
        <v>-10295.749654624891</v>
      </c>
      <c r="J501" s="25">
        <f t="shared" si="82"/>
        <v>7.9741404289037643E-3</v>
      </c>
      <c r="K501" s="24">
        <f t="shared" si="87"/>
        <v>9943980.3484157808</v>
      </c>
      <c r="L501" s="24">
        <f t="shared" si="83"/>
        <v>9943980.3484157808</v>
      </c>
      <c r="M501" s="24">
        <f t="shared" si="84"/>
        <v>0</v>
      </c>
      <c r="N501" s="24">
        <f>IF(M501&lt;=0,0,IF($E$2-A501&lt;12,(M501-E501)*Dashboard!$B$18,IF($Q$2+A501&gt;=$R$2,MAX(0,M501-E501*POWER(1+$C$2,$E$2-A501))*MAX(Dashboard!$C$18,Dashboard!$B$18),IF($S$2&lt;$R$2,(M501-E501)*0.5*Dashboard!$B$18,(E501*POWER(1+$A$2,$R$2-($Q$2+A501))-E501)*0.5*Dashboard!$B$18+MAX(0,M501-E501*POWER(1+$A$2,$R$2-($Q$2+A501))*POWER(1+$C$2,$S$2-$R$2))*MAX(Dashboard!$C$18,Dashboard!$B$18)))))</f>
        <v>0</v>
      </c>
    </row>
    <row r="502" spans="1:14" x14ac:dyDescent="0.2">
      <c r="A502" s="22">
        <f t="shared" si="85"/>
        <v>497</v>
      </c>
      <c r="B502" s="23">
        <f t="shared" si="86"/>
        <v>59.471461187215191</v>
      </c>
      <c r="C502" t="str">
        <f t="shared" si="77"/>
        <v>59 y 5.66 m</v>
      </c>
      <c r="D502" s="24">
        <f>IF(A502&gt;=$E$2,IF(A502&lt;$E$2+$H$2,$P$2,0),IF(B502&lt;Dashboard!$I$6,0,IF(A502&gt;=$F$2,Dashboard!$C$22*POWER(1+$C$2,A502-$F$2),Dashboard!$C$22)))</f>
        <v>0</v>
      </c>
      <c r="E502" s="24">
        <f>IF(A502&gt;=$F$2,0,IF(A502=0,Dashboard!$G$10,IF(B502&lt;Dashboard!$I$6,IF($J$2&lt;=Dashboard!$H$10,Dashboard!$H$10,MAX(Dashboard!$H$10,MIN($J$2,Dashboard!$H$10*POWER($J$2/Dashboard!$H$10,A502/$D$2)))),$I$2-D502-Dashboard!$I$10-Dashboard!$J$10-Dashboard!$F$10*$I$2)))</f>
        <v>0</v>
      </c>
      <c r="F502" s="24">
        <f t="shared" si="78"/>
        <v>7991.1179835419125</v>
      </c>
      <c r="G502" s="24">
        <f t="shared" si="79"/>
        <v>10319.216166964636</v>
      </c>
      <c r="H502" s="24">
        <f t="shared" si="80"/>
        <v>0</v>
      </c>
      <c r="I502" s="24">
        <f t="shared" si="81"/>
        <v>-10319.216166964636</v>
      </c>
      <c r="J502" s="25">
        <f t="shared" si="82"/>
        <v>7.9741404289037643E-3</v>
      </c>
      <c r="K502" s="24">
        <f t="shared" si="87"/>
        <v>10012873.541090513</v>
      </c>
      <c r="L502" s="24">
        <f t="shared" si="83"/>
        <v>10012873.541090513</v>
      </c>
      <c r="M502" s="24">
        <f t="shared" si="84"/>
        <v>0</v>
      </c>
      <c r="N502" s="24">
        <f>IF(M502&lt;=0,0,IF($E$2-A502&lt;12,(M502-E502)*Dashboard!$B$18,IF($Q$2+A502&gt;=$R$2,MAX(0,M502-E502*POWER(1+$C$2,$E$2-A502))*MAX(Dashboard!$C$18,Dashboard!$B$18),IF($S$2&lt;$R$2,(M502-E502)*0.5*Dashboard!$B$18,(E502*POWER(1+$A$2,$R$2-($Q$2+A502))-E502)*0.5*Dashboard!$B$18+MAX(0,M502-E502*POWER(1+$A$2,$R$2-($Q$2+A502))*POWER(1+$C$2,$S$2-$R$2))*MAX(Dashboard!$C$18,Dashboard!$B$18)))))</f>
        <v>0</v>
      </c>
    </row>
    <row r="503" spans="1:14" x14ac:dyDescent="0.2">
      <c r="A503" s="22">
        <f t="shared" si="85"/>
        <v>498</v>
      </c>
      <c r="B503" s="23">
        <f t="shared" si="86"/>
        <v>59.554794520548526</v>
      </c>
      <c r="C503" t="str">
        <f t="shared" si="77"/>
        <v>59 y 6.66 m</v>
      </c>
      <c r="D503" s="24">
        <f>IF(A503&gt;=$E$2,IF(A503&lt;$E$2+$H$2,$P$2,0),IF(B503&lt;Dashboard!$I$6,0,IF(A503&gt;=$F$2,Dashboard!$C$22*POWER(1+$C$2,A503-$F$2),Dashboard!$C$22)))</f>
        <v>0</v>
      </c>
      <c r="E503" s="24">
        <f>IF(A503&gt;=$F$2,0,IF(A503=0,Dashboard!$G$10,IF(B503&lt;Dashboard!$I$6,IF($J$2&lt;=Dashboard!$H$10,Dashboard!$H$10,MAX(Dashboard!$H$10,MIN($J$2,Dashboard!$H$10*POWER($J$2/Dashboard!$H$10,A503/$D$2)))),$I$2-D503-Dashboard!$I$10-Dashboard!$J$10-Dashboard!$F$10*$I$2)))</f>
        <v>0</v>
      </c>
      <c r="F503" s="24">
        <f t="shared" si="78"/>
        <v>8007.5783782010021</v>
      </c>
      <c r="G503" s="24">
        <f t="shared" si="79"/>
        <v>10342.731016477623</v>
      </c>
      <c r="H503" s="24">
        <f t="shared" si="80"/>
        <v>0</v>
      </c>
      <c r="I503" s="24">
        <f t="shared" si="81"/>
        <v>-10342.731016477623</v>
      </c>
      <c r="J503" s="25">
        <f t="shared" si="82"/>
        <v>7.9741404289037643E-3</v>
      </c>
      <c r="K503" s="24">
        <f t="shared" si="87"/>
        <v>10082292.395398002</v>
      </c>
      <c r="L503" s="24">
        <f t="shared" si="83"/>
        <v>10082292.395398002</v>
      </c>
      <c r="M503" s="24">
        <f t="shared" si="84"/>
        <v>0</v>
      </c>
      <c r="N503" s="24">
        <f>IF(M503&lt;=0,0,IF($E$2-A503&lt;12,(M503-E503)*Dashboard!$B$18,IF($Q$2+A503&gt;=$R$2,MAX(0,M503-E503*POWER(1+$C$2,$E$2-A503))*MAX(Dashboard!$C$18,Dashboard!$B$18),IF($S$2&lt;$R$2,(M503-E503)*0.5*Dashboard!$B$18,(E503*POWER(1+$A$2,$R$2-($Q$2+A503))-E503)*0.5*Dashboard!$B$18+MAX(0,M503-E503*POWER(1+$A$2,$R$2-($Q$2+A503))*POWER(1+$C$2,$S$2-$R$2))*MAX(Dashboard!$C$18,Dashboard!$B$18)))))</f>
        <v>0</v>
      </c>
    </row>
    <row r="504" spans="1:14" x14ac:dyDescent="0.2">
      <c r="A504" s="22">
        <f t="shared" si="85"/>
        <v>499</v>
      </c>
      <c r="B504" s="23">
        <f t="shared" si="86"/>
        <v>59.638127853881862</v>
      </c>
      <c r="C504" t="str">
        <f t="shared" si="77"/>
        <v>59 y 7.66 m</v>
      </c>
      <c r="D504" s="24">
        <f>IF(A504&gt;=$E$2,IF(A504&lt;$E$2+$H$2,$P$2,0),IF(B504&lt;Dashboard!$I$6,0,IF(A504&gt;=$F$2,Dashboard!$C$22*POWER(1+$C$2,A504-$F$2),Dashboard!$C$22)))</f>
        <v>0</v>
      </c>
      <c r="E504" s="24">
        <f>IF(A504&gt;=$F$2,0,IF(A504=0,Dashboard!$G$10,IF(B504&lt;Dashboard!$I$6,IF($J$2&lt;=Dashboard!$H$10,Dashboard!$H$10,MAX(Dashboard!$H$10,MIN($J$2,Dashboard!$H$10*POWER($J$2/Dashboard!$H$10,A504/$D$2)))),$I$2-D504-Dashboard!$I$10-Dashboard!$J$10-Dashboard!$F$10*$I$2)))</f>
        <v>0</v>
      </c>
      <c r="F504" s="24">
        <f t="shared" si="78"/>
        <v>8024.0726785780316</v>
      </c>
      <c r="G504" s="24">
        <f t="shared" si="79"/>
        <v>10366.294302730521</v>
      </c>
      <c r="H504" s="24">
        <f t="shared" si="80"/>
        <v>0</v>
      </c>
      <c r="I504" s="24">
        <f t="shared" si="81"/>
        <v>-10366.294302730521</v>
      </c>
      <c r="J504" s="25">
        <f t="shared" si="82"/>
        <v>7.9741404289037643E-3</v>
      </c>
      <c r="K504" s="24">
        <f t="shared" si="87"/>
        <v>10152241.054214947</v>
      </c>
      <c r="L504" s="24">
        <f t="shared" si="83"/>
        <v>10152241.054214947</v>
      </c>
      <c r="M504" s="24">
        <f t="shared" si="84"/>
        <v>0</v>
      </c>
      <c r="N504" s="24">
        <f>IF(M504&lt;=0,0,IF($E$2-A504&lt;12,(M504-E504)*Dashboard!$B$18,IF($Q$2+A504&gt;=$R$2,MAX(0,M504-E504*POWER(1+$C$2,$E$2-A504))*MAX(Dashboard!$C$18,Dashboard!$B$18),IF($S$2&lt;$R$2,(M504-E504)*0.5*Dashboard!$B$18,(E504*POWER(1+$A$2,$R$2-($Q$2+A504))-E504)*0.5*Dashboard!$B$18+MAX(0,M504-E504*POWER(1+$A$2,$R$2-($Q$2+A504))*POWER(1+$C$2,$S$2-$R$2))*MAX(Dashboard!$C$18,Dashboard!$B$18)))))</f>
        <v>0</v>
      </c>
    </row>
    <row r="505" spans="1:14" x14ac:dyDescent="0.2">
      <c r="A505" s="22">
        <f t="shared" si="85"/>
        <v>500</v>
      </c>
      <c r="B505" s="23">
        <f t="shared" si="86"/>
        <v>59.721461187215198</v>
      </c>
      <c r="C505" t="str">
        <f t="shared" si="77"/>
        <v>59 y 8.66 m</v>
      </c>
      <c r="D505" s="24">
        <f>IF(A505&gt;=$E$2,IF(A505&lt;$E$2+$H$2,$P$2,0),IF(B505&lt;Dashboard!$I$6,0,IF(A505&gt;=$F$2,Dashboard!$C$22*POWER(1+$C$2,A505-$F$2),Dashboard!$C$22)))</f>
        <v>0</v>
      </c>
      <c r="E505" s="24">
        <f>IF(A505&gt;=$F$2,0,IF(A505=0,Dashboard!$G$10,IF(B505&lt;Dashboard!$I$6,IF($J$2&lt;=Dashboard!$H$10,Dashboard!$H$10,MAX(Dashboard!$H$10,MIN($J$2,Dashboard!$H$10*POWER($J$2/Dashboard!$H$10,A505/$D$2)))),$I$2-D505-Dashboard!$I$10-Dashboard!$J$10-Dashboard!$F$10*$I$2)))</f>
        <v>0</v>
      </c>
      <c r="F505" s="24">
        <f t="shared" si="78"/>
        <v>8040.6009545132192</v>
      </c>
      <c r="G505" s="24">
        <f t="shared" si="79"/>
        <v>10389.906125495076</v>
      </c>
      <c r="H505" s="24">
        <f t="shared" si="80"/>
        <v>0</v>
      </c>
      <c r="I505" s="24">
        <f t="shared" si="81"/>
        <v>-10389.906125495076</v>
      </c>
      <c r="J505" s="25">
        <f t="shared" si="82"/>
        <v>7.9741404289037643E-3</v>
      </c>
      <c r="K505" s="24">
        <f t="shared" si="87"/>
        <v>10222723.693353357</v>
      </c>
      <c r="L505" s="24">
        <f t="shared" si="83"/>
        <v>10222723.693353357</v>
      </c>
      <c r="M505" s="24">
        <f t="shared" si="84"/>
        <v>0</v>
      </c>
      <c r="N505" s="24">
        <f>IF(M505&lt;=0,0,IF($E$2-A505&lt;12,(M505-E505)*Dashboard!$B$18,IF($Q$2+A505&gt;=$R$2,MAX(0,M505-E505*POWER(1+$C$2,$E$2-A505))*MAX(Dashboard!$C$18,Dashboard!$B$18),IF($S$2&lt;$R$2,(M505-E505)*0.5*Dashboard!$B$18,(E505*POWER(1+$A$2,$R$2-($Q$2+A505))-E505)*0.5*Dashboard!$B$18+MAX(0,M505-E505*POWER(1+$A$2,$R$2-($Q$2+A505))*POWER(1+$C$2,$S$2-$R$2))*MAX(Dashboard!$C$18,Dashboard!$B$18)))))</f>
        <v>0</v>
      </c>
    </row>
    <row r="506" spans="1:14" x14ac:dyDescent="0.2">
      <c r="A506" s="22">
        <f t="shared" si="85"/>
        <v>501</v>
      </c>
      <c r="B506" s="23">
        <f t="shared" si="86"/>
        <v>59.804794520548533</v>
      </c>
      <c r="C506" t="str">
        <f t="shared" si="77"/>
        <v>59 y 9.66 m</v>
      </c>
      <c r="D506" s="24">
        <f>IF(A506&gt;=$E$2,IF(A506&lt;$E$2+$H$2,$P$2,0),IF(B506&lt;Dashboard!$I$6,0,IF(A506&gt;=$F$2,Dashboard!$C$22*POWER(1+$C$2,A506-$F$2),Dashboard!$C$22)))</f>
        <v>0</v>
      </c>
      <c r="E506" s="24">
        <f>IF(A506&gt;=$F$2,0,IF(A506=0,Dashboard!$G$10,IF(B506&lt;Dashboard!$I$6,IF($J$2&lt;=Dashboard!$H$10,Dashboard!$H$10,MAX(Dashboard!$H$10,MIN($J$2,Dashboard!$H$10*POWER($J$2/Dashboard!$H$10,A506/$D$2)))),$I$2-D506-Dashboard!$I$10-Dashboard!$J$10-Dashboard!$F$10*$I$2)))</f>
        <v>0</v>
      </c>
      <c r="F506" s="24">
        <f t="shared" si="78"/>
        <v>8057.1632759906579</v>
      </c>
      <c r="G506" s="24">
        <f t="shared" si="79"/>
        <v>10413.56658474856</v>
      </c>
      <c r="H506" s="24">
        <f t="shared" si="80"/>
        <v>0</v>
      </c>
      <c r="I506" s="24">
        <f t="shared" si="81"/>
        <v>-10413.56658474856</v>
      </c>
      <c r="J506" s="25">
        <f t="shared" si="82"/>
        <v>7.9741404289037643E-3</v>
      </c>
      <c r="K506" s="24">
        <f t="shared" si="87"/>
        <v>10293744.521822976</v>
      </c>
      <c r="L506" s="24">
        <f t="shared" si="83"/>
        <v>10293744.521822976</v>
      </c>
      <c r="M506" s="24">
        <f t="shared" si="84"/>
        <v>0</v>
      </c>
      <c r="N506" s="24">
        <f>IF(M506&lt;=0,0,IF($E$2-A506&lt;12,(M506-E506)*Dashboard!$B$18,IF($Q$2+A506&gt;=$R$2,MAX(0,M506-E506*POWER(1+$C$2,$E$2-A506))*MAX(Dashboard!$C$18,Dashboard!$B$18),IF($S$2&lt;$R$2,(M506-E506)*0.5*Dashboard!$B$18,(E506*POWER(1+$A$2,$R$2-($Q$2+A506))-E506)*0.5*Dashboard!$B$18+MAX(0,M506-E506*POWER(1+$A$2,$R$2-($Q$2+A506))*POWER(1+$C$2,$S$2-$R$2))*MAX(Dashboard!$C$18,Dashboard!$B$18)))))</f>
        <v>0</v>
      </c>
    </row>
    <row r="507" spans="1:14" x14ac:dyDescent="0.2">
      <c r="A507" s="22">
        <f t="shared" si="85"/>
        <v>502</v>
      </c>
      <c r="B507" s="23">
        <f t="shared" si="86"/>
        <v>59.888127853881869</v>
      </c>
      <c r="C507" t="str">
        <f t="shared" si="77"/>
        <v>59 y 10.66 m</v>
      </c>
      <c r="D507" s="24">
        <f>IF(A507&gt;=$E$2,IF(A507&lt;$E$2+$H$2,$P$2,0),IF(B507&lt;Dashboard!$I$6,0,IF(A507&gt;=$F$2,Dashboard!$C$22*POWER(1+$C$2,A507-$F$2),Dashboard!$C$22)))</f>
        <v>0</v>
      </c>
      <c r="E507" s="24">
        <f>IF(A507&gt;=$F$2,0,IF(A507=0,Dashboard!$G$10,IF(B507&lt;Dashboard!$I$6,IF($J$2&lt;=Dashboard!$H$10,Dashboard!$H$10,MAX(Dashboard!$H$10,MIN($J$2,Dashboard!$H$10*POWER($J$2/Dashboard!$H$10,A507/$D$2)))),$I$2-D507-Dashboard!$I$10-Dashboard!$J$10-Dashboard!$F$10*$I$2)))</f>
        <v>0</v>
      </c>
      <c r="F507" s="24">
        <f t="shared" si="78"/>
        <v>8073.7597131385892</v>
      </c>
      <c r="G507" s="24">
        <f t="shared" si="79"/>
        <v>10437.275780674176</v>
      </c>
      <c r="H507" s="24">
        <f t="shared" si="80"/>
        <v>0</v>
      </c>
      <c r="I507" s="24">
        <f t="shared" si="81"/>
        <v>-10437.275780674176</v>
      </c>
      <c r="J507" s="25">
        <f t="shared" si="82"/>
        <v>7.9741404289037643E-3</v>
      </c>
      <c r="K507" s="24">
        <f t="shared" si="87"/>
        <v>10365307.782095807</v>
      </c>
      <c r="L507" s="24">
        <f t="shared" si="83"/>
        <v>10365307.782095807</v>
      </c>
      <c r="M507" s="24">
        <f t="shared" si="84"/>
        <v>0</v>
      </c>
      <c r="N507" s="24">
        <f>IF(M507&lt;=0,0,IF($E$2-A507&lt;12,(M507-E507)*Dashboard!$B$18,IF($Q$2+A507&gt;=$R$2,MAX(0,M507-E507*POWER(1+$C$2,$E$2-A507))*MAX(Dashboard!$C$18,Dashboard!$B$18),IF($S$2&lt;$R$2,(M507-E507)*0.5*Dashboard!$B$18,(E507*POWER(1+$A$2,$R$2-($Q$2+A507))-E507)*0.5*Dashboard!$B$18+MAX(0,M507-E507*POWER(1+$A$2,$R$2-($Q$2+A507))*POWER(1+$C$2,$S$2-$R$2))*MAX(Dashboard!$C$18,Dashboard!$B$18)))))</f>
        <v>0</v>
      </c>
    </row>
    <row r="508" spans="1:14" x14ac:dyDescent="0.2">
      <c r="A508" s="22">
        <f t="shared" si="85"/>
        <v>503</v>
      </c>
      <c r="B508" s="23">
        <f t="shared" si="86"/>
        <v>59.971461187215205</v>
      </c>
      <c r="C508" t="str">
        <f t="shared" si="77"/>
        <v>59 y 11.66 m</v>
      </c>
      <c r="D508" s="24">
        <f>IF(A508&gt;=$E$2,IF(A508&lt;$E$2+$H$2,$P$2,0),IF(B508&lt;Dashboard!$I$6,0,IF(A508&gt;=$F$2,Dashboard!$C$22*POWER(1+$C$2,A508-$F$2),Dashboard!$C$22)))</f>
        <v>0</v>
      </c>
      <c r="E508" s="24">
        <f>IF(A508&gt;=$F$2,0,IF(A508=0,Dashboard!$G$10,IF(B508&lt;Dashboard!$I$6,IF($J$2&lt;=Dashboard!$H$10,Dashboard!$H$10,MAX(Dashboard!$H$10,MIN($J$2,Dashboard!$H$10*POWER($J$2/Dashboard!$H$10,A508/$D$2)))),$I$2-D508-Dashboard!$I$10-Dashboard!$J$10-Dashboard!$F$10*$I$2)))</f>
        <v>0</v>
      </c>
      <c r="F508" s="24">
        <f t="shared" si="78"/>
        <v>8090.3903362297078</v>
      </c>
      <c r="G508" s="24">
        <f t="shared" si="79"/>
        <v>10461.033813661488</v>
      </c>
      <c r="H508" s="24">
        <f t="shared" si="80"/>
        <v>0</v>
      </c>
      <c r="I508" s="24">
        <f t="shared" si="81"/>
        <v>-10461.033813661488</v>
      </c>
      <c r="J508" s="25">
        <f t="shared" si="82"/>
        <v>7.9741404289037643E-3</v>
      </c>
      <c r="K508" s="24">
        <f t="shared" si="87"/>
        <v>10437417.750372725</v>
      </c>
      <c r="L508" s="24">
        <f t="shared" si="83"/>
        <v>10437417.750372725</v>
      </c>
      <c r="M508" s="24">
        <f t="shared" si="84"/>
        <v>0</v>
      </c>
      <c r="N508" s="24">
        <f>IF(M508&lt;=0,0,IF($E$2-A508&lt;12,(M508-E508)*Dashboard!$B$18,IF($Q$2+A508&gt;=$R$2,MAX(0,M508-E508*POWER(1+$C$2,$E$2-A508))*MAX(Dashboard!$C$18,Dashboard!$B$18),IF($S$2&lt;$R$2,(M508-E508)*0.5*Dashboard!$B$18,(E508*POWER(1+$A$2,$R$2-($Q$2+A508))-E508)*0.5*Dashboard!$B$18+MAX(0,M508-E508*POWER(1+$A$2,$R$2-($Q$2+A508))*POWER(1+$C$2,$S$2-$R$2))*MAX(Dashboard!$C$18,Dashboard!$B$18)))))</f>
        <v>0</v>
      </c>
    </row>
    <row r="509" spans="1:14" x14ac:dyDescent="0.2">
      <c r="A509" s="22">
        <f t="shared" si="85"/>
        <v>504</v>
      </c>
      <c r="B509" s="23">
        <f t="shared" si="86"/>
        <v>60.054794520548541</v>
      </c>
      <c r="C509" t="str">
        <f t="shared" si="77"/>
        <v>60 y 0.66 m</v>
      </c>
      <c r="D509" s="24">
        <f>IF(A509&gt;=$E$2,IF(A509&lt;$E$2+$H$2,$P$2,0),IF(B509&lt;Dashboard!$I$6,0,IF(A509&gt;=$F$2,Dashboard!$C$22*POWER(1+$C$2,A509-$F$2),Dashboard!$C$22)))</f>
        <v>0</v>
      </c>
      <c r="E509" s="24">
        <f>IF(A509&gt;=$F$2,0,IF(A509=0,Dashboard!$G$10,IF(B509&lt;Dashboard!$I$6,IF($J$2&lt;=Dashboard!$H$10,Dashboard!$H$10,MAX(Dashboard!$H$10,MIN($J$2,Dashboard!$H$10*POWER($J$2/Dashboard!$H$10,A509/$D$2)))),$I$2-D509-Dashboard!$I$10-Dashboard!$J$10-Dashboard!$F$10*$I$2)))</f>
        <v>0</v>
      </c>
      <c r="F509" s="24">
        <f t="shared" si="78"/>
        <v>8107.0552156814583</v>
      </c>
      <c r="G509" s="24">
        <f t="shared" si="79"/>
        <v>10484.840784306845</v>
      </c>
      <c r="H509" s="24">
        <f t="shared" si="80"/>
        <v>0</v>
      </c>
      <c r="I509" s="24">
        <f t="shared" si="81"/>
        <v>-10484.840784306845</v>
      </c>
      <c r="J509" s="25">
        <f t="shared" si="82"/>
        <v>7.9741404289037643E-3</v>
      </c>
      <c r="K509" s="24">
        <f t="shared" si="87"/>
        <v>10510078.736852232</v>
      </c>
      <c r="L509" s="24">
        <f t="shared" si="83"/>
        <v>10510078.736852232</v>
      </c>
      <c r="M509" s="24">
        <f t="shared" si="84"/>
        <v>0</v>
      </c>
      <c r="N509" s="24">
        <f>IF(M509&lt;=0,0,IF($E$2-A509&lt;12,(M509-E509)*Dashboard!$B$18,IF($Q$2+A509&gt;=$R$2,MAX(0,M509-E509*POWER(1+$C$2,$E$2-A509))*MAX(Dashboard!$C$18,Dashboard!$B$18),IF($S$2&lt;$R$2,(M509-E509)*0.5*Dashboard!$B$18,(E509*POWER(1+$A$2,$R$2-($Q$2+A509))-E509)*0.5*Dashboard!$B$18+MAX(0,M509-E509*POWER(1+$A$2,$R$2-($Q$2+A509))*POWER(1+$C$2,$S$2-$R$2))*MAX(Dashboard!$C$18,Dashboard!$B$18)))))</f>
        <v>0</v>
      </c>
    </row>
    <row r="510" spans="1:14" x14ac:dyDescent="0.2">
      <c r="A510" s="22">
        <f t="shared" si="85"/>
        <v>505</v>
      </c>
      <c r="B510" s="23">
        <f t="shared" si="86"/>
        <v>60.138127853881876</v>
      </c>
      <c r="C510" t="str">
        <f t="shared" si="77"/>
        <v>60 y 1.66 m</v>
      </c>
      <c r="D510" s="24">
        <f>IF(A510&gt;=$E$2,IF(A510&lt;$E$2+$H$2,$P$2,0),IF(B510&lt;Dashboard!$I$6,0,IF(A510&gt;=$F$2,Dashboard!$C$22*POWER(1+$C$2,A510-$F$2),Dashboard!$C$22)))</f>
        <v>0</v>
      </c>
      <c r="E510" s="24">
        <f>IF(A510&gt;=$F$2,0,IF(A510=0,Dashboard!$G$10,IF(B510&lt;Dashboard!$I$6,IF($J$2&lt;=Dashboard!$H$10,Dashboard!$H$10,MAX(Dashboard!$H$10,MIN($J$2,Dashboard!$H$10*POWER($J$2/Dashboard!$H$10,A510/$D$2)))),$I$2-D510-Dashboard!$I$10-Dashboard!$J$10-Dashboard!$F$10*$I$2)))</f>
        <v>0</v>
      </c>
      <c r="F510" s="24">
        <f t="shared" si="78"/>
        <v>8123.7544220563359</v>
      </c>
      <c r="G510" s="24">
        <f t="shared" si="79"/>
        <v>10508.696793413814</v>
      </c>
      <c r="H510" s="24">
        <f t="shared" si="80"/>
        <v>0</v>
      </c>
      <c r="I510" s="24">
        <f t="shared" si="81"/>
        <v>-10508.696793413814</v>
      </c>
      <c r="J510" s="25">
        <f t="shared" si="82"/>
        <v>7.9741404289037643E-3</v>
      </c>
      <c r="K510" s="24">
        <f t="shared" si="87"/>
        <v>10583295.086001357</v>
      </c>
      <c r="L510" s="24">
        <f t="shared" si="83"/>
        <v>10583295.086001357</v>
      </c>
      <c r="M510" s="24">
        <f t="shared" si="84"/>
        <v>0</v>
      </c>
      <c r="N510" s="24">
        <f>IF(M510&lt;=0,0,IF($E$2-A510&lt;12,(M510-E510)*Dashboard!$B$18,IF($Q$2+A510&gt;=$R$2,MAX(0,M510-E510*POWER(1+$C$2,$E$2-A510))*MAX(Dashboard!$C$18,Dashboard!$B$18),IF($S$2&lt;$R$2,(M510-E510)*0.5*Dashboard!$B$18,(E510*POWER(1+$A$2,$R$2-($Q$2+A510))-E510)*0.5*Dashboard!$B$18+MAX(0,M510-E510*POWER(1+$A$2,$R$2-($Q$2+A510))*POWER(1+$C$2,$S$2-$R$2))*MAX(Dashboard!$C$18,Dashboard!$B$18)))))</f>
        <v>0</v>
      </c>
    </row>
    <row r="511" spans="1:14" x14ac:dyDescent="0.2">
      <c r="A511" s="22">
        <f t="shared" si="85"/>
        <v>506</v>
      </c>
      <c r="B511" s="23">
        <f t="shared" si="86"/>
        <v>60.221461187215212</v>
      </c>
      <c r="C511" t="str">
        <f t="shared" si="77"/>
        <v>60 y 2.66 m</v>
      </c>
      <c r="D511" s="24">
        <f>IF(A511&gt;=$E$2,IF(A511&lt;$E$2+$H$2,$P$2,0),IF(B511&lt;Dashboard!$I$6,0,IF(A511&gt;=$F$2,Dashboard!$C$22*POWER(1+$C$2,A511-$F$2),Dashboard!$C$22)))</f>
        <v>0</v>
      </c>
      <c r="E511" s="24">
        <f>IF(A511&gt;=$F$2,0,IF(A511=0,Dashboard!$G$10,IF(B511&lt;Dashboard!$I$6,IF($J$2&lt;=Dashboard!$H$10,Dashboard!$H$10,MAX(Dashboard!$H$10,MIN($J$2,Dashboard!$H$10*POWER($J$2/Dashboard!$H$10,A511/$D$2)))),$I$2-D511-Dashboard!$I$10-Dashboard!$J$10-Dashboard!$F$10*$I$2)))</f>
        <v>0</v>
      </c>
      <c r="F511" s="24">
        <f t="shared" si="78"/>
        <v>8140.4880260621831</v>
      </c>
      <c r="G511" s="24">
        <f t="shared" si="79"/>
        <v>10532.601941993595</v>
      </c>
      <c r="H511" s="24">
        <f t="shared" si="80"/>
        <v>0</v>
      </c>
      <c r="I511" s="24">
        <f t="shared" si="81"/>
        <v>-10532.601941993595</v>
      </c>
      <c r="J511" s="25">
        <f t="shared" si="82"/>
        <v>7.9741404289037643E-3</v>
      </c>
      <c r="K511" s="24">
        <f t="shared" si="87"/>
        <v>10657071.176828699</v>
      </c>
      <c r="L511" s="24">
        <f t="shared" si="83"/>
        <v>10657071.176828699</v>
      </c>
      <c r="M511" s="24">
        <f t="shared" si="84"/>
        <v>0</v>
      </c>
      <c r="N511" s="24">
        <f>IF(M511&lt;=0,0,IF($E$2-A511&lt;12,(M511-E511)*Dashboard!$B$18,IF($Q$2+A511&gt;=$R$2,MAX(0,M511-E511*POWER(1+$C$2,$E$2-A511))*MAX(Dashboard!$C$18,Dashboard!$B$18),IF($S$2&lt;$R$2,(M511-E511)*0.5*Dashboard!$B$18,(E511*POWER(1+$A$2,$R$2-($Q$2+A511))-E511)*0.5*Dashboard!$B$18+MAX(0,M511-E511*POWER(1+$A$2,$R$2-($Q$2+A511))*POWER(1+$C$2,$S$2-$R$2))*MAX(Dashboard!$C$18,Dashboard!$B$18)))))</f>
        <v>0</v>
      </c>
    </row>
    <row r="512" spans="1:14" x14ac:dyDescent="0.2">
      <c r="A512" s="22">
        <f t="shared" si="85"/>
        <v>507</v>
      </c>
      <c r="B512" s="23">
        <f t="shared" si="86"/>
        <v>60.304794520548548</v>
      </c>
      <c r="C512" t="str">
        <f t="shared" si="77"/>
        <v>60 y 3.66 m</v>
      </c>
      <c r="D512" s="24">
        <f>IF(A512&gt;=$E$2,IF(A512&lt;$E$2+$H$2,$P$2,0),IF(B512&lt;Dashboard!$I$6,0,IF(A512&gt;=$F$2,Dashboard!$C$22*POWER(1+$C$2,A512-$F$2),Dashboard!$C$22)))</f>
        <v>0</v>
      </c>
      <c r="E512" s="24">
        <f>IF(A512&gt;=$F$2,0,IF(A512=0,Dashboard!$G$10,IF(B512&lt;Dashboard!$I$6,IF($J$2&lt;=Dashboard!$H$10,Dashboard!$H$10,MAX(Dashboard!$H$10,MIN($J$2,Dashboard!$H$10*POWER($J$2/Dashboard!$H$10,A512/$D$2)))),$I$2-D512-Dashboard!$I$10-Dashboard!$J$10-Dashboard!$F$10*$I$2)))</f>
        <v>0</v>
      </c>
      <c r="F512" s="24">
        <f t="shared" si="78"/>
        <v>8157.2560985524879</v>
      </c>
      <c r="G512" s="24">
        <f t="shared" si="79"/>
        <v>10556.556331265459</v>
      </c>
      <c r="H512" s="24">
        <f t="shared" si="80"/>
        <v>0</v>
      </c>
      <c r="I512" s="24">
        <f t="shared" si="81"/>
        <v>-10556.556331265459</v>
      </c>
      <c r="J512" s="25">
        <f t="shared" si="82"/>
        <v>7.9741404289037643E-3</v>
      </c>
      <c r="K512" s="24">
        <f t="shared" si="87"/>
        <v>10731411.423159657</v>
      </c>
      <c r="L512" s="24">
        <f t="shared" si="83"/>
        <v>10731411.423159657</v>
      </c>
      <c r="M512" s="24">
        <f t="shared" si="84"/>
        <v>0</v>
      </c>
      <c r="N512" s="24">
        <f>IF(M512&lt;=0,0,IF($E$2-A512&lt;12,(M512-E512)*Dashboard!$B$18,IF($Q$2+A512&gt;=$R$2,MAX(0,M512-E512*POWER(1+$C$2,$E$2-A512))*MAX(Dashboard!$C$18,Dashboard!$B$18),IF($S$2&lt;$R$2,(M512-E512)*0.5*Dashboard!$B$18,(E512*POWER(1+$A$2,$R$2-($Q$2+A512))-E512)*0.5*Dashboard!$B$18+MAX(0,M512-E512*POWER(1+$A$2,$R$2-($Q$2+A512))*POWER(1+$C$2,$S$2-$R$2))*MAX(Dashboard!$C$18,Dashboard!$B$18)))))</f>
        <v>0</v>
      </c>
    </row>
    <row r="513" spans="1:14" x14ac:dyDescent="0.2">
      <c r="A513" s="22">
        <f t="shared" si="85"/>
        <v>508</v>
      </c>
      <c r="B513" s="23">
        <f t="shared" si="86"/>
        <v>60.388127853881883</v>
      </c>
      <c r="C513" t="str">
        <f t="shared" si="77"/>
        <v>60 y 4.66 m</v>
      </c>
      <c r="D513" s="24">
        <f>IF(A513&gt;=$E$2,IF(A513&lt;$E$2+$H$2,$P$2,0),IF(B513&lt;Dashboard!$I$6,0,IF(A513&gt;=$F$2,Dashboard!$C$22*POWER(1+$C$2,A513-$F$2),Dashboard!$C$22)))</f>
        <v>0</v>
      </c>
      <c r="E513" s="24">
        <f>IF(A513&gt;=$F$2,0,IF(A513=0,Dashboard!$G$10,IF(B513&lt;Dashboard!$I$6,IF($J$2&lt;=Dashboard!$H$10,Dashboard!$H$10,MAX(Dashboard!$H$10,MIN($J$2,Dashboard!$H$10*POWER($J$2/Dashboard!$H$10,A513/$D$2)))),$I$2-D513-Dashboard!$I$10-Dashboard!$J$10-Dashboard!$F$10*$I$2)))</f>
        <v>0</v>
      </c>
      <c r="F513" s="24">
        <f t="shared" si="78"/>
        <v>8174.0587105266795</v>
      </c>
      <c r="G513" s="24">
        <f t="shared" si="79"/>
        <v>10580.560062657163</v>
      </c>
      <c r="H513" s="24">
        <f t="shared" si="80"/>
        <v>0</v>
      </c>
      <c r="I513" s="24">
        <f t="shared" si="81"/>
        <v>-10580.560062657163</v>
      </c>
      <c r="J513" s="25">
        <f t="shared" si="82"/>
        <v>7.9741404289037643E-3</v>
      </c>
      <c r="K513" s="24">
        <f t="shared" si="87"/>
        <v>10806320.27391386</v>
      </c>
      <c r="L513" s="24">
        <f t="shared" si="83"/>
        <v>10806320.27391386</v>
      </c>
      <c r="M513" s="24">
        <f t="shared" si="84"/>
        <v>0</v>
      </c>
      <c r="N513" s="24">
        <f>IF(M513&lt;=0,0,IF($E$2-A513&lt;12,(M513-E513)*Dashboard!$B$18,IF($Q$2+A513&gt;=$R$2,MAX(0,M513-E513*POWER(1+$C$2,$E$2-A513))*MAX(Dashboard!$C$18,Dashboard!$B$18),IF($S$2&lt;$R$2,(M513-E513)*0.5*Dashboard!$B$18,(E513*POWER(1+$A$2,$R$2-($Q$2+A513))-E513)*0.5*Dashboard!$B$18+MAX(0,M513-E513*POWER(1+$A$2,$R$2-($Q$2+A513))*POWER(1+$C$2,$S$2-$R$2))*MAX(Dashboard!$C$18,Dashboard!$B$18)))))</f>
        <v>0</v>
      </c>
    </row>
    <row r="514" spans="1:14" x14ac:dyDescent="0.2">
      <c r="A514" s="22">
        <f t="shared" si="85"/>
        <v>509</v>
      </c>
      <c r="B514" s="23">
        <f t="shared" si="86"/>
        <v>60.471461187215219</v>
      </c>
      <c r="C514" t="str">
        <f t="shared" si="77"/>
        <v>60 y 5.66 m</v>
      </c>
      <c r="D514" s="24">
        <f>IF(A514&gt;=$E$2,IF(A514&lt;$E$2+$H$2,$P$2,0),IF(B514&lt;Dashboard!$I$6,0,IF(A514&gt;=$F$2,Dashboard!$C$22*POWER(1+$C$2,A514-$F$2),Dashboard!$C$22)))</f>
        <v>0</v>
      </c>
      <c r="E514" s="24">
        <f>IF(A514&gt;=$F$2,0,IF(A514=0,Dashboard!$G$10,IF(B514&lt;Dashboard!$I$6,IF($J$2&lt;=Dashboard!$H$10,Dashboard!$H$10,MAX(Dashboard!$H$10,MIN($J$2,Dashboard!$H$10*POWER($J$2/Dashboard!$H$10,A514/$D$2)))),$I$2-D514-Dashboard!$I$10-Dashboard!$J$10-Dashboard!$F$10*$I$2)))</f>
        <v>0</v>
      </c>
      <c r="F514" s="24">
        <f t="shared" si="78"/>
        <v>8190.8959331304468</v>
      </c>
      <c r="G514" s="24">
        <f t="shared" si="79"/>
        <v>10604.613237805401</v>
      </c>
      <c r="H514" s="24">
        <f t="shared" si="80"/>
        <v>0</v>
      </c>
      <c r="I514" s="24">
        <f t="shared" si="81"/>
        <v>-10604.613237805401</v>
      </c>
      <c r="J514" s="25">
        <f t="shared" si="82"/>
        <v>7.9741404289037643E-3</v>
      </c>
      <c r="K514" s="24">
        <f t="shared" si="87"/>
        <v>10881802.213384802</v>
      </c>
      <c r="L514" s="24">
        <f t="shared" si="83"/>
        <v>10881802.213384802</v>
      </c>
      <c r="M514" s="24">
        <f t="shared" si="84"/>
        <v>0</v>
      </c>
      <c r="N514" s="24">
        <f>IF(M514&lt;=0,0,IF($E$2-A514&lt;12,(M514-E514)*Dashboard!$B$18,IF($Q$2+A514&gt;=$R$2,MAX(0,M514-E514*POWER(1+$C$2,$E$2-A514))*MAX(Dashboard!$C$18,Dashboard!$B$18),IF($S$2&lt;$R$2,(M514-E514)*0.5*Dashboard!$B$18,(E514*POWER(1+$A$2,$R$2-($Q$2+A514))-E514)*0.5*Dashboard!$B$18+MAX(0,M514-E514*POWER(1+$A$2,$R$2-($Q$2+A514))*POWER(1+$C$2,$S$2-$R$2))*MAX(Dashboard!$C$18,Dashboard!$B$18)))))</f>
        <v>0</v>
      </c>
    </row>
    <row r="515" spans="1:14" x14ac:dyDescent="0.2">
      <c r="A515" s="22">
        <f t="shared" si="85"/>
        <v>510</v>
      </c>
      <c r="B515" s="23">
        <f t="shared" si="86"/>
        <v>60.554794520548555</v>
      </c>
      <c r="C515" t="str">
        <f t="shared" si="77"/>
        <v>60 y 6.66 m</v>
      </c>
      <c r="D515" s="24">
        <f>IF(A515&gt;=$E$2,IF(A515&lt;$E$2+$H$2,$P$2,0),IF(B515&lt;Dashboard!$I$6,0,IF(A515&gt;=$F$2,Dashboard!$C$22*POWER(1+$C$2,A515-$F$2),Dashboard!$C$22)))</f>
        <v>0</v>
      </c>
      <c r="E515" s="24">
        <f>IF(A515&gt;=$F$2,0,IF(A515=0,Dashboard!$G$10,IF(B515&lt;Dashboard!$I$6,IF($J$2&lt;=Dashboard!$H$10,Dashboard!$H$10,MAX(Dashboard!$H$10,MIN($J$2,Dashboard!$H$10*POWER($J$2/Dashboard!$H$10,A515/$D$2)))),$I$2-D515-Dashboard!$I$10-Dashboard!$J$10-Dashboard!$F$10*$I$2)))</f>
        <v>0</v>
      </c>
      <c r="F515" s="24">
        <f t="shared" si="78"/>
        <v>8207.7678376560179</v>
      </c>
      <c r="G515" s="24">
        <f t="shared" si="79"/>
        <v>10628.715958556217</v>
      </c>
      <c r="H515" s="24">
        <f t="shared" si="80"/>
        <v>0</v>
      </c>
      <c r="I515" s="24">
        <f t="shared" si="81"/>
        <v>-10628.715958556217</v>
      </c>
      <c r="J515" s="25">
        <f t="shared" si="82"/>
        <v>7.9741404289037643E-3</v>
      </c>
      <c r="K515" s="24">
        <f t="shared" si="87"/>
        <v>10957861.761521699</v>
      </c>
      <c r="L515" s="24">
        <f t="shared" si="83"/>
        <v>10957861.761521699</v>
      </c>
      <c r="M515" s="24">
        <f t="shared" si="84"/>
        <v>0</v>
      </c>
      <c r="N515" s="24">
        <f>IF(M515&lt;=0,0,IF($E$2-A515&lt;12,(M515-E515)*Dashboard!$B$18,IF($Q$2+A515&gt;=$R$2,MAX(0,M515-E515*POWER(1+$C$2,$E$2-A515))*MAX(Dashboard!$C$18,Dashboard!$B$18),IF($S$2&lt;$R$2,(M515-E515)*0.5*Dashboard!$B$18,(E515*POWER(1+$A$2,$R$2-($Q$2+A515))-E515)*0.5*Dashboard!$B$18+MAX(0,M515-E515*POWER(1+$A$2,$R$2-($Q$2+A515))*POWER(1+$C$2,$S$2-$R$2))*MAX(Dashboard!$C$18,Dashboard!$B$18)))))</f>
        <v>0</v>
      </c>
    </row>
    <row r="516" spans="1:14" x14ac:dyDescent="0.2">
      <c r="A516" s="22">
        <f t="shared" si="85"/>
        <v>511</v>
      </c>
      <c r="B516" s="23">
        <f t="shared" si="86"/>
        <v>60.63812785388189</v>
      </c>
      <c r="C516" t="str">
        <f t="shared" si="77"/>
        <v>60 y 7.66 m</v>
      </c>
      <c r="D516" s="24">
        <f>IF(A516&gt;=$E$2,IF(A516&lt;$E$2+$H$2,$P$2,0),IF(B516&lt;Dashboard!$I$6,0,IF(A516&gt;=$F$2,Dashboard!$C$22*POWER(1+$C$2,A516-$F$2),Dashboard!$C$22)))</f>
        <v>0</v>
      </c>
      <c r="E516" s="24">
        <f>IF(A516&gt;=$F$2,0,IF(A516=0,Dashboard!$G$10,IF(B516&lt;Dashboard!$I$6,IF($J$2&lt;=Dashboard!$H$10,Dashboard!$H$10,MAX(Dashboard!$H$10,MIN($J$2,Dashboard!$H$10*POWER($J$2/Dashboard!$H$10,A516/$D$2)))),$I$2-D516-Dashboard!$I$10-Dashboard!$J$10-Dashboard!$F$10*$I$2)))</f>
        <v>0</v>
      </c>
      <c r="F516" s="24">
        <f t="shared" si="78"/>
        <v>8224.6744955424692</v>
      </c>
      <c r="G516" s="24">
        <f t="shared" si="79"/>
        <v>10652.868326965434</v>
      </c>
      <c r="H516" s="24">
        <f t="shared" si="80"/>
        <v>0</v>
      </c>
      <c r="I516" s="24">
        <f t="shared" si="81"/>
        <v>-10652.868326965434</v>
      </c>
      <c r="J516" s="25">
        <f t="shared" si="82"/>
        <v>7.9741404289037643E-3</v>
      </c>
      <c r="K516" s="24">
        <f t="shared" si="87"/>
        <v>11034503.474213611</v>
      </c>
      <c r="L516" s="24">
        <f t="shared" si="83"/>
        <v>11034503.474213611</v>
      </c>
      <c r="M516" s="24">
        <f t="shared" si="84"/>
        <v>0</v>
      </c>
      <c r="N516" s="24">
        <f>IF(M516&lt;=0,0,IF($E$2-A516&lt;12,(M516-E516)*Dashboard!$B$18,IF($Q$2+A516&gt;=$R$2,MAX(0,M516-E516*POWER(1+$C$2,$E$2-A516))*MAX(Dashboard!$C$18,Dashboard!$B$18),IF($S$2&lt;$R$2,(M516-E516)*0.5*Dashboard!$B$18,(E516*POWER(1+$A$2,$R$2-($Q$2+A516))-E516)*0.5*Dashboard!$B$18+MAX(0,M516-E516*POWER(1+$A$2,$R$2-($Q$2+A516))*POWER(1+$C$2,$S$2-$R$2))*MAX(Dashboard!$C$18,Dashboard!$B$18)))))</f>
        <v>0</v>
      </c>
    </row>
    <row r="517" spans="1:14" x14ac:dyDescent="0.2">
      <c r="A517" s="22">
        <f t="shared" si="85"/>
        <v>512</v>
      </c>
      <c r="B517" s="23">
        <f t="shared" si="86"/>
        <v>60.721461187215226</v>
      </c>
      <c r="C517" t="str">
        <f t="shared" ref="C517:C580" si="88">INT(B517)&amp;" y "&amp;ROUND((B517-INT(B517))*12,2)&amp;" m"</f>
        <v>60 y 8.66 m</v>
      </c>
      <c r="D517" s="24">
        <f>IF(A517&gt;=$E$2,IF(A517&lt;$E$2+$H$2,$P$2,0),IF(B517&lt;Dashboard!$I$6,0,IF(A517&gt;=$F$2,Dashboard!$C$22*POWER(1+$C$2,A517-$F$2),Dashboard!$C$22)))</f>
        <v>0</v>
      </c>
      <c r="E517" s="24">
        <f>IF(A517&gt;=$F$2,0,IF(A517=0,Dashboard!$G$10,IF(B517&lt;Dashboard!$I$6,IF($J$2&lt;=Dashboard!$H$10,Dashboard!$H$10,MAX(Dashboard!$H$10,MIN($J$2,Dashboard!$H$10*POWER($J$2/Dashboard!$H$10,A517/$D$2)))),$I$2-D517-Dashboard!$I$10-Dashboard!$J$10-Dashboard!$F$10*$I$2)))</f>
        <v>0</v>
      </c>
      <c r="F517" s="24">
        <f t="shared" ref="F517:F580" si="89">IF(A517&gt;=$F$2,$X$2*POWER(1+$C$2,A517-$F$2)+D517,0)</f>
        <v>8241.6159783760395</v>
      </c>
      <c r="G517" s="24">
        <f t="shared" ref="G517:G580" si="90">IF(F517&lt;=0,0,IF(F517*12&lt;=18200,F517,IF(F517*12&lt;=40712,(18200+(F517*12-18200)/0.84)/12,IF(F517*12&lt;=103712,(45000+(F517*12-40712)/0.7)/12,IF(F517*12&lt;=138362,(135000+(F517*12-103712)/0.63)/12,(190000+(F517*12-138362)/0.55)/12)))))</f>
        <v>10677.070445299105</v>
      </c>
      <c r="H517" s="24">
        <f t="shared" ref="H517:H580" si="91">IF(A517=$E$2,$W$2,0)</f>
        <v>0</v>
      </c>
      <c r="I517" s="24">
        <f t="shared" ref="I517:I580" si="92">E517-G517-H517</f>
        <v>-10677.070445299105</v>
      </c>
      <c r="J517" s="25">
        <f t="shared" ref="J517:J580" si="93">IF(A517&gt;=$F$2,$B$2,$A$2)</f>
        <v>7.9741404289037643E-3</v>
      </c>
      <c r="K517" s="24">
        <f t="shared" si="87"/>
        <v>11111731.943575818</v>
      </c>
      <c r="L517" s="24">
        <f t="shared" ref="L517:L580" si="94">IF(A517&gt;=$F$2,K517,"")</f>
        <v>11111731.943575818</v>
      </c>
      <c r="M517" s="24">
        <f t="shared" ref="M517:M580" si="95">IF(AND(A517&lt;$E$2,E517&gt;0),E517*POWER(1+$A$2,$E$2-A517),0)</f>
        <v>0</v>
      </c>
      <c r="N517" s="24">
        <f>IF(M517&lt;=0,0,IF($E$2-A517&lt;12,(M517-E517)*Dashboard!$B$18,IF($Q$2+A517&gt;=$R$2,MAX(0,M517-E517*POWER(1+$C$2,$E$2-A517))*MAX(Dashboard!$C$18,Dashboard!$B$18),IF($S$2&lt;$R$2,(M517-E517)*0.5*Dashboard!$B$18,(E517*POWER(1+$A$2,$R$2-($Q$2+A517))-E517)*0.5*Dashboard!$B$18+MAX(0,M517-E517*POWER(1+$A$2,$R$2-($Q$2+A517))*POWER(1+$C$2,$S$2-$R$2))*MAX(Dashboard!$C$18,Dashboard!$B$18)))))</f>
        <v>0</v>
      </c>
    </row>
    <row r="518" spans="1:14" x14ac:dyDescent="0.2">
      <c r="A518" s="22">
        <f t="shared" ref="A518:A581" si="96">A517+1</f>
        <v>513</v>
      </c>
      <c r="B518" s="23">
        <f t="shared" ref="B518:B581" si="97">B517+1/12</f>
        <v>60.804794520548562</v>
      </c>
      <c r="C518" t="str">
        <f t="shared" si="88"/>
        <v>60 y 9.66 m</v>
      </c>
      <c r="D518" s="24">
        <f>IF(A518&gt;=$E$2,IF(A518&lt;$E$2+$H$2,$P$2,0),IF(B518&lt;Dashboard!$I$6,0,IF(A518&gt;=$F$2,Dashboard!$C$22*POWER(1+$C$2,A518-$F$2),Dashboard!$C$22)))</f>
        <v>0</v>
      </c>
      <c r="E518" s="24">
        <f>IF(A518&gt;=$F$2,0,IF(A518=0,Dashboard!$G$10,IF(B518&lt;Dashboard!$I$6,IF($J$2&lt;=Dashboard!$H$10,Dashboard!$H$10,MAX(Dashboard!$H$10,MIN($J$2,Dashboard!$H$10*POWER($J$2/Dashboard!$H$10,A518/$D$2)))),$I$2-D518-Dashboard!$I$10-Dashboard!$J$10-Dashboard!$F$10*$I$2)))</f>
        <v>0</v>
      </c>
      <c r="F518" s="24">
        <f t="shared" si="89"/>
        <v>8258.592357890413</v>
      </c>
      <c r="G518" s="24">
        <f t="shared" si="90"/>
        <v>10701.322416033925</v>
      </c>
      <c r="H518" s="24">
        <f t="shared" si="91"/>
        <v>0</v>
      </c>
      <c r="I518" s="24">
        <f t="shared" si="92"/>
        <v>-10701.322416033925</v>
      </c>
      <c r="J518" s="25">
        <f t="shared" si="93"/>
        <v>7.9741404289037643E-3</v>
      </c>
      <c r="K518" s="24">
        <f t="shared" ref="K518:K581" si="98">(K517+I518)*(1+J518)</f>
        <v>11189551.798238473</v>
      </c>
      <c r="L518" s="24">
        <f t="shared" si="94"/>
        <v>11189551.798238473</v>
      </c>
      <c r="M518" s="24">
        <f t="shared" si="95"/>
        <v>0</v>
      </c>
      <c r="N518" s="24">
        <f>IF(M518&lt;=0,0,IF($E$2-A518&lt;12,(M518-E518)*Dashboard!$B$18,IF($Q$2+A518&gt;=$R$2,MAX(0,M518-E518*POWER(1+$C$2,$E$2-A518))*MAX(Dashboard!$C$18,Dashboard!$B$18),IF($S$2&lt;$R$2,(M518-E518)*0.5*Dashboard!$B$18,(E518*POWER(1+$A$2,$R$2-($Q$2+A518))-E518)*0.5*Dashboard!$B$18+MAX(0,M518-E518*POWER(1+$A$2,$R$2-($Q$2+A518))*POWER(1+$C$2,$S$2-$R$2))*MAX(Dashboard!$C$18,Dashboard!$B$18)))))</f>
        <v>0</v>
      </c>
    </row>
    <row r="519" spans="1:14" x14ac:dyDescent="0.2">
      <c r="A519" s="22">
        <f t="shared" si="96"/>
        <v>514</v>
      </c>
      <c r="B519" s="23">
        <f t="shared" si="97"/>
        <v>60.888127853881898</v>
      </c>
      <c r="C519" t="str">
        <f t="shared" si="88"/>
        <v>60 y 10.66 m</v>
      </c>
      <c r="D519" s="24">
        <f>IF(A519&gt;=$E$2,IF(A519&lt;$E$2+$H$2,$P$2,0),IF(B519&lt;Dashboard!$I$6,0,IF(A519&gt;=$F$2,Dashboard!$C$22*POWER(1+$C$2,A519-$F$2),Dashboard!$C$22)))</f>
        <v>0</v>
      </c>
      <c r="E519" s="24">
        <f>IF(A519&gt;=$F$2,0,IF(A519=0,Dashboard!$G$10,IF(B519&lt;Dashboard!$I$6,IF($J$2&lt;=Dashboard!$H$10,Dashboard!$H$10,MAX(Dashboard!$H$10,MIN($J$2,Dashboard!$H$10*POWER($J$2/Dashboard!$H$10,A519/$D$2)))),$I$2-D519-Dashboard!$I$10-Dashboard!$J$10-Dashboard!$F$10*$I$2)))</f>
        <v>0</v>
      </c>
      <c r="F519" s="24">
        <f t="shared" si="89"/>
        <v>8275.6037059670416</v>
      </c>
      <c r="G519" s="24">
        <f t="shared" si="90"/>
        <v>10725.62434185768</v>
      </c>
      <c r="H519" s="24">
        <f t="shared" si="91"/>
        <v>0</v>
      </c>
      <c r="I519" s="24">
        <f t="shared" si="92"/>
        <v>-10725.62434185768</v>
      </c>
      <c r="J519" s="25">
        <f t="shared" si="93"/>
        <v>7.9741404289037643E-3</v>
      </c>
      <c r="K519" s="24">
        <f t="shared" si="98"/>
        <v>11267967.70363757</v>
      </c>
      <c r="L519" s="24">
        <f t="shared" si="94"/>
        <v>11267967.70363757</v>
      </c>
      <c r="M519" s="24">
        <f t="shared" si="95"/>
        <v>0</v>
      </c>
      <c r="N519" s="24">
        <f>IF(M519&lt;=0,0,IF($E$2-A519&lt;12,(M519-E519)*Dashboard!$B$18,IF($Q$2+A519&gt;=$R$2,MAX(0,M519-E519*POWER(1+$C$2,$E$2-A519))*MAX(Dashboard!$C$18,Dashboard!$B$18),IF($S$2&lt;$R$2,(M519-E519)*0.5*Dashboard!$B$18,(E519*POWER(1+$A$2,$R$2-($Q$2+A519))-E519)*0.5*Dashboard!$B$18+MAX(0,M519-E519*POWER(1+$A$2,$R$2-($Q$2+A519))*POWER(1+$C$2,$S$2-$R$2))*MAX(Dashboard!$C$18,Dashboard!$B$18)))))</f>
        <v>0</v>
      </c>
    </row>
    <row r="520" spans="1:14" x14ac:dyDescent="0.2">
      <c r="A520" s="22">
        <f t="shared" si="96"/>
        <v>515</v>
      </c>
      <c r="B520" s="23">
        <f t="shared" si="97"/>
        <v>60.971461187215233</v>
      </c>
      <c r="C520" t="str">
        <f t="shared" si="88"/>
        <v>60 y 11.66 m</v>
      </c>
      <c r="D520" s="24">
        <f>IF(A520&gt;=$E$2,IF(A520&lt;$E$2+$H$2,$P$2,0),IF(B520&lt;Dashboard!$I$6,0,IF(A520&gt;=$F$2,Dashboard!$C$22*POWER(1+$C$2,A520-$F$2),Dashboard!$C$22)))</f>
        <v>0</v>
      </c>
      <c r="E520" s="24">
        <f>IF(A520&gt;=$F$2,0,IF(A520=0,Dashboard!$G$10,IF(B520&lt;Dashboard!$I$6,IF($J$2&lt;=Dashboard!$H$10,Dashboard!$H$10,MAX(Dashboard!$H$10,MIN($J$2,Dashboard!$H$10*POWER($J$2/Dashboard!$H$10,A520/$D$2)))),$I$2-D520-Dashboard!$I$10-Dashboard!$J$10-Dashboard!$F$10*$I$2)))</f>
        <v>0</v>
      </c>
      <c r="F520" s="24">
        <f t="shared" si="89"/>
        <v>8292.6500946354372</v>
      </c>
      <c r="G520" s="24">
        <f t="shared" si="90"/>
        <v>10749.976325669673</v>
      </c>
      <c r="H520" s="24">
        <f t="shared" si="91"/>
        <v>0</v>
      </c>
      <c r="I520" s="24">
        <f t="shared" si="92"/>
        <v>-10749.976325669673</v>
      </c>
      <c r="J520" s="25">
        <f t="shared" si="93"/>
        <v>7.9741404289037643E-3</v>
      </c>
      <c r="K520" s="24">
        <f t="shared" si="98"/>
        <v>11346984.36230823</v>
      </c>
      <c r="L520" s="24">
        <f t="shared" si="94"/>
        <v>11346984.36230823</v>
      </c>
      <c r="M520" s="24">
        <f t="shared" si="95"/>
        <v>0</v>
      </c>
      <c r="N520" s="24">
        <f>IF(M520&lt;=0,0,IF($E$2-A520&lt;12,(M520-E520)*Dashboard!$B$18,IF($Q$2+A520&gt;=$R$2,MAX(0,M520-E520*POWER(1+$C$2,$E$2-A520))*MAX(Dashboard!$C$18,Dashboard!$B$18),IF($S$2&lt;$R$2,(M520-E520)*0.5*Dashboard!$B$18,(E520*POWER(1+$A$2,$R$2-($Q$2+A520))-E520)*0.5*Dashboard!$B$18+MAX(0,M520-E520*POWER(1+$A$2,$R$2-($Q$2+A520))*POWER(1+$C$2,$S$2-$R$2))*MAX(Dashboard!$C$18,Dashboard!$B$18)))))</f>
        <v>0</v>
      </c>
    </row>
    <row r="521" spans="1:14" x14ac:dyDescent="0.2">
      <c r="A521" s="22">
        <f t="shared" si="96"/>
        <v>516</v>
      </c>
      <c r="B521" s="23">
        <f t="shared" si="97"/>
        <v>61.054794520548569</v>
      </c>
      <c r="C521" t="str">
        <f t="shared" si="88"/>
        <v>61 y 0.66 m</v>
      </c>
      <c r="D521" s="24">
        <f>IF(A521&gt;=$E$2,IF(A521&lt;$E$2+$H$2,$P$2,0),IF(B521&lt;Dashboard!$I$6,0,IF(A521&gt;=$F$2,Dashboard!$C$22*POWER(1+$C$2,A521-$F$2),Dashboard!$C$22)))</f>
        <v>0</v>
      </c>
      <c r="E521" s="24">
        <f>IF(A521&gt;=$F$2,0,IF(A521=0,Dashboard!$G$10,IF(B521&lt;Dashboard!$I$6,IF($J$2&lt;=Dashboard!$H$10,Dashboard!$H$10,MAX(Dashboard!$H$10,MIN($J$2,Dashboard!$H$10*POWER($J$2/Dashboard!$H$10,A521/$D$2)))),$I$2-D521-Dashboard!$I$10-Dashboard!$J$10-Dashboard!$F$10*$I$2)))</f>
        <v>0</v>
      </c>
      <c r="F521" s="24">
        <f t="shared" si="89"/>
        <v>8309.7315960734832</v>
      </c>
      <c r="G521" s="24">
        <f t="shared" si="90"/>
        <v>10774.378470581165</v>
      </c>
      <c r="H521" s="24">
        <f t="shared" si="91"/>
        <v>0</v>
      </c>
      <c r="I521" s="24">
        <f t="shared" si="92"/>
        <v>-10774.378470581165</v>
      </c>
      <c r="J521" s="25">
        <f t="shared" si="93"/>
        <v>7.9741404289037643E-3</v>
      </c>
      <c r="K521" s="24">
        <f t="shared" si="98"/>
        <v>11426606.514180312</v>
      </c>
      <c r="L521" s="24">
        <f t="shared" si="94"/>
        <v>11426606.514180312</v>
      </c>
      <c r="M521" s="24">
        <f t="shared" si="95"/>
        <v>0</v>
      </c>
      <c r="N521" s="24">
        <f>IF(M521&lt;=0,0,IF($E$2-A521&lt;12,(M521-E521)*Dashboard!$B$18,IF($Q$2+A521&gt;=$R$2,MAX(0,M521-E521*POWER(1+$C$2,$E$2-A521))*MAX(Dashboard!$C$18,Dashboard!$B$18),IF($S$2&lt;$R$2,(M521-E521)*0.5*Dashboard!$B$18,(E521*POWER(1+$A$2,$R$2-($Q$2+A521))-E521)*0.5*Dashboard!$B$18+MAX(0,M521-E521*POWER(1+$A$2,$R$2-($Q$2+A521))*POWER(1+$C$2,$S$2-$R$2))*MAX(Dashboard!$C$18,Dashboard!$B$18)))))</f>
        <v>0</v>
      </c>
    </row>
    <row r="522" spans="1:14" x14ac:dyDescent="0.2">
      <c r="A522" s="22">
        <f t="shared" si="96"/>
        <v>517</v>
      </c>
      <c r="B522" s="23">
        <f t="shared" si="97"/>
        <v>61.138127853881905</v>
      </c>
      <c r="C522" t="str">
        <f t="shared" si="88"/>
        <v>61 y 1.66 m</v>
      </c>
      <c r="D522" s="24">
        <f>IF(A522&gt;=$E$2,IF(A522&lt;$E$2+$H$2,$P$2,0),IF(B522&lt;Dashboard!$I$6,0,IF(A522&gt;=$F$2,Dashboard!$C$22*POWER(1+$C$2,A522-$F$2),Dashboard!$C$22)))</f>
        <v>0</v>
      </c>
      <c r="E522" s="24">
        <f>IF(A522&gt;=$F$2,0,IF(A522=0,Dashboard!$G$10,IF(B522&lt;Dashboard!$I$6,IF($J$2&lt;=Dashboard!$H$10,Dashboard!$H$10,MAX(Dashboard!$H$10,MIN($J$2,Dashboard!$H$10*POWER($J$2/Dashboard!$H$10,A522/$D$2)))),$I$2-D522-Dashboard!$I$10-Dashboard!$J$10-Dashboard!$F$10*$I$2)))</f>
        <v>0</v>
      </c>
      <c r="F522" s="24">
        <f t="shared" si="89"/>
        <v>8326.8482826077325</v>
      </c>
      <c r="G522" s="24">
        <f t="shared" si="90"/>
        <v>10798.830879915809</v>
      </c>
      <c r="H522" s="24">
        <f t="shared" si="91"/>
        <v>0</v>
      </c>
      <c r="I522" s="24">
        <f t="shared" si="92"/>
        <v>-10798.830879915809</v>
      </c>
      <c r="J522" s="25">
        <f t="shared" si="93"/>
        <v>7.9741404289037643E-3</v>
      </c>
      <c r="K522" s="24">
        <f t="shared" si="98"/>
        <v>11506838.936876392</v>
      </c>
      <c r="L522" s="24">
        <f t="shared" si="94"/>
        <v>11506838.936876392</v>
      </c>
      <c r="M522" s="24">
        <f t="shared" si="95"/>
        <v>0</v>
      </c>
      <c r="N522" s="24">
        <f>IF(M522&lt;=0,0,IF($E$2-A522&lt;12,(M522-E522)*Dashboard!$B$18,IF($Q$2+A522&gt;=$R$2,MAX(0,M522-E522*POWER(1+$C$2,$E$2-A522))*MAX(Dashboard!$C$18,Dashboard!$B$18),IF($S$2&lt;$R$2,(M522-E522)*0.5*Dashboard!$B$18,(E522*POWER(1+$A$2,$R$2-($Q$2+A522))-E522)*0.5*Dashboard!$B$18+MAX(0,M522-E522*POWER(1+$A$2,$R$2-($Q$2+A522))*POWER(1+$C$2,$S$2-$R$2))*MAX(Dashboard!$C$18,Dashboard!$B$18)))))</f>
        <v>0</v>
      </c>
    </row>
    <row r="523" spans="1:14" x14ac:dyDescent="0.2">
      <c r="A523" s="22">
        <f t="shared" si="96"/>
        <v>518</v>
      </c>
      <c r="B523" s="23">
        <f t="shared" si="97"/>
        <v>61.22146118721524</v>
      </c>
      <c r="C523" t="str">
        <f t="shared" si="88"/>
        <v>61 y 2.66 m</v>
      </c>
      <c r="D523" s="24">
        <f>IF(A523&gt;=$E$2,IF(A523&lt;$E$2+$H$2,$P$2,0),IF(B523&lt;Dashboard!$I$6,0,IF(A523&gt;=$F$2,Dashboard!$C$22*POWER(1+$C$2,A523-$F$2),Dashboard!$C$22)))</f>
        <v>0</v>
      </c>
      <c r="E523" s="24">
        <f>IF(A523&gt;=$F$2,0,IF(A523=0,Dashboard!$G$10,IF(B523&lt;Dashboard!$I$6,IF($J$2&lt;=Dashboard!$H$10,Dashboard!$H$10,MAX(Dashboard!$H$10,MIN($J$2,Dashboard!$H$10*POWER($J$2/Dashboard!$H$10,A523/$D$2)))),$I$2-D523-Dashboard!$I$10-Dashboard!$J$10-Dashboard!$F$10*$I$2)))</f>
        <v>0</v>
      </c>
      <c r="F523" s="24">
        <f t="shared" si="89"/>
        <v>8344.0002267137261</v>
      </c>
      <c r="G523" s="24">
        <f t="shared" si="90"/>
        <v>10823.333657210087</v>
      </c>
      <c r="H523" s="24">
        <f t="shared" si="91"/>
        <v>0</v>
      </c>
      <c r="I523" s="24">
        <f t="shared" si="92"/>
        <v>-10823.333657210087</v>
      </c>
      <c r="J523" s="25">
        <f t="shared" si="93"/>
        <v>7.9741404289037643E-3</v>
      </c>
      <c r="K523" s="24">
        <f t="shared" si="98"/>
        <v>11587686.446012121</v>
      </c>
      <c r="L523" s="24">
        <f t="shared" si="94"/>
        <v>11587686.446012121</v>
      </c>
      <c r="M523" s="24">
        <f t="shared" si="95"/>
        <v>0</v>
      </c>
      <c r="N523" s="24">
        <f>IF(M523&lt;=0,0,IF($E$2-A523&lt;12,(M523-E523)*Dashboard!$B$18,IF($Q$2+A523&gt;=$R$2,MAX(0,M523-E523*POWER(1+$C$2,$E$2-A523))*MAX(Dashboard!$C$18,Dashboard!$B$18),IF($S$2&lt;$R$2,(M523-E523)*0.5*Dashboard!$B$18,(E523*POWER(1+$A$2,$R$2-($Q$2+A523))-E523)*0.5*Dashboard!$B$18+MAX(0,M523-E523*POWER(1+$A$2,$R$2-($Q$2+A523))*POWER(1+$C$2,$S$2-$R$2))*MAX(Dashboard!$C$18,Dashboard!$B$18)))))</f>
        <v>0</v>
      </c>
    </row>
    <row r="524" spans="1:14" x14ac:dyDescent="0.2">
      <c r="A524" s="22">
        <f t="shared" si="96"/>
        <v>519</v>
      </c>
      <c r="B524" s="23">
        <f t="shared" si="97"/>
        <v>61.304794520548576</v>
      </c>
      <c r="C524" t="str">
        <f t="shared" si="88"/>
        <v>61 y 3.66 m</v>
      </c>
      <c r="D524" s="24">
        <f>IF(A524&gt;=$E$2,IF(A524&lt;$E$2+$H$2,$P$2,0),IF(B524&lt;Dashboard!$I$6,0,IF(A524&gt;=$F$2,Dashboard!$C$22*POWER(1+$C$2,A524-$F$2),Dashboard!$C$22)))</f>
        <v>0</v>
      </c>
      <c r="E524" s="24">
        <f>IF(A524&gt;=$F$2,0,IF(A524=0,Dashboard!$G$10,IF(B524&lt;Dashboard!$I$6,IF($J$2&lt;=Dashboard!$H$10,Dashboard!$H$10,MAX(Dashboard!$H$10,MIN($J$2,Dashboard!$H$10*POWER($J$2/Dashboard!$H$10,A524/$D$2)))),$I$2-D524-Dashboard!$I$10-Dashboard!$J$10-Dashboard!$F$10*$I$2)))</f>
        <v>0</v>
      </c>
      <c r="F524" s="24">
        <f t="shared" si="89"/>
        <v>8361.1875010162858</v>
      </c>
      <c r="G524" s="24">
        <f t="shared" si="90"/>
        <v>10847.886906213744</v>
      </c>
      <c r="H524" s="24">
        <f t="shared" si="91"/>
        <v>0</v>
      </c>
      <c r="I524" s="24">
        <f t="shared" si="92"/>
        <v>-10847.886906213744</v>
      </c>
      <c r="J524" s="25">
        <f t="shared" si="93"/>
        <v>7.9741404289037643E-3</v>
      </c>
      <c r="K524" s="24">
        <f t="shared" si="98"/>
        <v>11669153.895498965</v>
      </c>
      <c r="L524" s="24">
        <f t="shared" si="94"/>
        <v>11669153.895498965</v>
      </c>
      <c r="M524" s="24">
        <f t="shared" si="95"/>
        <v>0</v>
      </c>
      <c r="N524" s="24">
        <f>IF(M524&lt;=0,0,IF($E$2-A524&lt;12,(M524-E524)*Dashboard!$B$18,IF($Q$2+A524&gt;=$R$2,MAX(0,M524-E524*POWER(1+$C$2,$E$2-A524))*MAX(Dashboard!$C$18,Dashboard!$B$18),IF($S$2&lt;$R$2,(M524-E524)*0.5*Dashboard!$B$18,(E524*POWER(1+$A$2,$R$2-($Q$2+A524))-E524)*0.5*Dashboard!$B$18+MAX(0,M524-E524*POWER(1+$A$2,$R$2-($Q$2+A524))*POWER(1+$C$2,$S$2-$R$2))*MAX(Dashboard!$C$18,Dashboard!$B$18)))))</f>
        <v>0</v>
      </c>
    </row>
    <row r="525" spans="1:14" x14ac:dyDescent="0.2">
      <c r="A525" s="22">
        <f t="shared" si="96"/>
        <v>520</v>
      </c>
      <c r="B525" s="23">
        <f t="shared" si="97"/>
        <v>61.388127853881912</v>
      </c>
      <c r="C525" t="str">
        <f t="shared" si="88"/>
        <v>61 y 4.66 m</v>
      </c>
      <c r="D525" s="24">
        <f>IF(A525&gt;=$E$2,IF(A525&lt;$E$2+$H$2,$P$2,0),IF(B525&lt;Dashboard!$I$6,0,IF(A525&gt;=$F$2,Dashboard!$C$22*POWER(1+$C$2,A525-$F$2),Dashboard!$C$22)))</f>
        <v>0</v>
      </c>
      <c r="E525" s="24">
        <f>IF(A525&gt;=$F$2,0,IF(A525=0,Dashboard!$G$10,IF(B525&lt;Dashboard!$I$6,IF($J$2&lt;=Dashboard!$H$10,Dashboard!$H$10,MAX(Dashboard!$H$10,MIN($J$2,Dashboard!$H$10*POWER($J$2/Dashboard!$H$10,A525/$D$2)))),$I$2-D525-Dashboard!$I$10-Dashboard!$J$10-Dashboard!$F$10*$I$2)))</f>
        <v>0</v>
      </c>
      <c r="F525" s="24">
        <f t="shared" si="89"/>
        <v>8378.410178289836</v>
      </c>
      <c r="G525" s="24">
        <f t="shared" si="90"/>
        <v>10872.490730890242</v>
      </c>
      <c r="H525" s="24">
        <f t="shared" si="91"/>
        <v>0</v>
      </c>
      <c r="I525" s="24">
        <f t="shared" si="92"/>
        <v>-10872.490730890242</v>
      </c>
      <c r="J525" s="25">
        <f t="shared" si="93"/>
        <v>7.9741404289037643E-3</v>
      </c>
      <c r="K525" s="24">
        <f t="shared" si="98"/>
        <v>11751246.177849373</v>
      </c>
      <c r="L525" s="24">
        <f t="shared" si="94"/>
        <v>11751246.177849373</v>
      </c>
      <c r="M525" s="24">
        <f t="shared" si="95"/>
        <v>0</v>
      </c>
      <c r="N525" s="24">
        <f>IF(M525&lt;=0,0,IF($E$2-A525&lt;12,(M525-E525)*Dashboard!$B$18,IF($Q$2+A525&gt;=$R$2,MAX(0,M525-E525*POWER(1+$C$2,$E$2-A525))*MAX(Dashboard!$C$18,Dashboard!$B$18),IF($S$2&lt;$R$2,(M525-E525)*0.5*Dashboard!$B$18,(E525*POWER(1+$A$2,$R$2-($Q$2+A525))-E525)*0.5*Dashboard!$B$18+MAX(0,M525-E525*POWER(1+$A$2,$R$2-($Q$2+A525))*POWER(1+$C$2,$S$2-$R$2))*MAX(Dashboard!$C$18,Dashboard!$B$18)))))</f>
        <v>0</v>
      </c>
    </row>
    <row r="526" spans="1:14" x14ac:dyDescent="0.2">
      <c r="A526" s="22">
        <f t="shared" si="96"/>
        <v>521</v>
      </c>
      <c r="B526" s="23">
        <f t="shared" si="97"/>
        <v>61.471461187215247</v>
      </c>
      <c r="C526" t="str">
        <f t="shared" si="88"/>
        <v>61 y 5.66 m</v>
      </c>
      <c r="D526" s="24">
        <f>IF(A526&gt;=$E$2,IF(A526&lt;$E$2+$H$2,$P$2,0),IF(B526&lt;Dashboard!$I$6,0,IF(A526&gt;=$F$2,Dashboard!$C$22*POWER(1+$C$2,A526-$F$2),Dashboard!$C$22)))</f>
        <v>0</v>
      </c>
      <c r="E526" s="24">
        <f>IF(A526&gt;=$F$2,0,IF(A526=0,Dashboard!$G$10,IF(B526&lt;Dashboard!$I$6,IF($J$2&lt;=Dashboard!$H$10,Dashboard!$H$10,MAX(Dashboard!$H$10,MIN($J$2,Dashboard!$H$10*POWER($J$2/Dashboard!$H$10,A526/$D$2)))),$I$2-D526-Dashboard!$I$10-Dashboard!$J$10-Dashboard!$F$10*$I$2)))</f>
        <v>0</v>
      </c>
      <c r="F526" s="24">
        <f t="shared" si="89"/>
        <v>8395.6683314586971</v>
      </c>
      <c r="G526" s="24">
        <f t="shared" si="90"/>
        <v>10897.145235417187</v>
      </c>
      <c r="H526" s="24">
        <f t="shared" si="91"/>
        <v>0</v>
      </c>
      <c r="I526" s="24">
        <f t="shared" si="92"/>
        <v>-10897.145235417187</v>
      </c>
      <c r="J526" s="25">
        <f t="shared" si="93"/>
        <v>7.9741404289037643E-3</v>
      </c>
      <c r="K526" s="24">
        <f t="shared" si="98"/>
        <v>11833968.224484364</v>
      </c>
      <c r="L526" s="24">
        <f t="shared" si="94"/>
        <v>11833968.224484364</v>
      </c>
      <c r="M526" s="24">
        <f t="shared" si="95"/>
        <v>0</v>
      </c>
      <c r="N526" s="24">
        <f>IF(M526&lt;=0,0,IF($E$2-A526&lt;12,(M526-E526)*Dashboard!$B$18,IF($Q$2+A526&gt;=$R$2,MAX(0,M526-E526*POWER(1+$C$2,$E$2-A526))*MAX(Dashboard!$C$18,Dashboard!$B$18),IF($S$2&lt;$R$2,(M526-E526)*0.5*Dashboard!$B$18,(E526*POWER(1+$A$2,$R$2-($Q$2+A526))-E526)*0.5*Dashboard!$B$18+MAX(0,M526-E526*POWER(1+$A$2,$R$2-($Q$2+A526))*POWER(1+$C$2,$S$2-$R$2))*MAX(Dashboard!$C$18,Dashboard!$B$18)))))</f>
        <v>0</v>
      </c>
    </row>
    <row r="527" spans="1:14" x14ac:dyDescent="0.2">
      <c r="A527" s="22">
        <f t="shared" si="96"/>
        <v>522</v>
      </c>
      <c r="B527" s="23">
        <f t="shared" si="97"/>
        <v>61.554794520548583</v>
      </c>
      <c r="C527" t="str">
        <f t="shared" si="88"/>
        <v>61 y 6.66 m</v>
      </c>
      <c r="D527" s="24">
        <f>IF(A527&gt;=$E$2,IF(A527&lt;$E$2+$H$2,$P$2,0),IF(B527&lt;Dashboard!$I$6,0,IF(A527&gt;=$F$2,Dashboard!$C$22*POWER(1+$C$2,A527-$F$2),Dashboard!$C$22)))</f>
        <v>0</v>
      </c>
      <c r="E527" s="24">
        <f>IF(A527&gt;=$F$2,0,IF(A527=0,Dashboard!$G$10,IF(B527&lt;Dashboard!$I$6,IF($J$2&lt;=Dashboard!$H$10,Dashboard!$H$10,MAX(Dashboard!$H$10,MIN($J$2,Dashboard!$H$10*POWER($J$2/Dashboard!$H$10,A527/$D$2)))),$I$2-D527-Dashboard!$I$10-Dashboard!$J$10-Dashboard!$F$10*$I$2)))</f>
        <v>0</v>
      </c>
      <c r="F527" s="24">
        <f t="shared" si="89"/>
        <v>8412.9620335974068</v>
      </c>
      <c r="G527" s="24">
        <f t="shared" si="90"/>
        <v>10921.850524186773</v>
      </c>
      <c r="H527" s="24">
        <f t="shared" si="91"/>
        <v>0</v>
      </c>
      <c r="I527" s="24">
        <f t="shared" si="92"/>
        <v>-10921.850524186773</v>
      </c>
      <c r="J527" s="25">
        <f t="shared" si="93"/>
        <v>7.9741404289037643E-3</v>
      </c>
      <c r="K527" s="24">
        <f t="shared" si="98"/>
        <v>11917325.006043576</v>
      </c>
      <c r="L527" s="24">
        <f t="shared" si="94"/>
        <v>11917325.006043576</v>
      </c>
      <c r="M527" s="24">
        <f t="shared" si="95"/>
        <v>0</v>
      </c>
      <c r="N527" s="24">
        <f>IF(M527&lt;=0,0,IF($E$2-A527&lt;12,(M527-E527)*Dashboard!$B$18,IF($Q$2+A527&gt;=$R$2,MAX(0,M527-E527*POWER(1+$C$2,$E$2-A527))*MAX(Dashboard!$C$18,Dashboard!$B$18),IF($S$2&lt;$R$2,(M527-E527)*0.5*Dashboard!$B$18,(E527*POWER(1+$A$2,$R$2-($Q$2+A527))-E527)*0.5*Dashboard!$B$18+MAX(0,M527-E527*POWER(1+$A$2,$R$2-($Q$2+A527))*POWER(1+$C$2,$S$2-$R$2))*MAX(Dashboard!$C$18,Dashboard!$B$18)))))</f>
        <v>0</v>
      </c>
    </row>
    <row r="528" spans="1:14" x14ac:dyDescent="0.2">
      <c r="A528" s="22">
        <f t="shared" si="96"/>
        <v>523</v>
      </c>
      <c r="B528" s="23">
        <f t="shared" si="97"/>
        <v>61.638127853881919</v>
      </c>
      <c r="C528" t="str">
        <f t="shared" si="88"/>
        <v>61 y 7.66 m</v>
      </c>
      <c r="D528" s="24">
        <f>IF(A528&gt;=$E$2,IF(A528&lt;$E$2+$H$2,$P$2,0),IF(B528&lt;Dashboard!$I$6,0,IF(A528&gt;=$F$2,Dashboard!$C$22*POWER(1+$C$2,A528-$F$2),Dashboard!$C$22)))</f>
        <v>0</v>
      </c>
      <c r="E528" s="24">
        <f>IF(A528&gt;=$F$2,0,IF(A528=0,Dashboard!$G$10,IF(B528&lt;Dashboard!$I$6,IF($J$2&lt;=Dashboard!$H$10,Dashboard!$H$10,MAX(Dashboard!$H$10,MIN($J$2,Dashboard!$H$10*POWER($J$2/Dashboard!$H$10,A528/$D$2)))),$I$2-D528-Dashboard!$I$10-Dashboard!$J$10-Dashboard!$F$10*$I$2)))</f>
        <v>0</v>
      </c>
      <c r="F528" s="24">
        <f t="shared" si="89"/>
        <v>8430.2913579310207</v>
      </c>
      <c r="G528" s="24">
        <f t="shared" si="90"/>
        <v>10946.606701806222</v>
      </c>
      <c r="H528" s="24">
        <f t="shared" si="91"/>
        <v>0</v>
      </c>
      <c r="I528" s="24">
        <f t="shared" si="92"/>
        <v>-10946.606701806222</v>
      </c>
      <c r="J528" s="25">
        <f t="shared" si="93"/>
        <v>7.9741404289037643E-3</v>
      </c>
      <c r="K528" s="24">
        <f t="shared" si="98"/>
        <v>12001321.532697788</v>
      </c>
      <c r="L528" s="24">
        <f t="shared" si="94"/>
        <v>12001321.532697788</v>
      </c>
      <c r="M528" s="24">
        <f t="shared" si="95"/>
        <v>0</v>
      </c>
      <c r="N528" s="24">
        <f>IF(M528&lt;=0,0,IF($E$2-A528&lt;12,(M528-E528)*Dashboard!$B$18,IF($Q$2+A528&gt;=$R$2,MAX(0,M528-E528*POWER(1+$C$2,$E$2-A528))*MAX(Dashboard!$C$18,Dashboard!$B$18),IF($S$2&lt;$R$2,(M528-E528)*0.5*Dashboard!$B$18,(E528*POWER(1+$A$2,$R$2-($Q$2+A528))-E528)*0.5*Dashboard!$B$18+MAX(0,M528-E528*POWER(1+$A$2,$R$2-($Q$2+A528))*POWER(1+$C$2,$S$2-$R$2))*MAX(Dashboard!$C$18,Dashboard!$B$18)))))</f>
        <v>0</v>
      </c>
    </row>
    <row r="529" spans="1:14" x14ac:dyDescent="0.2">
      <c r="A529" s="22">
        <f t="shared" si="96"/>
        <v>524</v>
      </c>
      <c r="B529" s="23">
        <f t="shared" si="97"/>
        <v>61.721461187215255</v>
      </c>
      <c r="C529" t="str">
        <f t="shared" si="88"/>
        <v>61 y 8.66 m</v>
      </c>
      <c r="D529" s="24">
        <f>IF(A529&gt;=$E$2,IF(A529&lt;$E$2+$H$2,$P$2,0),IF(B529&lt;Dashboard!$I$6,0,IF(A529&gt;=$F$2,Dashboard!$C$22*POWER(1+$C$2,A529-$F$2),Dashboard!$C$22)))</f>
        <v>0</v>
      </c>
      <c r="E529" s="24">
        <f>IF(A529&gt;=$F$2,0,IF(A529=0,Dashboard!$G$10,IF(B529&lt;Dashboard!$I$6,IF($J$2&lt;=Dashboard!$H$10,Dashboard!$H$10,MAX(Dashboard!$H$10,MIN($J$2,Dashboard!$H$10*POWER($J$2/Dashboard!$H$10,A529/$D$2)))),$I$2-D529-Dashboard!$I$10-Dashboard!$J$10-Dashboard!$F$10*$I$2)))</f>
        <v>0</v>
      </c>
      <c r="F529" s="24">
        <f t="shared" si="89"/>
        <v>8447.6563778354266</v>
      </c>
      <c r="G529" s="24">
        <f t="shared" si="90"/>
        <v>10971.41387309823</v>
      </c>
      <c r="H529" s="24">
        <f t="shared" si="91"/>
        <v>0</v>
      </c>
      <c r="I529" s="24">
        <f t="shared" si="92"/>
        <v>-10971.41387309823</v>
      </c>
      <c r="J529" s="25">
        <f t="shared" si="93"/>
        <v>7.9741404289037643E-3</v>
      </c>
      <c r="K529" s="24">
        <f t="shared" si="98"/>
        <v>12085962.85446392</v>
      </c>
      <c r="L529" s="24">
        <f t="shared" si="94"/>
        <v>12085962.85446392</v>
      </c>
      <c r="M529" s="24">
        <f t="shared" si="95"/>
        <v>0</v>
      </c>
      <c r="N529" s="24">
        <f>IF(M529&lt;=0,0,IF($E$2-A529&lt;12,(M529-E529)*Dashboard!$B$18,IF($Q$2+A529&gt;=$R$2,MAX(0,M529-E529*POWER(1+$C$2,$E$2-A529))*MAX(Dashboard!$C$18,Dashboard!$B$18),IF($S$2&lt;$R$2,(M529-E529)*0.5*Dashboard!$B$18,(E529*POWER(1+$A$2,$R$2-($Q$2+A529))-E529)*0.5*Dashboard!$B$18+MAX(0,M529-E529*POWER(1+$A$2,$R$2-($Q$2+A529))*POWER(1+$C$2,$S$2-$R$2))*MAX(Dashboard!$C$18,Dashboard!$B$18)))))</f>
        <v>0</v>
      </c>
    </row>
    <row r="530" spans="1:14" x14ac:dyDescent="0.2">
      <c r="A530" s="22">
        <f t="shared" si="96"/>
        <v>525</v>
      </c>
      <c r="B530" s="23">
        <f t="shared" si="97"/>
        <v>61.80479452054859</v>
      </c>
      <c r="C530" t="str">
        <f t="shared" si="88"/>
        <v>61 y 9.66 m</v>
      </c>
      <c r="D530" s="24">
        <f>IF(A530&gt;=$E$2,IF(A530&lt;$E$2+$H$2,$P$2,0),IF(B530&lt;Dashboard!$I$6,0,IF(A530&gt;=$F$2,Dashboard!$C$22*POWER(1+$C$2,A530-$F$2),Dashboard!$C$22)))</f>
        <v>0</v>
      </c>
      <c r="E530" s="24">
        <f>IF(A530&gt;=$F$2,0,IF(A530=0,Dashboard!$G$10,IF(B530&lt;Dashboard!$I$6,IF($J$2&lt;=Dashboard!$H$10,Dashboard!$H$10,MAX(Dashboard!$H$10,MIN($J$2,Dashboard!$H$10*POWER($J$2/Dashboard!$H$10,A530/$D$2)))),$I$2-D530-Dashboard!$I$10-Dashboard!$J$10-Dashboard!$F$10*$I$2)))</f>
        <v>0</v>
      </c>
      <c r="F530" s="24">
        <f t="shared" si="89"/>
        <v>8465.0571668376615</v>
      </c>
      <c r="G530" s="24">
        <f t="shared" si="90"/>
        <v>10996.272143101422</v>
      </c>
      <c r="H530" s="24">
        <f t="shared" si="91"/>
        <v>0</v>
      </c>
      <c r="I530" s="24">
        <f t="shared" si="92"/>
        <v>-10996.272143101422</v>
      </c>
      <c r="J530" s="25">
        <f t="shared" si="93"/>
        <v>7.9741404289037643E-3</v>
      </c>
      <c r="K530" s="24">
        <f t="shared" si="98"/>
        <v>12171254.061522566</v>
      </c>
      <c r="L530" s="24">
        <f t="shared" si="94"/>
        <v>12171254.061522566</v>
      </c>
      <c r="M530" s="24">
        <f t="shared" si="95"/>
        <v>0</v>
      </c>
      <c r="N530" s="24">
        <f>IF(M530&lt;=0,0,IF($E$2-A530&lt;12,(M530-E530)*Dashboard!$B$18,IF($Q$2+A530&gt;=$R$2,MAX(0,M530-E530*POWER(1+$C$2,$E$2-A530))*MAX(Dashboard!$C$18,Dashboard!$B$18),IF($S$2&lt;$R$2,(M530-E530)*0.5*Dashboard!$B$18,(E530*POWER(1+$A$2,$R$2-($Q$2+A530))-E530)*0.5*Dashboard!$B$18+MAX(0,M530-E530*POWER(1+$A$2,$R$2-($Q$2+A530))*POWER(1+$C$2,$S$2-$R$2))*MAX(Dashboard!$C$18,Dashboard!$B$18)))))</f>
        <v>0</v>
      </c>
    </row>
    <row r="531" spans="1:14" x14ac:dyDescent="0.2">
      <c r="A531" s="22">
        <f t="shared" si="96"/>
        <v>526</v>
      </c>
      <c r="B531" s="23">
        <f t="shared" si="97"/>
        <v>61.888127853881926</v>
      </c>
      <c r="C531" t="str">
        <f t="shared" si="88"/>
        <v>61 y 10.66 m</v>
      </c>
      <c r="D531" s="24">
        <f>IF(A531&gt;=$E$2,IF(A531&lt;$E$2+$H$2,$P$2,0),IF(B531&lt;Dashboard!$I$6,0,IF(A531&gt;=$F$2,Dashboard!$C$22*POWER(1+$C$2,A531-$F$2),Dashboard!$C$22)))</f>
        <v>0</v>
      </c>
      <c r="E531" s="24">
        <f>IF(A531&gt;=$F$2,0,IF(A531=0,Dashboard!$G$10,IF(B531&lt;Dashboard!$I$6,IF($J$2&lt;=Dashboard!$H$10,Dashboard!$H$10,MAX(Dashboard!$H$10,MIN($J$2,Dashboard!$H$10*POWER($J$2/Dashboard!$H$10,A531/$D$2)))),$I$2-D531-Dashboard!$I$10-Dashboard!$J$10-Dashboard!$F$10*$I$2)))</f>
        <v>0</v>
      </c>
      <c r="F531" s="24">
        <f t="shared" si="89"/>
        <v>8482.4937986162058</v>
      </c>
      <c r="G531" s="24">
        <f t="shared" si="90"/>
        <v>11021.18161707077</v>
      </c>
      <c r="H531" s="24">
        <f t="shared" si="91"/>
        <v>0</v>
      </c>
      <c r="I531" s="24">
        <f t="shared" si="92"/>
        <v>-11021.18161707077</v>
      </c>
      <c r="J531" s="25">
        <f t="shared" si="93"/>
        <v>7.9741404289037643E-3</v>
      </c>
      <c r="K531" s="24">
        <f t="shared" si="98"/>
        <v>12257200.284538034</v>
      </c>
      <c r="L531" s="24">
        <f t="shared" si="94"/>
        <v>12257200.284538034</v>
      </c>
      <c r="M531" s="24">
        <f t="shared" si="95"/>
        <v>0</v>
      </c>
      <c r="N531" s="24">
        <f>IF(M531&lt;=0,0,IF($E$2-A531&lt;12,(M531-E531)*Dashboard!$B$18,IF($Q$2+A531&gt;=$R$2,MAX(0,M531-E531*POWER(1+$C$2,$E$2-A531))*MAX(Dashboard!$C$18,Dashboard!$B$18),IF($S$2&lt;$R$2,(M531-E531)*0.5*Dashboard!$B$18,(E531*POWER(1+$A$2,$R$2-($Q$2+A531))-E531)*0.5*Dashboard!$B$18+MAX(0,M531-E531*POWER(1+$A$2,$R$2-($Q$2+A531))*POWER(1+$C$2,$S$2-$R$2))*MAX(Dashboard!$C$18,Dashboard!$B$18)))))</f>
        <v>0</v>
      </c>
    </row>
    <row r="532" spans="1:14" x14ac:dyDescent="0.2">
      <c r="A532" s="22">
        <f t="shared" si="96"/>
        <v>527</v>
      </c>
      <c r="B532" s="23">
        <f t="shared" si="97"/>
        <v>61.971461187215262</v>
      </c>
      <c r="C532" t="str">
        <f t="shared" si="88"/>
        <v>61 y 11.66 m</v>
      </c>
      <c r="D532" s="24">
        <f>IF(A532&gt;=$E$2,IF(A532&lt;$E$2+$H$2,$P$2,0),IF(B532&lt;Dashboard!$I$6,0,IF(A532&gt;=$F$2,Dashboard!$C$22*POWER(1+$C$2,A532-$F$2),Dashboard!$C$22)))</f>
        <v>0</v>
      </c>
      <c r="E532" s="24">
        <f>IF(A532&gt;=$F$2,0,IF(A532=0,Dashboard!$G$10,IF(B532&lt;Dashboard!$I$6,IF($J$2&lt;=Dashboard!$H$10,Dashboard!$H$10,MAX(Dashboard!$H$10,MIN($J$2,Dashboard!$H$10*POWER($J$2/Dashboard!$H$10,A532/$D$2)))),$I$2-D532-Dashboard!$I$10-Dashboard!$J$10-Dashboard!$F$10*$I$2)))</f>
        <v>0</v>
      </c>
      <c r="F532" s="24">
        <f t="shared" si="89"/>
        <v>8499.9663470013111</v>
      </c>
      <c r="G532" s="24">
        <f t="shared" si="90"/>
        <v>11046.142400478064</v>
      </c>
      <c r="H532" s="24">
        <f t="shared" si="91"/>
        <v>0</v>
      </c>
      <c r="I532" s="24">
        <f t="shared" si="92"/>
        <v>-11046.142400478064</v>
      </c>
      <c r="J532" s="25">
        <f t="shared" si="93"/>
        <v>7.9741404289037643E-3</v>
      </c>
      <c r="K532" s="24">
        <f t="shared" si="98"/>
        <v>12343806.694980962</v>
      </c>
      <c r="L532" s="24">
        <f t="shared" si="94"/>
        <v>12343806.694980962</v>
      </c>
      <c r="M532" s="24">
        <f t="shared" si="95"/>
        <v>0</v>
      </c>
      <c r="N532" s="24">
        <f>IF(M532&lt;=0,0,IF($E$2-A532&lt;12,(M532-E532)*Dashboard!$B$18,IF($Q$2+A532&gt;=$R$2,MAX(0,M532-E532*POWER(1+$C$2,$E$2-A532))*MAX(Dashboard!$C$18,Dashboard!$B$18),IF($S$2&lt;$R$2,(M532-E532)*0.5*Dashboard!$B$18,(E532*POWER(1+$A$2,$R$2-($Q$2+A532))-E532)*0.5*Dashboard!$B$18+MAX(0,M532-E532*POWER(1+$A$2,$R$2-($Q$2+A532))*POWER(1+$C$2,$S$2-$R$2))*MAX(Dashboard!$C$18,Dashboard!$B$18)))))</f>
        <v>0</v>
      </c>
    </row>
    <row r="533" spans="1:14" x14ac:dyDescent="0.2">
      <c r="A533" s="22">
        <f t="shared" si="96"/>
        <v>528</v>
      </c>
      <c r="B533" s="23">
        <f t="shared" si="97"/>
        <v>62.054794520548597</v>
      </c>
      <c r="C533" t="str">
        <f t="shared" si="88"/>
        <v>62 y 0.66 m</v>
      </c>
      <c r="D533" s="24">
        <f>IF(A533&gt;=$E$2,IF(A533&lt;$E$2+$H$2,$P$2,0),IF(B533&lt;Dashboard!$I$6,0,IF(A533&gt;=$F$2,Dashboard!$C$22*POWER(1+$C$2,A533-$F$2),Dashboard!$C$22)))</f>
        <v>0</v>
      </c>
      <c r="E533" s="24">
        <f>IF(A533&gt;=$F$2,0,IF(A533=0,Dashboard!$G$10,IF(B533&lt;Dashboard!$I$6,IF($J$2&lt;=Dashboard!$H$10,Dashboard!$H$10,MAX(Dashboard!$H$10,MIN($J$2,Dashboard!$H$10*POWER($J$2/Dashboard!$H$10,A533/$D$2)))),$I$2-D533-Dashboard!$I$10-Dashboard!$J$10-Dashboard!$F$10*$I$2)))</f>
        <v>0</v>
      </c>
      <c r="F533" s="24">
        <f t="shared" si="89"/>
        <v>8517.474885975309</v>
      </c>
      <c r="G533" s="24">
        <f t="shared" si="90"/>
        <v>11071.154599012347</v>
      </c>
      <c r="H533" s="24">
        <f t="shared" si="91"/>
        <v>0</v>
      </c>
      <c r="I533" s="24">
        <f t="shared" si="92"/>
        <v>-11071.154599012347</v>
      </c>
      <c r="J533" s="25">
        <f t="shared" si="93"/>
        <v>7.9741404289037643E-3</v>
      </c>
      <c r="K533" s="24">
        <f t="shared" si="98"/>
        <v>12431078.505453488</v>
      </c>
      <c r="L533" s="24">
        <f t="shared" si="94"/>
        <v>12431078.505453488</v>
      </c>
      <c r="M533" s="24">
        <f t="shared" si="95"/>
        <v>0</v>
      </c>
      <c r="N533" s="24">
        <f>IF(M533&lt;=0,0,IF($E$2-A533&lt;12,(M533-E533)*Dashboard!$B$18,IF($Q$2+A533&gt;=$R$2,MAX(0,M533-E533*POWER(1+$C$2,$E$2-A533))*MAX(Dashboard!$C$18,Dashboard!$B$18),IF($S$2&lt;$R$2,(M533-E533)*0.5*Dashboard!$B$18,(E533*POWER(1+$A$2,$R$2-($Q$2+A533))-E533)*0.5*Dashboard!$B$18+MAX(0,M533-E533*POWER(1+$A$2,$R$2-($Q$2+A533))*POWER(1+$C$2,$S$2-$R$2))*MAX(Dashboard!$C$18,Dashboard!$B$18)))))</f>
        <v>0</v>
      </c>
    </row>
    <row r="534" spans="1:14" x14ac:dyDescent="0.2">
      <c r="A534" s="22">
        <f t="shared" si="96"/>
        <v>529</v>
      </c>
      <c r="B534" s="23">
        <f t="shared" si="97"/>
        <v>62.138127853881933</v>
      </c>
      <c r="C534" t="str">
        <f t="shared" si="88"/>
        <v>62 y 1.66 m</v>
      </c>
      <c r="D534" s="24">
        <f>IF(A534&gt;=$E$2,IF(A534&lt;$E$2+$H$2,$P$2,0),IF(B534&lt;Dashboard!$I$6,0,IF(A534&gt;=$F$2,Dashboard!$C$22*POWER(1+$C$2,A534-$F$2),Dashboard!$C$22)))</f>
        <v>0</v>
      </c>
      <c r="E534" s="24">
        <f>IF(A534&gt;=$F$2,0,IF(A534=0,Dashboard!$G$10,IF(B534&lt;Dashboard!$I$6,IF($J$2&lt;=Dashboard!$H$10,Dashboard!$H$10,MAX(Dashboard!$H$10,MIN($J$2,Dashboard!$H$10*POWER($J$2/Dashboard!$H$10,A534/$D$2)))),$I$2-D534-Dashboard!$I$10-Dashboard!$J$10-Dashboard!$F$10*$I$2)))</f>
        <v>0</v>
      </c>
      <c r="F534" s="24">
        <f t="shared" si="89"/>
        <v>8535.0194896729136</v>
      </c>
      <c r="G534" s="24">
        <f t="shared" si="90"/>
        <v>11096.218318580353</v>
      </c>
      <c r="H534" s="24">
        <f t="shared" si="91"/>
        <v>0</v>
      </c>
      <c r="I534" s="24">
        <f t="shared" si="92"/>
        <v>-11096.218318580353</v>
      </c>
      <c r="J534" s="25">
        <f t="shared" si="93"/>
        <v>7.9741404289037643E-3</v>
      </c>
      <c r="K534" s="24">
        <f t="shared" si="98"/>
        <v>12519020.97001702</v>
      </c>
      <c r="L534" s="24">
        <f t="shared" si="94"/>
        <v>12519020.97001702</v>
      </c>
      <c r="M534" s="24">
        <f t="shared" si="95"/>
        <v>0</v>
      </c>
      <c r="N534" s="24">
        <f>IF(M534&lt;=0,0,IF($E$2-A534&lt;12,(M534-E534)*Dashboard!$B$18,IF($Q$2+A534&gt;=$R$2,MAX(0,M534-E534*POWER(1+$C$2,$E$2-A534))*MAX(Dashboard!$C$18,Dashboard!$B$18),IF($S$2&lt;$R$2,(M534-E534)*0.5*Dashboard!$B$18,(E534*POWER(1+$A$2,$R$2-($Q$2+A534))-E534)*0.5*Dashboard!$B$18+MAX(0,M534-E534*POWER(1+$A$2,$R$2-($Q$2+A534))*POWER(1+$C$2,$S$2-$R$2))*MAX(Dashboard!$C$18,Dashboard!$B$18)))))</f>
        <v>0</v>
      </c>
    </row>
    <row r="535" spans="1:14" x14ac:dyDescent="0.2">
      <c r="A535" s="22">
        <f t="shared" si="96"/>
        <v>530</v>
      </c>
      <c r="B535" s="23">
        <f t="shared" si="97"/>
        <v>62.221461187215269</v>
      </c>
      <c r="C535" t="str">
        <f t="shared" si="88"/>
        <v>62 y 2.66 m</v>
      </c>
      <c r="D535" s="24">
        <f>IF(A535&gt;=$E$2,IF(A535&lt;$E$2+$H$2,$P$2,0),IF(B535&lt;Dashboard!$I$6,0,IF(A535&gt;=$F$2,Dashboard!$C$22*POWER(1+$C$2,A535-$F$2),Dashboard!$C$22)))</f>
        <v>0</v>
      </c>
      <c r="E535" s="24">
        <f>IF(A535&gt;=$F$2,0,IF(A535=0,Dashboard!$G$10,IF(B535&lt;Dashboard!$I$6,IF($J$2&lt;=Dashboard!$H$10,Dashboard!$H$10,MAX(Dashboard!$H$10,MIN($J$2,Dashboard!$H$10*POWER($J$2/Dashboard!$H$10,A535/$D$2)))),$I$2-D535-Dashboard!$I$10-Dashboard!$J$10-Dashboard!$F$10*$I$2)))</f>
        <v>0</v>
      </c>
      <c r="F535" s="24">
        <f t="shared" si="89"/>
        <v>8552.6002323815574</v>
      </c>
      <c r="G535" s="24">
        <f t="shared" si="90"/>
        <v>11121.333665306987</v>
      </c>
      <c r="H535" s="24">
        <f t="shared" si="91"/>
        <v>0</v>
      </c>
      <c r="I535" s="24">
        <f t="shared" si="92"/>
        <v>-11121.333665306987</v>
      </c>
      <c r="J535" s="25">
        <f t="shared" si="93"/>
        <v>7.9741404289037643E-3</v>
      </c>
      <c r="K535" s="24">
        <f t="shared" si="98"/>
        <v>12607639.384522615</v>
      </c>
      <c r="L535" s="24">
        <f t="shared" si="94"/>
        <v>12607639.384522615</v>
      </c>
      <c r="M535" s="24">
        <f t="shared" si="95"/>
        <v>0</v>
      </c>
      <c r="N535" s="24">
        <f>IF(M535&lt;=0,0,IF($E$2-A535&lt;12,(M535-E535)*Dashboard!$B$18,IF($Q$2+A535&gt;=$R$2,MAX(0,M535-E535*POWER(1+$C$2,$E$2-A535))*MAX(Dashboard!$C$18,Dashboard!$B$18),IF($S$2&lt;$R$2,(M535-E535)*0.5*Dashboard!$B$18,(E535*POWER(1+$A$2,$R$2-($Q$2+A535))-E535)*0.5*Dashboard!$B$18+MAX(0,M535-E535*POWER(1+$A$2,$R$2-($Q$2+A535))*POWER(1+$C$2,$S$2-$R$2))*MAX(Dashboard!$C$18,Dashboard!$B$18)))))</f>
        <v>0</v>
      </c>
    </row>
    <row r="536" spans="1:14" x14ac:dyDescent="0.2">
      <c r="A536" s="22">
        <f t="shared" si="96"/>
        <v>531</v>
      </c>
      <c r="B536" s="23">
        <f t="shared" si="97"/>
        <v>62.304794520548604</v>
      </c>
      <c r="C536" t="str">
        <f t="shared" si="88"/>
        <v>62 y 3.66 m</v>
      </c>
      <c r="D536" s="24">
        <f>IF(A536&gt;=$E$2,IF(A536&lt;$E$2+$H$2,$P$2,0),IF(B536&lt;Dashboard!$I$6,0,IF(A536&gt;=$F$2,Dashboard!$C$22*POWER(1+$C$2,A536-$F$2),Dashboard!$C$22)))</f>
        <v>0</v>
      </c>
      <c r="E536" s="24">
        <f>IF(A536&gt;=$F$2,0,IF(A536=0,Dashboard!$G$10,IF(B536&lt;Dashboard!$I$6,IF($J$2&lt;=Dashboard!$H$10,Dashboard!$H$10,MAX(Dashboard!$H$10,MIN($J$2,Dashboard!$H$10*POWER($J$2/Dashboard!$H$10,A536/$D$2)))),$I$2-D536-Dashboard!$I$10-Dashboard!$J$10-Dashboard!$F$10*$I$2)))</f>
        <v>0</v>
      </c>
      <c r="F536" s="24">
        <f t="shared" si="89"/>
        <v>8570.2171885416828</v>
      </c>
      <c r="G536" s="24">
        <f t="shared" si="90"/>
        <v>11146.500745535739</v>
      </c>
      <c r="H536" s="24">
        <f t="shared" si="91"/>
        <v>0</v>
      </c>
      <c r="I536" s="24">
        <f t="shared" si="92"/>
        <v>-11146.500745535739</v>
      </c>
      <c r="J536" s="25">
        <f t="shared" si="93"/>
        <v>7.9741404289037643E-3</v>
      </c>
      <c r="K536" s="24">
        <f t="shared" si="98"/>
        <v>12696939.086944006</v>
      </c>
      <c r="L536" s="24">
        <f t="shared" si="94"/>
        <v>12696939.086944006</v>
      </c>
      <c r="M536" s="24">
        <f t="shared" si="95"/>
        <v>0</v>
      </c>
      <c r="N536" s="24">
        <f>IF(M536&lt;=0,0,IF($E$2-A536&lt;12,(M536-E536)*Dashboard!$B$18,IF($Q$2+A536&gt;=$R$2,MAX(0,M536-E536*POWER(1+$C$2,$E$2-A536))*MAX(Dashboard!$C$18,Dashboard!$B$18),IF($S$2&lt;$R$2,(M536-E536)*0.5*Dashboard!$B$18,(E536*POWER(1+$A$2,$R$2-($Q$2+A536))-E536)*0.5*Dashboard!$B$18+MAX(0,M536-E536*POWER(1+$A$2,$R$2-($Q$2+A536))*POWER(1+$C$2,$S$2-$R$2))*MAX(Dashboard!$C$18,Dashboard!$B$18)))))</f>
        <v>0</v>
      </c>
    </row>
    <row r="537" spans="1:14" x14ac:dyDescent="0.2">
      <c r="A537" s="22">
        <f t="shared" si="96"/>
        <v>532</v>
      </c>
      <c r="B537" s="23">
        <f t="shared" si="97"/>
        <v>62.38812785388194</v>
      </c>
      <c r="C537" t="str">
        <f t="shared" si="88"/>
        <v>62 y 4.66 m</v>
      </c>
      <c r="D537" s="24">
        <f>IF(A537&gt;=$E$2,IF(A537&lt;$E$2+$H$2,$P$2,0),IF(B537&lt;Dashboard!$I$6,0,IF(A537&gt;=$F$2,Dashboard!$C$22*POWER(1+$C$2,A537-$F$2),Dashboard!$C$22)))</f>
        <v>0</v>
      </c>
      <c r="E537" s="24">
        <f>IF(A537&gt;=$F$2,0,IF(A537=0,Dashboard!$G$10,IF(B537&lt;Dashboard!$I$6,IF($J$2&lt;=Dashboard!$H$10,Dashboard!$H$10,MAX(Dashboard!$H$10,MIN($J$2,Dashboard!$H$10*POWER($J$2/Dashboard!$H$10,A537/$D$2)))),$I$2-D537-Dashboard!$I$10-Dashboard!$J$10-Dashboard!$F$10*$I$2)))</f>
        <v>0</v>
      </c>
      <c r="F537" s="24">
        <f t="shared" si="89"/>
        <v>8587.8704327470696</v>
      </c>
      <c r="G537" s="24">
        <f t="shared" si="90"/>
        <v>11171.719665829149</v>
      </c>
      <c r="H537" s="24">
        <f t="shared" si="91"/>
        <v>0</v>
      </c>
      <c r="I537" s="24">
        <f t="shared" si="92"/>
        <v>-11171.719665829149</v>
      </c>
      <c r="J537" s="25">
        <f t="shared" si="93"/>
        <v>7.9741404289037643E-3</v>
      </c>
      <c r="K537" s="24">
        <f t="shared" si="98"/>
        <v>12786925.457713258</v>
      </c>
      <c r="L537" s="24">
        <f t="shared" si="94"/>
        <v>12786925.457713258</v>
      </c>
      <c r="M537" s="24">
        <f t="shared" si="95"/>
        <v>0</v>
      </c>
      <c r="N537" s="24">
        <f>IF(M537&lt;=0,0,IF($E$2-A537&lt;12,(M537-E537)*Dashboard!$B$18,IF($Q$2+A537&gt;=$R$2,MAX(0,M537-E537*POWER(1+$C$2,$E$2-A537))*MAX(Dashboard!$C$18,Dashboard!$B$18),IF($S$2&lt;$R$2,(M537-E537)*0.5*Dashboard!$B$18,(E537*POWER(1+$A$2,$R$2-($Q$2+A537))-E537)*0.5*Dashboard!$B$18+MAX(0,M537-E537*POWER(1+$A$2,$R$2-($Q$2+A537))*POWER(1+$C$2,$S$2-$R$2))*MAX(Dashboard!$C$18,Dashboard!$B$18)))))</f>
        <v>0</v>
      </c>
    </row>
    <row r="538" spans="1:14" x14ac:dyDescent="0.2">
      <c r="A538" s="22">
        <f t="shared" si="96"/>
        <v>533</v>
      </c>
      <c r="B538" s="23">
        <f t="shared" si="97"/>
        <v>62.471461187215276</v>
      </c>
      <c r="C538" t="str">
        <f t="shared" si="88"/>
        <v>62 y 5.66 m</v>
      </c>
      <c r="D538" s="24">
        <f>IF(A538&gt;=$E$2,IF(A538&lt;$E$2+$H$2,$P$2,0),IF(B538&lt;Dashboard!$I$6,0,IF(A538&gt;=$F$2,Dashboard!$C$22*POWER(1+$C$2,A538-$F$2),Dashboard!$C$22)))</f>
        <v>0</v>
      </c>
      <c r="E538" s="24">
        <f>IF(A538&gt;=$F$2,0,IF(A538=0,Dashboard!$G$10,IF(B538&lt;Dashboard!$I$6,IF($J$2&lt;=Dashboard!$H$10,Dashboard!$H$10,MAX(Dashboard!$H$10,MIN($J$2,Dashboard!$H$10*POWER($J$2/Dashboard!$H$10,A538/$D$2)))),$I$2-D538-Dashboard!$I$10-Dashboard!$J$10-Dashboard!$F$10*$I$2)))</f>
        <v>0</v>
      </c>
      <c r="F538" s="24">
        <f t="shared" si="89"/>
        <v>8605.5600397451508</v>
      </c>
      <c r="G538" s="24">
        <f t="shared" si="90"/>
        <v>11196.990532969265</v>
      </c>
      <c r="H538" s="24">
        <f t="shared" si="91"/>
        <v>0</v>
      </c>
      <c r="I538" s="24">
        <f t="shared" si="92"/>
        <v>-11196.990532969265</v>
      </c>
      <c r="J538" s="25">
        <f t="shared" si="93"/>
        <v>7.9741404289037643E-3</v>
      </c>
      <c r="K538" s="24">
        <f t="shared" si="98"/>
        <v>12877603.920059126</v>
      </c>
      <c r="L538" s="24">
        <f t="shared" si="94"/>
        <v>12877603.920059126</v>
      </c>
      <c r="M538" s="24">
        <f t="shared" si="95"/>
        <v>0</v>
      </c>
      <c r="N538" s="24">
        <f>IF(M538&lt;=0,0,IF($E$2-A538&lt;12,(M538-E538)*Dashboard!$B$18,IF($Q$2+A538&gt;=$R$2,MAX(0,M538-E538*POWER(1+$C$2,$E$2-A538))*MAX(Dashboard!$C$18,Dashboard!$B$18),IF($S$2&lt;$R$2,(M538-E538)*0.5*Dashboard!$B$18,(E538*POWER(1+$A$2,$R$2-($Q$2+A538))-E538)*0.5*Dashboard!$B$18+MAX(0,M538-E538*POWER(1+$A$2,$R$2-($Q$2+A538))*POWER(1+$C$2,$S$2-$R$2))*MAX(Dashboard!$C$18,Dashboard!$B$18)))))</f>
        <v>0</v>
      </c>
    </row>
    <row r="539" spans="1:14" x14ac:dyDescent="0.2">
      <c r="A539" s="22">
        <f t="shared" si="96"/>
        <v>534</v>
      </c>
      <c r="B539" s="23">
        <f t="shared" si="97"/>
        <v>62.554794520548612</v>
      </c>
      <c r="C539" t="str">
        <f t="shared" si="88"/>
        <v>62 y 6.66 m</v>
      </c>
      <c r="D539" s="24">
        <f>IF(A539&gt;=$E$2,IF(A539&lt;$E$2+$H$2,$P$2,0),IF(B539&lt;Dashboard!$I$6,0,IF(A539&gt;=$F$2,Dashboard!$C$22*POWER(1+$C$2,A539-$F$2),Dashboard!$C$22)))</f>
        <v>0</v>
      </c>
      <c r="E539" s="24">
        <f>IF(A539&gt;=$F$2,0,IF(A539=0,Dashboard!$G$10,IF(B539&lt;Dashboard!$I$6,IF($J$2&lt;=Dashboard!$H$10,Dashboard!$H$10,MAX(Dashboard!$H$10,MIN($J$2,Dashboard!$H$10*POWER($J$2/Dashboard!$H$10,A539/$D$2)))),$I$2-D539-Dashboard!$I$10-Dashboard!$J$10-Dashboard!$F$10*$I$2)))</f>
        <v>0</v>
      </c>
      <c r="F539" s="24">
        <f t="shared" si="89"/>
        <v>8623.2860844373299</v>
      </c>
      <c r="G539" s="24">
        <f t="shared" si="90"/>
        <v>11222.313453958093</v>
      </c>
      <c r="H539" s="24">
        <f t="shared" si="91"/>
        <v>0</v>
      </c>
      <c r="I539" s="24">
        <f t="shared" si="92"/>
        <v>-11222.313453958093</v>
      </c>
      <c r="J539" s="25">
        <f t="shared" si="93"/>
        <v>7.9741404289037643E-3</v>
      </c>
      <c r="K539" s="24">
        <f t="shared" si="98"/>
        <v>12968979.940348102</v>
      </c>
      <c r="L539" s="24">
        <f t="shared" si="94"/>
        <v>12968979.940348102</v>
      </c>
      <c r="M539" s="24">
        <f t="shared" si="95"/>
        <v>0</v>
      </c>
      <c r="N539" s="24">
        <f>IF(M539&lt;=0,0,IF($E$2-A539&lt;12,(M539-E539)*Dashboard!$B$18,IF($Q$2+A539&gt;=$R$2,MAX(0,M539-E539*POWER(1+$C$2,$E$2-A539))*MAX(Dashboard!$C$18,Dashboard!$B$18),IF($S$2&lt;$R$2,(M539-E539)*0.5*Dashboard!$B$18,(E539*POWER(1+$A$2,$R$2-($Q$2+A539))-E539)*0.5*Dashboard!$B$18+MAX(0,M539-E539*POWER(1+$A$2,$R$2-($Q$2+A539))*POWER(1+$C$2,$S$2-$R$2))*MAX(Dashboard!$C$18,Dashboard!$B$18)))))</f>
        <v>0</v>
      </c>
    </row>
    <row r="540" spans="1:14" x14ac:dyDescent="0.2">
      <c r="A540" s="22">
        <f t="shared" si="96"/>
        <v>535</v>
      </c>
      <c r="B540" s="23">
        <f t="shared" si="97"/>
        <v>62.638127853881947</v>
      </c>
      <c r="C540" t="str">
        <f t="shared" si="88"/>
        <v>62 y 7.66 m</v>
      </c>
      <c r="D540" s="24">
        <f>IF(A540&gt;=$E$2,IF(A540&lt;$E$2+$H$2,$P$2,0),IF(B540&lt;Dashboard!$I$6,0,IF(A540&gt;=$F$2,Dashboard!$C$22*POWER(1+$C$2,A540-$F$2),Dashboard!$C$22)))</f>
        <v>0</v>
      </c>
      <c r="E540" s="24">
        <f>IF(A540&gt;=$F$2,0,IF(A540=0,Dashboard!$G$10,IF(B540&lt;Dashboard!$I$6,IF($J$2&lt;=Dashboard!$H$10,Dashboard!$H$10,MAX(Dashboard!$H$10,MIN($J$2,Dashboard!$H$10*POWER($J$2/Dashboard!$H$10,A540/$D$2)))),$I$2-D540-Dashboard!$I$10-Dashboard!$J$10-Dashboard!$F$10*$I$2)))</f>
        <v>0</v>
      </c>
      <c r="F540" s="24">
        <f t="shared" si="89"/>
        <v>8641.0486418792825</v>
      </c>
      <c r="G540" s="24">
        <f t="shared" si="90"/>
        <v>11247.688536018022</v>
      </c>
      <c r="H540" s="24">
        <f t="shared" si="91"/>
        <v>0</v>
      </c>
      <c r="I540" s="24">
        <f t="shared" si="92"/>
        <v>-11247.688536018022</v>
      </c>
      <c r="J540" s="25">
        <f t="shared" si="93"/>
        <v>7.9741404289037643E-3</v>
      </c>
      <c r="K540" s="24">
        <f t="shared" si="98"/>
        <v>13061059.028428169</v>
      </c>
      <c r="L540" s="24">
        <f t="shared" si="94"/>
        <v>13061059.028428169</v>
      </c>
      <c r="M540" s="24">
        <f t="shared" si="95"/>
        <v>0</v>
      </c>
      <c r="N540" s="24">
        <f>IF(M540&lt;=0,0,IF($E$2-A540&lt;12,(M540-E540)*Dashboard!$B$18,IF($Q$2+A540&gt;=$R$2,MAX(0,M540-E540*POWER(1+$C$2,$E$2-A540))*MAX(Dashboard!$C$18,Dashboard!$B$18),IF($S$2&lt;$R$2,(M540-E540)*0.5*Dashboard!$B$18,(E540*POWER(1+$A$2,$R$2-($Q$2+A540))-E540)*0.5*Dashboard!$B$18+MAX(0,M540-E540*POWER(1+$A$2,$R$2-($Q$2+A540))*POWER(1+$C$2,$S$2-$R$2))*MAX(Dashboard!$C$18,Dashboard!$B$18)))))</f>
        <v>0</v>
      </c>
    </row>
    <row r="541" spans="1:14" x14ac:dyDescent="0.2">
      <c r="A541" s="22">
        <f t="shared" si="96"/>
        <v>536</v>
      </c>
      <c r="B541" s="23">
        <f t="shared" si="97"/>
        <v>62.721461187215283</v>
      </c>
      <c r="C541" t="str">
        <f t="shared" si="88"/>
        <v>62 y 8.66 m</v>
      </c>
      <c r="D541" s="24">
        <f>IF(A541&gt;=$E$2,IF(A541&lt;$E$2+$H$2,$P$2,0),IF(B541&lt;Dashboard!$I$6,0,IF(A541&gt;=$F$2,Dashboard!$C$22*POWER(1+$C$2,A541-$F$2),Dashboard!$C$22)))</f>
        <v>0</v>
      </c>
      <c r="E541" s="24">
        <f>IF(A541&gt;=$F$2,0,IF(A541=0,Dashboard!$G$10,IF(B541&lt;Dashboard!$I$6,IF($J$2&lt;=Dashboard!$H$10,Dashboard!$H$10,MAX(Dashboard!$H$10,MIN($J$2,Dashboard!$H$10*POWER($J$2/Dashboard!$H$10,A541/$D$2)))),$I$2-D541-Dashboard!$I$10-Dashboard!$J$10-Dashboard!$F$10*$I$2)))</f>
        <v>0</v>
      </c>
      <c r="F541" s="24">
        <f t="shared" si="89"/>
        <v>8658.8477872813037</v>
      </c>
      <c r="G541" s="24">
        <f t="shared" si="90"/>
        <v>11275.684318435933</v>
      </c>
      <c r="H541" s="24">
        <f t="shared" si="91"/>
        <v>0</v>
      </c>
      <c r="I541" s="24">
        <f t="shared" si="92"/>
        <v>-11275.684318435933</v>
      </c>
      <c r="J541" s="25">
        <f t="shared" si="93"/>
        <v>7.9741404289037643E-3</v>
      </c>
      <c r="K541" s="24">
        <f t="shared" si="98"/>
        <v>13153844.149062432</v>
      </c>
      <c r="L541" s="24">
        <f t="shared" si="94"/>
        <v>13153844.149062432</v>
      </c>
      <c r="M541" s="24">
        <f t="shared" si="95"/>
        <v>0</v>
      </c>
      <c r="N541" s="24">
        <f>IF(M541&lt;=0,0,IF($E$2-A541&lt;12,(M541-E541)*Dashboard!$B$18,IF($Q$2+A541&gt;=$R$2,MAX(0,M541-E541*POWER(1+$C$2,$E$2-A541))*MAX(Dashboard!$C$18,Dashboard!$B$18),IF($S$2&lt;$R$2,(M541-E541)*0.5*Dashboard!$B$18,(E541*POWER(1+$A$2,$R$2-($Q$2+A541))-E541)*0.5*Dashboard!$B$18+MAX(0,M541-E541*POWER(1+$A$2,$R$2-($Q$2+A541))*POWER(1+$C$2,$S$2-$R$2))*MAX(Dashboard!$C$18,Dashboard!$B$18)))))</f>
        <v>0</v>
      </c>
    </row>
    <row r="542" spans="1:14" x14ac:dyDescent="0.2">
      <c r="A542" s="22">
        <f t="shared" si="96"/>
        <v>537</v>
      </c>
      <c r="B542" s="23">
        <f t="shared" si="97"/>
        <v>62.804794520548619</v>
      </c>
      <c r="C542" t="str">
        <f t="shared" si="88"/>
        <v>62 y 9.66 m</v>
      </c>
      <c r="D542" s="24">
        <f>IF(A542&gt;=$E$2,IF(A542&lt;$E$2+$H$2,$P$2,0),IF(B542&lt;Dashboard!$I$6,0,IF(A542&gt;=$F$2,Dashboard!$C$22*POWER(1+$C$2,A542-$F$2),Dashboard!$C$22)))</f>
        <v>0</v>
      </c>
      <c r="E542" s="24">
        <f>IF(A542&gt;=$F$2,0,IF(A542=0,Dashboard!$G$10,IF(B542&lt;Dashboard!$I$6,IF($J$2&lt;=Dashboard!$H$10,Dashboard!$H$10,MAX(Dashboard!$H$10,MIN($J$2,Dashboard!$H$10*POWER($J$2/Dashboard!$H$10,A542/$D$2)))),$I$2-D542-Dashboard!$I$10-Dashboard!$J$10-Dashboard!$F$10*$I$2)))</f>
        <v>0</v>
      </c>
      <c r="F542" s="24">
        <f t="shared" si="89"/>
        <v>8676.6835960085918</v>
      </c>
      <c r="G542" s="24">
        <f t="shared" si="90"/>
        <v>11303.995125939562</v>
      </c>
      <c r="H542" s="24">
        <f t="shared" si="91"/>
        <v>0</v>
      </c>
      <c r="I542" s="24">
        <f t="shared" si="92"/>
        <v>-11303.995125939562</v>
      </c>
      <c r="J542" s="25">
        <f t="shared" si="93"/>
        <v>7.9741404289037643E-3</v>
      </c>
      <c r="K542" s="24">
        <f t="shared" si="98"/>
        <v>13247340.614716489</v>
      </c>
      <c r="L542" s="24">
        <f t="shared" si="94"/>
        <v>13247340.614716489</v>
      </c>
      <c r="M542" s="24">
        <f t="shared" si="95"/>
        <v>0</v>
      </c>
      <c r="N542" s="24">
        <f>IF(M542&lt;=0,0,IF($E$2-A542&lt;12,(M542-E542)*Dashboard!$B$18,IF($Q$2+A542&gt;=$R$2,MAX(0,M542-E542*POWER(1+$C$2,$E$2-A542))*MAX(Dashboard!$C$18,Dashboard!$B$18),IF($S$2&lt;$R$2,(M542-E542)*0.5*Dashboard!$B$18,(E542*POWER(1+$A$2,$R$2-($Q$2+A542))-E542)*0.5*Dashboard!$B$18+MAX(0,M542-E542*POWER(1+$A$2,$R$2-($Q$2+A542))*POWER(1+$C$2,$S$2-$R$2))*MAX(Dashboard!$C$18,Dashboard!$B$18)))))</f>
        <v>0</v>
      </c>
    </row>
    <row r="543" spans="1:14" x14ac:dyDescent="0.2">
      <c r="A543" s="22">
        <f t="shared" si="96"/>
        <v>538</v>
      </c>
      <c r="B543" s="23">
        <f t="shared" si="97"/>
        <v>62.888127853881954</v>
      </c>
      <c r="C543" t="str">
        <f t="shared" si="88"/>
        <v>62 y 10.66 m</v>
      </c>
      <c r="D543" s="24">
        <f>IF(A543&gt;=$E$2,IF(A543&lt;$E$2+$H$2,$P$2,0),IF(B543&lt;Dashboard!$I$6,0,IF(A543&gt;=$F$2,Dashboard!$C$22*POWER(1+$C$2,A543-$F$2),Dashboard!$C$22)))</f>
        <v>0</v>
      </c>
      <c r="E543" s="24">
        <f>IF(A543&gt;=$F$2,0,IF(A543=0,Dashboard!$G$10,IF(B543&lt;Dashboard!$I$6,IF($J$2&lt;=Dashboard!$H$10,Dashboard!$H$10,MAX(Dashboard!$H$10,MIN($J$2,Dashboard!$H$10*POWER($J$2/Dashboard!$H$10,A543/$D$2)))),$I$2-D543-Dashboard!$I$10-Dashboard!$J$10-Dashboard!$F$10*$I$2)))</f>
        <v>0</v>
      </c>
      <c r="F543" s="24">
        <f t="shared" si="89"/>
        <v>8694.556143581598</v>
      </c>
      <c r="G543" s="24">
        <f t="shared" si="90"/>
        <v>11332.364249071319</v>
      </c>
      <c r="H543" s="24">
        <f t="shared" si="91"/>
        <v>0</v>
      </c>
      <c r="I543" s="24">
        <f t="shared" si="92"/>
        <v>-11332.364249071319</v>
      </c>
      <c r="J543" s="25">
        <f t="shared" si="93"/>
        <v>7.9741404289037643E-3</v>
      </c>
      <c r="K543" s="24">
        <f t="shared" si="98"/>
        <v>13341554.038974773</v>
      </c>
      <c r="L543" s="24">
        <f t="shared" si="94"/>
        <v>13341554.038974773</v>
      </c>
      <c r="M543" s="24">
        <f t="shared" si="95"/>
        <v>0</v>
      </c>
      <c r="N543" s="24">
        <f>IF(M543&lt;=0,0,IF($E$2-A543&lt;12,(M543-E543)*Dashboard!$B$18,IF($Q$2+A543&gt;=$R$2,MAX(0,M543-E543*POWER(1+$C$2,$E$2-A543))*MAX(Dashboard!$C$18,Dashboard!$B$18),IF($S$2&lt;$R$2,(M543-E543)*0.5*Dashboard!$B$18,(E543*POWER(1+$A$2,$R$2-($Q$2+A543))-E543)*0.5*Dashboard!$B$18+MAX(0,M543-E543*POWER(1+$A$2,$R$2-($Q$2+A543))*POWER(1+$C$2,$S$2-$R$2))*MAX(Dashboard!$C$18,Dashboard!$B$18)))))</f>
        <v>0</v>
      </c>
    </row>
    <row r="544" spans="1:14" x14ac:dyDescent="0.2">
      <c r="A544" s="22">
        <f t="shared" si="96"/>
        <v>539</v>
      </c>
      <c r="B544" s="23">
        <f t="shared" si="97"/>
        <v>62.97146118721529</v>
      </c>
      <c r="C544" t="str">
        <f t="shared" si="88"/>
        <v>62 y 11.66 m</v>
      </c>
      <c r="D544" s="24">
        <f>IF(A544&gt;=$E$2,IF(A544&lt;$E$2+$H$2,$P$2,0),IF(B544&lt;Dashboard!$I$6,0,IF(A544&gt;=$F$2,Dashboard!$C$22*POWER(1+$C$2,A544-$F$2),Dashboard!$C$22)))</f>
        <v>0</v>
      </c>
      <c r="E544" s="24">
        <f>IF(A544&gt;=$F$2,0,IF(A544=0,Dashboard!$G$10,IF(B544&lt;Dashboard!$I$6,IF($J$2&lt;=Dashboard!$H$10,Dashboard!$H$10,MAX(Dashboard!$H$10,MIN($J$2,Dashboard!$H$10*POWER($J$2/Dashboard!$H$10,A544/$D$2)))),$I$2-D544-Dashboard!$I$10-Dashboard!$J$10-Dashboard!$F$10*$I$2)))</f>
        <v>0</v>
      </c>
      <c r="F544" s="24">
        <f t="shared" si="89"/>
        <v>8712.4655056763331</v>
      </c>
      <c r="G544" s="24">
        <f t="shared" si="90"/>
        <v>11360.791807951851</v>
      </c>
      <c r="H544" s="24">
        <f t="shared" si="91"/>
        <v>0</v>
      </c>
      <c r="I544" s="24">
        <f t="shared" si="92"/>
        <v>-11360.791807951851</v>
      </c>
      <c r="J544" s="25">
        <f t="shared" si="93"/>
        <v>7.9741404289037643E-3</v>
      </c>
      <c r="K544" s="24">
        <f t="shared" si="98"/>
        <v>13436490.080064155</v>
      </c>
      <c r="L544" s="24">
        <f t="shared" si="94"/>
        <v>13436490.080064155</v>
      </c>
      <c r="M544" s="24">
        <f t="shared" si="95"/>
        <v>0</v>
      </c>
      <c r="N544" s="24">
        <f>IF(M544&lt;=0,0,IF($E$2-A544&lt;12,(M544-E544)*Dashboard!$B$18,IF($Q$2+A544&gt;=$R$2,MAX(0,M544-E544*POWER(1+$C$2,$E$2-A544))*MAX(Dashboard!$C$18,Dashboard!$B$18),IF($S$2&lt;$R$2,(M544-E544)*0.5*Dashboard!$B$18,(E544*POWER(1+$A$2,$R$2-($Q$2+A544))-E544)*0.5*Dashboard!$B$18+MAX(0,M544-E544*POWER(1+$A$2,$R$2-($Q$2+A544))*POWER(1+$C$2,$S$2-$R$2))*MAX(Dashboard!$C$18,Dashboard!$B$18)))))</f>
        <v>0</v>
      </c>
    </row>
    <row r="545" spans="1:14" x14ac:dyDescent="0.2">
      <c r="A545" s="22">
        <f t="shared" si="96"/>
        <v>540</v>
      </c>
      <c r="B545" s="23">
        <f t="shared" si="97"/>
        <v>63.054794520548626</v>
      </c>
      <c r="C545" t="str">
        <f t="shared" si="88"/>
        <v>63 y 0.66 m</v>
      </c>
      <c r="D545" s="24">
        <f>IF(A545&gt;=$E$2,IF(A545&lt;$E$2+$H$2,$P$2,0),IF(B545&lt;Dashboard!$I$6,0,IF(A545&gt;=$F$2,Dashboard!$C$22*POWER(1+$C$2,A545-$F$2),Dashboard!$C$22)))</f>
        <v>0</v>
      </c>
      <c r="E545" s="24">
        <f>IF(A545&gt;=$F$2,0,IF(A545=0,Dashboard!$G$10,IF(B545&lt;Dashboard!$I$6,IF($J$2&lt;=Dashboard!$H$10,Dashboard!$H$10,MAX(Dashboard!$H$10,MIN($J$2,Dashboard!$H$10*POWER($J$2/Dashboard!$H$10,A545/$D$2)))),$I$2-D545-Dashboard!$I$10-Dashboard!$J$10-Dashboard!$F$10*$I$2)))</f>
        <v>0</v>
      </c>
      <c r="F545" s="24">
        <f t="shared" si="89"/>
        <v>8730.4117581246774</v>
      </c>
      <c r="G545" s="24">
        <f t="shared" si="90"/>
        <v>11389.277922949224</v>
      </c>
      <c r="H545" s="24">
        <f t="shared" si="91"/>
        <v>0</v>
      </c>
      <c r="I545" s="24">
        <f t="shared" si="92"/>
        <v>-11389.277922949224</v>
      </c>
      <c r="J545" s="25">
        <f t="shared" si="93"/>
        <v>7.9741404289037643E-3</v>
      </c>
      <c r="K545" s="24">
        <f t="shared" si="98"/>
        <v>13532154.441209668</v>
      </c>
      <c r="L545" s="24">
        <f t="shared" si="94"/>
        <v>13532154.441209668</v>
      </c>
      <c r="M545" s="24">
        <f t="shared" si="95"/>
        <v>0</v>
      </c>
      <c r="N545" s="24">
        <f>IF(M545&lt;=0,0,IF($E$2-A545&lt;12,(M545-E545)*Dashboard!$B$18,IF($Q$2+A545&gt;=$R$2,MAX(0,M545-E545*POWER(1+$C$2,$E$2-A545))*MAX(Dashboard!$C$18,Dashboard!$B$18),IF($S$2&lt;$R$2,(M545-E545)*0.5*Dashboard!$B$18,(E545*POWER(1+$A$2,$R$2-($Q$2+A545))-E545)*0.5*Dashboard!$B$18+MAX(0,M545-E545*POWER(1+$A$2,$R$2-($Q$2+A545))*POWER(1+$C$2,$S$2-$R$2))*MAX(Dashboard!$C$18,Dashboard!$B$18)))))</f>
        <v>0</v>
      </c>
    </row>
    <row r="546" spans="1:14" x14ac:dyDescent="0.2">
      <c r="A546" s="22">
        <f t="shared" si="96"/>
        <v>541</v>
      </c>
      <c r="B546" s="23">
        <f t="shared" si="97"/>
        <v>63.138127853881961</v>
      </c>
      <c r="C546" t="str">
        <f t="shared" si="88"/>
        <v>63 y 1.66 m</v>
      </c>
      <c r="D546" s="24">
        <f>IF(A546&gt;=$E$2,IF(A546&lt;$E$2+$H$2,$P$2,0),IF(B546&lt;Dashboard!$I$6,0,IF(A546&gt;=$F$2,Dashboard!$C$22*POWER(1+$C$2,A546-$F$2),Dashboard!$C$22)))</f>
        <v>0</v>
      </c>
      <c r="E546" s="24">
        <f>IF(A546&gt;=$F$2,0,IF(A546=0,Dashboard!$G$10,IF(B546&lt;Dashboard!$I$6,IF($J$2&lt;=Dashboard!$H$10,Dashboard!$H$10,MAX(Dashboard!$H$10,MIN($J$2,Dashboard!$H$10*POWER($J$2/Dashboard!$H$10,A546/$D$2)))),$I$2-D546-Dashboard!$I$10-Dashboard!$J$10-Dashboard!$F$10*$I$2)))</f>
        <v>0</v>
      </c>
      <c r="F546" s="24">
        <f t="shared" si="89"/>
        <v>8748.3949769147239</v>
      </c>
      <c r="G546" s="24">
        <f t="shared" si="90"/>
        <v>11417.822714679458</v>
      </c>
      <c r="H546" s="24">
        <f t="shared" si="91"/>
        <v>0</v>
      </c>
      <c r="I546" s="24">
        <f t="shared" si="92"/>
        <v>-11417.822714679458</v>
      </c>
      <c r="J546" s="25">
        <f t="shared" si="93"/>
        <v>7.9741404289037643E-3</v>
      </c>
      <c r="K546" s="24">
        <f t="shared" si="98"/>
        <v>13628552.870993089</v>
      </c>
      <c r="L546" s="24">
        <f t="shared" si="94"/>
        <v>13628552.870993089</v>
      </c>
      <c r="M546" s="24">
        <f t="shared" si="95"/>
        <v>0</v>
      </c>
      <c r="N546" s="24">
        <f>IF(M546&lt;=0,0,IF($E$2-A546&lt;12,(M546-E546)*Dashboard!$B$18,IF($Q$2+A546&gt;=$R$2,MAX(0,M546-E546*POWER(1+$C$2,$E$2-A546))*MAX(Dashboard!$C$18,Dashboard!$B$18),IF($S$2&lt;$R$2,(M546-E546)*0.5*Dashboard!$B$18,(E546*POWER(1+$A$2,$R$2-($Q$2+A546))-E546)*0.5*Dashboard!$B$18+MAX(0,M546-E546*POWER(1+$A$2,$R$2-($Q$2+A546))*POWER(1+$C$2,$S$2-$R$2))*MAX(Dashboard!$C$18,Dashboard!$B$18)))))</f>
        <v>0</v>
      </c>
    </row>
    <row r="547" spans="1:14" x14ac:dyDescent="0.2">
      <c r="A547" s="22">
        <f t="shared" si="96"/>
        <v>542</v>
      </c>
      <c r="B547" s="23">
        <f t="shared" si="97"/>
        <v>63.221461187215297</v>
      </c>
      <c r="C547" t="str">
        <f t="shared" si="88"/>
        <v>63 y 2.66 m</v>
      </c>
      <c r="D547" s="24">
        <f>IF(A547&gt;=$E$2,IF(A547&lt;$E$2+$H$2,$P$2,0),IF(B547&lt;Dashboard!$I$6,0,IF(A547&gt;=$F$2,Dashboard!$C$22*POWER(1+$C$2,A547-$F$2),Dashboard!$C$22)))</f>
        <v>0</v>
      </c>
      <c r="E547" s="24">
        <f>IF(A547&gt;=$F$2,0,IF(A547=0,Dashboard!$G$10,IF(B547&lt;Dashboard!$I$6,IF($J$2&lt;=Dashboard!$H$10,Dashboard!$H$10,MAX(Dashboard!$H$10,MIN($J$2,Dashboard!$H$10*POWER($J$2/Dashboard!$H$10,A547/$D$2)))),$I$2-D547-Dashboard!$I$10-Dashboard!$J$10-Dashboard!$F$10*$I$2)))</f>
        <v>0</v>
      </c>
      <c r="F547" s="24">
        <f t="shared" si="89"/>
        <v>8766.4152381910844</v>
      </c>
      <c r="G547" s="24">
        <f t="shared" si="90"/>
        <v>11446.426304007013</v>
      </c>
      <c r="H547" s="24">
        <f t="shared" si="91"/>
        <v>0</v>
      </c>
      <c r="I547" s="24">
        <f t="shared" si="92"/>
        <v>-11446.426304007013</v>
      </c>
      <c r="J547" s="25">
        <f t="shared" si="93"/>
        <v>7.9741404289037643E-3</v>
      </c>
      <c r="K547" s="24">
        <f t="shared" si="98"/>
        <v>13725691.163714362</v>
      </c>
      <c r="L547" s="24">
        <f t="shared" si="94"/>
        <v>13725691.163714362</v>
      </c>
      <c r="M547" s="24">
        <f t="shared" si="95"/>
        <v>0</v>
      </c>
      <c r="N547" s="24">
        <f>IF(M547&lt;=0,0,IF($E$2-A547&lt;12,(M547-E547)*Dashboard!$B$18,IF($Q$2+A547&gt;=$R$2,MAX(0,M547-E547*POWER(1+$C$2,$E$2-A547))*MAX(Dashboard!$C$18,Dashboard!$B$18),IF($S$2&lt;$R$2,(M547-E547)*0.5*Dashboard!$B$18,(E547*POWER(1+$A$2,$R$2-($Q$2+A547))-E547)*0.5*Dashboard!$B$18+MAX(0,M547-E547*POWER(1+$A$2,$R$2-($Q$2+A547))*POWER(1+$C$2,$S$2-$R$2))*MAX(Dashboard!$C$18,Dashboard!$B$18)))))</f>
        <v>0</v>
      </c>
    </row>
    <row r="548" spans="1:14" x14ac:dyDescent="0.2">
      <c r="A548" s="22">
        <f t="shared" si="96"/>
        <v>543</v>
      </c>
      <c r="B548" s="23">
        <f t="shared" si="97"/>
        <v>63.304794520548633</v>
      </c>
      <c r="C548" t="str">
        <f t="shared" si="88"/>
        <v>63 y 3.66 m</v>
      </c>
      <c r="D548" s="24">
        <f>IF(A548&gt;=$E$2,IF(A548&lt;$E$2+$H$2,$P$2,0),IF(B548&lt;Dashboard!$I$6,0,IF(A548&gt;=$F$2,Dashboard!$C$22*POWER(1+$C$2,A548-$F$2),Dashboard!$C$22)))</f>
        <v>0</v>
      </c>
      <c r="E548" s="24">
        <f>IF(A548&gt;=$F$2,0,IF(A548=0,Dashboard!$G$10,IF(B548&lt;Dashboard!$I$6,IF($J$2&lt;=Dashboard!$H$10,Dashboard!$H$10,MAX(Dashboard!$H$10,MIN($J$2,Dashboard!$H$10*POWER($J$2/Dashboard!$H$10,A548/$D$2)))),$I$2-D548-Dashboard!$I$10-Dashboard!$J$10-Dashboard!$F$10*$I$2)))</f>
        <v>0</v>
      </c>
      <c r="F548" s="24">
        <f t="shared" si="89"/>
        <v>8784.4726182552113</v>
      </c>
      <c r="G548" s="24">
        <f t="shared" si="90"/>
        <v>11475.088812045309</v>
      </c>
      <c r="H548" s="24">
        <f t="shared" si="91"/>
        <v>0</v>
      </c>
      <c r="I548" s="24">
        <f t="shared" si="92"/>
        <v>-11475.088812045309</v>
      </c>
      <c r="J548" s="25">
        <f t="shared" si="93"/>
        <v>7.9741404289037643E-3</v>
      </c>
      <c r="K548" s="24">
        <f t="shared" si="98"/>
        <v>13823575.159755917</v>
      </c>
      <c r="L548" s="24">
        <f t="shared" si="94"/>
        <v>13823575.159755917</v>
      </c>
      <c r="M548" s="24">
        <f t="shared" si="95"/>
        <v>0</v>
      </c>
      <c r="N548" s="24">
        <f>IF(M548&lt;=0,0,IF($E$2-A548&lt;12,(M548-E548)*Dashboard!$B$18,IF($Q$2+A548&gt;=$R$2,MAX(0,M548-E548*POWER(1+$C$2,$E$2-A548))*MAX(Dashboard!$C$18,Dashboard!$B$18),IF($S$2&lt;$R$2,(M548-E548)*0.5*Dashboard!$B$18,(E548*POWER(1+$A$2,$R$2-($Q$2+A548))-E548)*0.5*Dashboard!$B$18+MAX(0,M548-E548*POWER(1+$A$2,$R$2-($Q$2+A548))*POWER(1+$C$2,$S$2-$R$2))*MAX(Dashboard!$C$18,Dashboard!$B$18)))))</f>
        <v>0</v>
      </c>
    </row>
    <row r="549" spans="1:14" x14ac:dyDescent="0.2">
      <c r="A549" s="22">
        <f t="shared" si="96"/>
        <v>544</v>
      </c>
      <c r="B549" s="23">
        <f t="shared" si="97"/>
        <v>63.388127853881969</v>
      </c>
      <c r="C549" t="str">
        <f t="shared" si="88"/>
        <v>63 y 4.66 m</v>
      </c>
      <c r="D549" s="24">
        <f>IF(A549&gt;=$E$2,IF(A549&lt;$E$2+$H$2,$P$2,0),IF(B549&lt;Dashboard!$I$6,0,IF(A549&gt;=$F$2,Dashboard!$C$22*POWER(1+$C$2,A549-$F$2),Dashboard!$C$22)))</f>
        <v>0</v>
      </c>
      <c r="E549" s="24">
        <f>IF(A549&gt;=$F$2,0,IF(A549=0,Dashboard!$G$10,IF(B549&lt;Dashboard!$I$6,IF($J$2&lt;=Dashboard!$H$10,Dashboard!$H$10,MAX(Dashboard!$H$10,MIN($J$2,Dashboard!$H$10*POWER($J$2/Dashboard!$H$10,A549/$D$2)))),$I$2-D549-Dashboard!$I$10-Dashboard!$J$10-Dashboard!$F$10*$I$2)))</f>
        <v>0</v>
      </c>
      <c r="F549" s="24">
        <f t="shared" si="89"/>
        <v>8802.5671935657319</v>
      </c>
      <c r="G549" s="24">
        <f t="shared" si="90"/>
        <v>11503.810360157246</v>
      </c>
      <c r="H549" s="24">
        <f t="shared" si="91"/>
        <v>0</v>
      </c>
      <c r="I549" s="24">
        <f t="shared" si="92"/>
        <v>-11503.810360157246</v>
      </c>
      <c r="J549" s="25">
        <f t="shared" si="93"/>
        <v>7.9741404289037643E-3</v>
      </c>
      <c r="K549" s="24">
        <f t="shared" si="98"/>
        <v>13922210.745949879</v>
      </c>
      <c r="L549" s="24">
        <f t="shared" si="94"/>
        <v>13922210.745949879</v>
      </c>
      <c r="M549" s="24">
        <f t="shared" si="95"/>
        <v>0</v>
      </c>
      <c r="N549" s="24">
        <f>IF(M549&lt;=0,0,IF($E$2-A549&lt;12,(M549-E549)*Dashboard!$B$18,IF($Q$2+A549&gt;=$R$2,MAX(0,M549-E549*POWER(1+$C$2,$E$2-A549))*MAX(Dashboard!$C$18,Dashboard!$B$18),IF($S$2&lt;$R$2,(M549-E549)*0.5*Dashboard!$B$18,(E549*POWER(1+$A$2,$R$2-($Q$2+A549))-E549)*0.5*Dashboard!$B$18+MAX(0,M549-E549*POWER(1+$A$2,$R$2-($Q$2+A549))*POWER(1+$C$2,$S$2-$R$2))*MAX(Dashboard!$C$18,Dashboard!$B$18)))))</f>
        <v>0</v>
      </c>
    </row>
    <row r="550" spans="1:14" x14ac:dyDescent="0.2">
      <c r="A550" s="22">
        <f t="shared" si="96"/>
        <v>545</v>
      </c>
      <c r="B550" s="23">
        <f t="shared" si="97"/>
        <v>63.471461187215304</v>
      </c>
      <c r="C550" t="str">
        <f t="shared" si="88"/>
        <v>63 y 5.66 m</v>
      </c>
      <c r="D550" s="24">
        <f>IF(A550&gt;=$E$2,IF(A550&lt;$E$2+$H$2,$P$2,0),IF(B550&lt;Dashboard!$I$6,0,IF(A550&gt;=$F$2,Dashboard!$C$22*POWER(1+$C$2,A550-$F$2),Dashboard!$C$22)))</f>
        <v>0</v>
      </c>
      <c r="E550" s="24">
        <f>IF(A550&gt;=$F$2,0,IF(A550=0,Dashboard!$G$10,IF(B550&lt;Dashboard!$I$6,IF($J$2&lt;=Dashboard!$H$10,Dashboard!$H$10,MAX(Dashboard!$H$10,MIN($J$2,Dashboard!$H$10*POWER($J$2/Dashboard!$H$10,A550/$D$2)))),$I$2-D550-Dashboard!$I$10-Dashboard!$J$10-Dashboard!$F$10*$I$2)))</f>
        <v>0</v>
      </c>
      <c r="F550" s="24">
        <f t="shared" si="89"/>
        <v>8820.6990407387675</v>
      </c>
      <c r="G550" s="24">
        <f t="shared" si="90"/>
        <v>11532.591069955715</v>
      </c>
      <c r="H550" s="24">
        <f t="shared" si="91"/>
        <v>0</v>
      </c>
      <c r="I550" s="24">
        <f t="shared" si="92"/>
        <v>-11532.591069955715</v>
      </c>
      <c r="J550" s="25">
        <f t="shared" si="93"/>
        <v>7.9741404289037643E-3</v>
      </c>
      <c r="K550" s="24">
        <f t="shared" si="98"/>
        <v>14021603.855948221</v>
      </c>
      <c r="L550" s="24">
        <f t="shared" si="94"/>
        <v>14021603.855948221</v>
      </c>
      <c r="M550" s="24">
        <f t="shared" si="95"/>
        <v>0</v>
      </c>
      <c r="N550" s="24">
        <f>IF(M550&lt;=0,0,IF($E$2-A550&lt;12,(M550-E550)*Dashboard!$B$18,IF($Q$2+A550&gt;=$R$2,MAX(0,M550-E550*POWER(1+$C$2,$E$2-A550))*MAX(Dashboard!$C$18,Dashboard!$B$18),IF($S$2&lt;$R$2,(M550-E550)*0.5*Dashboard!$B$18,(E550*POWER(1+$A$2,$R$2-($Q$2+A550))-E550)*0.5*Dashboard!$B$18+MAX(0,M550-E550*POWER(1+$A$2,$R$2-($Q$2+A550))*POWER(1+$C$2,$S$2-$R$2))*MAX(Dashboard!$C$18,Dashboard!$B$18)))))</f>
        <v>0</v>
      </c>
    </row>
    <row r="551" spans="1:14" x14ac:dyDescent="0.2">
      <c r="A551" s="22">
        <f t="shared" si="96"/>
        <v>546</v>
      </c>
      <c r="B551" s="23">
        <f t="shared" si="97"/>
        <v>63.55479452054864</v>
      </c>
      <c r="C551" t="str">
        <f t="shared" si="88"/>
        <v>63 y 6.66 m</v>
      </c>
      <c r="D551" s="24">
        <f>IF(A551&gt;=$E$2,IF(A551&lt;$E$2+$H$2,$P$2,0),IF(B551&lt;Dashboard!$I$6,0,IF(A551&gt;=$F$2,Dashboard!$C$22*POWER(1+$C$2,A551-$F$2),Dashboard!$C$22)))</f>
        <v>0</v>
      </c>
      <c r="E551" s="24">
        <f>IF(A551&gt;=$F$2,0,IF(A551=0,Dashboard!$G$10,IF(B551&lt;Dashboard!$I$6,IF($J$2&lt;=Dashboard!$H$10,Dashboard!$H$10,MAX(Dashboard!$H$10,MIN($J$2,Dashboard!$H$10*POWER($J$2/Dashboard!$H$10,A551/$D$2)))),$I$2-D551-Dashboard!$I$10-Dashboard!$J$10-Dashboard!$F$10*$I$2)))</f>
        <v>0</v>
      </c>
      <c r="F551" s="24">
        <f t="shared" si="89"/>
        <v>8838.8682365482491</v>
      </c>
      <c r="G551" s="24">
        <f t="shared" si="90"/>
        <v>11561.4310633041</v>
      </c>
      <c r="H551" s="24">
        <f t="shared" si="91"/>
        <v>0</v>
      </c>
      <c r="I551" s="24">
        <f t="shared" si="92"/>
        <v>-11561.4310633041</v>
      </c>
      <c r="J551" s="25">
        <f t="shared" si="93"/>
        <v>7.9741404289037643E-3</v>
      </c>
      <c r="K551" s="24">
        <f t="shared" si="98"/>
        <v>14121760.47059585</v>
      </c>
      <c r="L551" s="24">
        <f t="shared" si="94"/>
        <v>14121760.47059585</v>
      </c>
      <c r="M551" s="24">
        <f t="shared" si="95"/>
        <v>0</v>
      </c>
      <c r="N551" s="24">
        <f>IF(M551&lt;=0,0,IF($E$2-A551&lt;12,(M551-E551)*Dashboard!$B$18,IF($Q$2+A551&gt;=$R$2,MAX(0,M551-E551*POWER(1+$C$2,$E$2-A551))*MAX(Dashboard!$C$18,Dashboard!$B$18),IF($S$2&lt;$R$2,(M551-E551)*0.5*Dashboard!$B$18,(E551*POWER(1+$A$2,$R$2-($Q$2+A551))-E551)*0.5*Dashboard!$B$18+MAX(0,M551-E551*POWER(1+$A$2,$R$2-($Q$2+A551))*POWER(1+$C$2,$S$2-$R$2))*MAX(Dashboard!$C$18,Dashboard!$B$18)))))</f>
        <v>0</v>
      </c>
    </row>
    <row r="552" spans="1:14" x14ac:dyDescent="0.2">
      <c r="A552" s="22">
        <f t="shared" si="96"/>
        <v>547</v>
      </c>
      <c r="B552" s="23">
        <f t="shared" si="97"/>
        <v>63.638127853881976</v>
      </c>
      <c r="C552" t="str">
        <f t="shared" si="88"/>
        <v>63 y 7.66 m</v>
      </c>
      <c r="D552" s="24">
        <f>IF(A552&gt;=$E$2,IF(A552&lt;$E$2+$H$2,$P$2,0),IF(B552&lt;Dashboard!$I$6,0,IF(A552&gt;=$F$2,Dashboard!$C$22*POWER(1+$C$2,A552-$F$2),Dashboard!$C$22)))</f>
        <v>0</v>
      </c>
      <c r="E552" s="24">
        <f>IF(A552&gt;=$F$2,0,IF(A552=0,Dashboard!$G$10,IF(B552&lt;Dashboard!$I$6,IF($J$2&lt;=Dashboard!$H$10,Dashboard!$H$10,MAX(Dashboard!$H$10,MIN($J$2,Dashboard!$H$10*POWER($J$2/Dashboard!$H$10,A552/$D$2)))),$I$2-D552-Dashboard!$I$10-Dashboard!$J$10-Dashboard!$F$10*$I$2)))</f>
        <v>0</v>
      </c>
      <c r="F552" s="24">
        <f t="shared" si="89"/>
        <v>8857.0748579262527</v>
      </c>
      <c r="G552" s="24">
        <f t="shared" si="90"/>
        <v>11590.330462316802</v>
      </c>
      <c r="H552" s="24">
        <f t="shared" si="91"/>
        <v>0</v>
      </c>
      <c r="I552" s="24">
        <f t="shared" si="92"/>
        <v>-11590.330462316802</v>
      </c>
      <c r="J552" s="25">
        <f t="shared" si="93"/>
        <v>7.9741404289037643E-3</v>
      </c>
      <c r="K552" s="24">
        <f t="shared" si="98"/>
        <v>14222686.618306683</v>
      </c>
      <c r="L552" s="24">
        <f t="shared" si="94"/>
        <v>14222686.618306683</v>
      </c>
      <c r="M552" s="24">
        <f t="shared" si="95"/>
        <v>0</v>
      </c>
      <c r="N552" s="24">
        <f>IF(M552&lt;=0,0,IF($E$2-A552&lt;12,(M552-E552)*Dashboard!$B$18,IF($Q$2+A552&gt;=$R$2,MAX(0,M552-E552*POWER(1+$C$2,$E$2-A552))*MAX(Dashboard!$C$18,Dashboard!$B$18),IF($S$2&lt;$R$2,(M552-E552)*0.5*Dashboard!$B$18,(E552*POWER(1+$A$2,$R$2-($Q$2+A552))-E552)*0.5*Dashboard!$B$18+MAX(0,M552-E552*POWER(1+$A$2,$R$2-($Q$2+A552))*POWER(1+$C$2,$S$2-$R$2))*MAX(Dashboard!$C$18,Dashboard!$B$18)))))</f>
        <v>0</v>
      </c>
    </row>
    <row r="553" spans="1:14" x14ac:dyDescent="0.2">
      <c r="A553" s="22">
        <f t="shared" si="96"/>
        <v>548</v>
      </c>
      <c r="B553" s="23">
        <f t="shared" si="97"/>
        <v>63.721461187215311</v>
      </c>
      <c r="C553" t="str">
        <f t="shared" si="88"/>
        <v>63 y 8.66 m</v>
      </c>
      <c r="D553" s="24">
        <f>IF(A553&gt;=$E$2,IF(A553&lt;$E$2+$H$2,$P$2,0),IF(B553&lt;Dashboard!$I$6,0,IF(A553&gt;=$F$2,Dashboard!$C$22*POWER(1+$C$2,A553-$F$2),Dashboard!$C$22)))</f>
        <v>0</v>
      </c>
      <c r="E553" s="24">
        <f>IF(A553&gt;=$F$2,0,IF(A553=0,Dashboard!$G$10,IF(B553&lt;Dashboard!$I$6,IF($J$2&lt;=Dashboard!$H$10,Dashboard!$H$10,MAX(Dashboard!$H$10,MIN($J$2,Dashboard!$H$10*POWER($J$2/Dashboard!$H$10,A553/$D$2)))),$I$2-D553-Dashboard!$I$10-Dashboard!$J$10-Dashboard!$F$10*$I$2)))</f>
        <v>0</v>
      </c>
      <c r="F553" s="24">
        <f t="shared" si="89"/>
        <v>8875.3189819633226</v>
      </c>
      <c r="G553" s="24">
        <f t="shared" si="90"/>
        <v>11619.289389359772</v>
      </c>
      <c r="H553" s="24">
        <f t="shared" si="91"/>
        <v>0</v>
      </c>
      <c r="I553" s="24">
        <f t="shared" si="92"/>
        <v>-11619.289389359772</v>
      </c>
      <c r="J553" s="25">
        <f t="shared" si="93"/>
        <v>7.9741404289037643E-3</v>
      </c>
      <c r="K553" s="24">
        <f t="shared" si="98"/>
        <v>14324388.375442715</v>
      </c>
      <c r="L553" s="24">
        <f t="shared" si="94"/>
        <v>14324388.375442715</v>
      </c>
      <c r="M553" s="24">
        <f t="shared" si="95"/>
        <v>0</v>
      </c>
      <c r="N553" s="24">
        <f>IF(M553&lt;=0,0,IF($E$2-A553&lt;12,(M553-E553)*Dashboard!$B$18,IF($Q$2+A553&gt;=$R$2,MAX(0,M553-E553*POWER(1+$C$2,$E$2-A553))*MAX(Dashboard!$C$18,Dashboard!$B$18),IF($S$2&lt;$R$2,(M553-E553)*0.5*Dashboard!$B$18,(E553*POWER(1+$A$2,$R$2-($Q$2+A553))-E553)*0.5*Dashboard!$B$18+MAX(0,M553-E553*POWER(1+$A$2,$R$2-($Q$2+A553))*POWER(1+$C$2,$S$2-$R$2))*MAX(Dashboard!$C$18,Dashboard!$B$18)))))</f>
        <v>0</v>
      </c>
    </row>
    <row r="554" spans="1:14" x14ac:dyDescent="0.2">
      <c r="A554" s="22">
        <f t="shared" si="96"/>
        <v>549</v>
      </c>
      <c r="B554" s="23">
        <f t="shared" si="97"/>
        <v>63.804794520548647</v>
      </c>
      <c r="C554" t="str">
        <f t="shared" si="88"/>
        <v>63 y 9.66 m</v>
      </c>
      <c r="D554" s="24">
        <f>IF(A554&gt;=$E$2,IF(A554&lt;$E$2+$H$2,$P$2,0),IF(B554&lt;Dashboard!$I$6,0,IF(A554&gt;=$F$2,Dashboard!$C$22*POWER(1+$C$2,A554-$F$2),Dashboard!$C$22)))</f>
        <v>0</v>
      </c>
      <c r="E554" s="24">
        <f>IF(A554&gt;=$F$2,0,IF(A554=0,Dashboard!$G$10,IF(B554&lt;Dashboard!$I$6,IF($J$2&lt;=Dashboard!$H$10,Dashboard!$H$10,MAX(Dashboard!$H$10,MIN($J$2,Dashboard!$H$10*POWER($J$2/Dashboard!$H$10,A554/$D$2)))),$I$2-D554-Dashboard!$I$10-Dashboard!$J$10-Dashboard!$F$10*$I$2)))</f>
        <v>0</v>
      </c>
      <c r="F554" s="24">
        <f t="shared" si="89"/>
        <v>8893.600685908792</v>
      </c>
      <c r="G554" s="24">
        <f t="shared" si="90"/>
        <v>11648.307967050991</v>
      </c>
      <c r="H554" s="24">
        <f t="shared" si="91"/>
        <v>0</v>
      </c>
      <c r="I554" s="24">
        <f t="shared" si="92"/>
        <v>-11648.307967050991</v>
      </c>
      <c r="J554" s="25">
        <f t="shared" si="93"/>
        <v>7.9741404289037643E-3</v>
      </c>
      <c r="K554" s="24">
        <f t="shared" si="98"/>
        <v>14426871.866696112</v>
      </c>
      <c r="L554" s="24">
        <f t="shared" si="94"/>
        <v>14426871.866696112</v>
      </c>
      <c r="M554" s="24">
        <f t="shared" si="95"/>
        <v>0</v>
      </c>
      <c r="N554" s="24">
        <f>IF(M554&lt;=0,0,IF($E$2-A554&lt;12,(M554-E554)*Dashboard!$B$18,IF($Q$2+A554&gt;=$R$2,MAX(0,M554-E554*POWER(1+$C$2,$E$2-A554))*MAX(Dashboard!$C$18,Dashboard!$B$18),IF($S$2&lt;$R$2,(M554-E554)*0.5*Dashboard!$B$18,(E554*POWER(1+$A$2,$R$2-($Q$2+A554))-E554)*0.5*Dashboard!$B$18+MAX(0,M554-E554*POWER(1+$A$2,$R$2-($Q$2+A554))*POWER(1+$C$2,$S$2-$R$2))*MAX(Dashboard!$C$18,Dashboard!$B$18)))))</f>
        <v>0</v>
      </c>
    </row>
    <row r="555" spans="1:14" x14ac:dyDescent="0.2">
      <c r="A555" s="22">
        <f t="shared" si="96"/>
        <v>550</v>
      </c>
      <c r="B555" s="23">
        <f t="shared" si="97"/>
        <v>63.888127853881983</v>
      </c>
      <c r="C555" t="str">
        <f t="shared" si="88"/>
        <v>63 y 10.66 m</v>
      </c>
      <c r="D555" s="24">
        <f>IF(A555&gt;=$E$2,IF(A555&lt;$E$2+$H$2,$P$2,0),IF(B555&lt;Dashboard!$I$6,0,IF(A555&gt;=$F$2,Dashboard!$C$22*POWER(1+$C$2,A555-$F$2),Dashboard!$C$22)))</f>
        <v>0</v>
      </c>
      <c r="E555" s="24">
        <f>IF(A555&gt;=$F$2,0,IF(A555=0,Dashboard!$G$10,IF(B555&lt;Dashboard!$I$6,IF($J$2&lt;=Dashboard!$H$10,Dashboard!$H$10,MAX(Dashboard!$H$10,MIN($J$2,Dashboard!$H$10*POWER($J$2/Dashboard!$H$10,A555/$D$2)))),$I$2-D555-Dashboard!$I$10-Dashboard!$J$10-Dashboard!$F$10*$I$2)))</f>
        <v>0</v>
      </c>
      <c r="F555" s="24">
        <f t="shared" si="89"/>
        <v>8911.9200471711283</v>
      </c>
      <c r="G555" s="24">
        <f t="shared" si="90"/>
        <v>11677.386318261049</v>
      </c>
      <c r="H555" s="24">
        <f t="shared" si="91"/>
        <v>0</v>
      </c>
      <c r="I555" s="24">
        <f t="shared" si="92"/>
        <v>-11677.386318261049</v>
      </c>
      <c r="J555" s="25">
        <f t="shared" si="93"/>
        <v>7.9741404289037643E-3</v>
      </c>
      <c r="K555" s="24">
        <f t="shared" si="98"/>
        <v>14530143.265474342</v>
      </c>
      <c r="L555" s="24">
        <f t="shared" si="94"/>
        <v>14530143.265474342</v>
      </c>
      <c r="M555" s="24">
        <f t="shared" si="95"/>
        <v>0</v>
      </c>
      <c r="N555" s="24">
        <f>IF(M555&lt;=0,0,IF($E$2-A555&lt;12,(M555-E555)*Dashboard!$B$18,IF($Q$2+A555&gt;=$R$2,MAX(0,M555-E555*POWER(1+$C$2,$E$2-A555))*MAX(Dashboard!$C$18,Dashboard!$B$18),IF($S$2&lt;$R$2,(M555-E555)*0.5*Dashboard!$B$18,(E555*POWER(1+$A$2,$R$2-($Q$2+A555))-E555)*0.5*Dashboard!$B$18+MAX(0,M555-E555*POWER(1+$A$2,$R$2-($Q$2+A555))*POWER(1+$C$2,$S$2-$R$2))*MAX(Dashboard!$C$18,Dashboard!$B$18)))))</f>
        <v>0</v>
      </c>
    </row>
    <row r="556" spans="1:14" x14ac:dyDescent="0.2">
      <c r="A556" s="22">
        <f t="shared" si="96"/>
        <v>551</v>
      </c>
      <c r="B556" s="23">
        <f t="shared" si="97"/>
        <v>63.971461187215318</v>
      </c>
      <c r="C556" t="str">
        <f t="shared" si="88"/>
        <v>63 y 11.66 m</v>
      </c>
      <c r="D556" s="24">
        <f>IF(A556&gt;=$E$2,IF(A556&lt;$E$2+$H$2,$P$2,0),IF(B556&lt;Dashboard!$I$6,0,IF(A556&gt;=$F$2,Dashboard!$C$22*POWER(1+$C$2,A556-$F$2),Dashboard!$C$22)))</f>
        <v>0</v>
      </c>
      <c r="E556" s="24">
        <f>IF(A556&gt;=$F$2,0,IF(A556=0,Dashboard!$G$10,IF(B556&lt;Dashboard!$I$6,IF($J$2&lt;=Dashboard!$H$10,Dashboard!$H$10,MAX(Dashboard!$H$10,MIN($J$2,Dashboard!$H$10*POWER($J$2/Dashboard!$H$10,A556/$D$2)))),$I$2-D556-Dashboard!$I$10-Dashboard!$J$10-Dashboard!$F$10*$I$2)))</f>
        <v>0</v>
      </c>
      <c r="F556" s="24">
        <f t="shared" si="89"/>
        <v>8930.2771433182279</v>
      </c>
      <c r="G556" s="24">
        <f t="shared" si="90"/>
        <v>11706.52456611359</v>
      </c>
      <c r="H556" s="24">
        <f t="shared" si="91"/>
        <v>0</v>
      </c>
      <c r="I556" s="24">
        <f t="shared" si="92"/>
        <v>-11706.52456611359</v>
      </c>
      <c r="J556" s="25">
        <f t="shared" si="93"/>
        <v>7.9741404289037643E-3</v>
      </c>
      <c r="K556" s="24">
        <f t="shared" si="98"/>
        <v>14634208.794288386</v>
      </c>
      <c r="L556" s="24">
        <f t="shared" si="94"/>
        <v>14634208.794288386</v>
      </c>
      <c r="M556" s="24">
        <f t="shared" si="95"/>
        <v>0</v>
      </c>
      <c r="N556" s="24">
        <f>IF(M556&lt;=0,0,IF($E$2-A556&lt;12,(M556-E556)*Dashboard!$B$18,IF($Q$2+A556&gt;=$R$2,MAX(0,M556-E556*POWER(1+$C$2,$E$2-A556))*MAX(Dashboard!$C$18,Dashboard!$B$18),IF($S$2&lt;$R$2,(M556-E556)*0.5*Dashboard!$B$18,(E556*POWER(1+$A$2,$R$2-($Q$2+A556))-E556)*0.5*Dashboard!$B$18+MAX(0,M556-E556*POWER(1+$A$2,$R$2-($Q$2+A556))*POWER(1+$C$2,$S$2-$R$2))*MAX(Dashboard!$C$18,Dashboard!$B$18)))))</f>
        <v>0</v>
      </c>
    </row>
    <row r="557" spans="1:14" x14ac:dyDescent="0.2">
      <c r="A557" s="22">
        <f t="shared" si="96"/>
        <v>552</v>
      </c>
      <c r="B557" s="23">
        <f t="shared" si="97"/>
        <v>64.054794520548654</v>
      </c>
      <c r="C557" t="str">
        <f t="shared" si="88"/>
        <v>64 y 0.66 m</v>
      </c>
      <c r="D557" s="24">
        <f>IF(A557&gt;=$E$2,IF(A557&lt;$E$2+$H$2,$P$2,0),IF(B557&lt;Dashboard!$I$6,0,IF(A557&gt;=$F$2,Dashboard!$C$22*POWER(1+$C$2,A557-$F$2),Dashboard!$C$22)))</f>
        <v>0</v>
      </c>
      <c r="E557" s="24">
        <f>IF(A557&gt;=$F$2,0,IF(A557=0,Dashboard!$G$10,IF(B557&lt;Dashboard!$I$6,IF($J$2&lt;=Dashboard!$H$10,Dashboard!$H$10,MAX(Dashboard!$H$10,MIN($J$2,Dashboard!$H$10*POWER($J$2/Dashboard!$H$10,A557/$D$2)))),$I$2-D557-Dashboard!$I$10-Dashboard!$J$10-Dashboard!$F$10*$I$2)))</f>
        <v>0</v>
      </c>
      <c r="F557" s="24">
        <f t="shared" si="89"/>
        <v>8948.6720520777835</v>
      </c>
      <c r="G557" s="24">
        <f t="shared" si="90"/>
        <v>11735.722833985901</v>
      </c>
      <c r="H557" s="24">
        <f t="shared" si="91"/>
        <v>0</v>
      </c>
      <c r="I557" s="24">
        <f t="shared" si="92"/>
        <v>-11735.722833985901</v>
      </c>
      <c r="J557" s="25">
        <f t="shared" si="93"/>
        <v>7.9741404289037643E-3</v>
      </c>
      <c r="K557" s="24">
        <f t="shared" si="98"/>
        <v>14739074.725144042</v>
      </c>
      <c r="L557" s="24">
        <f t="shared" si="94"/>
        <v>14739074.725144042</v>
      </c>
      <c r="M557" s="24">
        <f t="shared" si="95"/>
        <v>0</v>
      </c>
      <c r="N557" s="24">
        <f>IF(M557&lt;=0,0,IF($E$2-A557&lt;12,(M557-E557)*Dashboard!$B$18,IF($Q$2+A557&gt;=$R$2,MAX(0,M557-E557*POWER(1+$C$2,$E$2-A557))*MAX(Dashboard!$C$18,Dashboard!$B$18),IF($S$2&lt;$R$2,(M557-E557)*0.5*Dashboard!$B$18,(E557*POWER(1+$A$2,$R$2-($Q$2+A557))-E557)*0.5*Dashboard!$B$18+MAX(0,M557-E557*POWER(1+$A$2,$R$2-($Q$2+A557))*POWER(1+$C$2,$S$2-$R$2))*MAX(Dashboard!$C$18,Dashboard!$B$18)))))</f>
        <v>0</v>
      </c>
    </row>
    <row r="558" spans="1:14" x14ac:dyDescent="0.2">
      <c r="A558" s="22">
        <f t="shared" si="96"/>
        <v>553</v>
      </c>
      <c r="B558" s="23">
        <f t="shared" si="97"/>
        <v>64.138127853881983</v>
      </c>
      <c r="C558" t="str">
        <f t="shared" si="88"/>
        <v>64 y 1.66 m</v>
      </c>
      <c r="D558" s="24">
        <f>IF(A558&gt;=$E$2,IF(A558&lt;$E$2+$H$2,$P$2,0),IF(B558&lt;Dashboard!$I$6,0,IF(A558&gt;=$F$2,Dashboard!$C$22*POWER(1+$C$2,A558-$F$2),Dashboard!$C$22)))</f>
        <v>0</v>
      </c>
      <c r="E558" s="24">
        <f>IF(A558&gt;=$F$2,0,IF(A558=0,Dashboard!$G$10,IF(B558&lt;Dashboard!$I$6,IF($J$2&lt;=Dashboard!$H$10,Dashboard!$H$10,MAX(Dashboard!$H$10,MIN($J$2,Dashboard!$H$10*POWER($J$2/Dashboard!$H$10,A558/$D$2)))),$I$2-D558-Dashboard!$I$10-Dashboard!$J$10-Dashboard!$F$10*$I$2)))</f>
        <v>0</v>
      </c>
      <c r="F558" s="24">
        <f t="shared" si="89"/>
        <v>8967.1048513375808</v>
      </c>
      <c r="G558" s="24">
        <f t="shared" si="90"/>
        <v>11764.981245509387</v>
      </c>
      <c r="H558" s="24">
        <f t="shared" si="91"/>
        <v>0</v>
      </c>
      <c r="I558" s="24">
        <f t="shared" si="92"/>
        <v>-11764.981245509387</v>
      </c>
      <c r="J558" s="25">
        <f t="shared" si="93"/>
        <v>7.9741404289037643E-3</v>
      </c>
      <c r="K558" s="24">
        <f t="shared" si="98"/>
        <v>14844747.379936341</v>
      </c>
      <c r="L558" s="24">
        <f t="shared" si="94"/>
        <v>14844747.379936341</v>
      </c>
      <c r="M558" s="24">
        <f t="shared" si="95"/>
        <v>0</v>
      </c>
      <c r="N558" s="24">
        <f>IF(M558&lt;=0,0,IF($E$2-A558&lt;12,(M558-E558)*Dashboard!$B$18,IF($Q$2+A558&gt;=$R$2,MAX(0,M558-E558*POWER(1+$C$2,$E$2-A558))*MAX(Dashboard!$C$18,Dashboard!$B$18),IF($S$2&lt;$R$2,(M558-E558)*0.5*Dashboard!$B$18,(E558*POWER(1+$A$2,$R$2-($Q$2+A558))-E558)*0.5*Dashboard!$B$18+MAX(0,M558-E558*POWER(1+$A$2,$R$2-($Q$2+A558))*POWER(1+$C$2,$S$2-$R$2))*MAX(Dashboard!$C$18,Dashboard!$B$18)))))</f>
        <v>0</v>
      </c>
    </row>
    <row r="559" spans="1:14" x14ac:dyDescent="0.2">
      <c r="A559" s="22">
        <f t="shared" si="96"/>
        <v>554</v>
      </c>
      <c r="B559" s="23">
        <f t="shared" si="97"/>
        <v>64.221461187215311</v>
      </c>
      <c r="C559" t="str">
        <f t="shared" si="88"/>
        <v>64 y 2.66 m</v>
      </c>
      <c r="D559" s="24">
        <f>IF(A559&gt;=$E$2,IF(A559&lt;$E$2+$H$2,$P$2,0),IF(B559&lt;Dashboard!$I$6,0,IF(A559&gt;=$F$2,Dashboard!$C$22*POWER(1+$C$2,A559-$F$2),Dashboard!$C$22)))</f>
        <v>0</v>
      </c>
      <c r="E559" s="24">
        <f>IF(A559&gt;=$F$2,0,IF(A559=0,Dashboard!$G$10,IF(B559&lt;Dashboard!$I$6,IF($J$2&lt;=Dashboard!$H$10,Dashboard!$H$10,MAX(Dashboard!$H$10,MIN($J$2,Dashboard!$H$10*POWER($J$2/Dashboard!$H$10,A559/$D$2)))),$I$2-D559-Dashboard!$I$10-Dashboard!$J$10-Dashboard!$F$10*$I$2)))</f>
        <v>0</v>
      </c>
      <c r="F559" s="24">
        <f t="shared" si="89"/>
        <v>8985.5756191458477</v>
      </c>
      <c r="G559" s="24">
        <f t="shared" si="90"/>
        <v>11794.299924570128</v>
      </c>
      <c r="H559" s="24">
        <f t="shared" si="91"/>
        <v>0</v>
      </c>
      <c r="I559" s="24">
        <f t="shared" si="92"/>
        <v>-11794.299924570128</v>
      </c>
      <c r="J559" s="25">
        <f t="shared" si="93"/>
        <v>7.9741404289037643E-3</v>
      </c>
      <c r="K559" s="24">
        <f t="shared" si="98"/>
        <v>14951233.130847126</v>
      </c>
      <c r="L559" s="24">
        <f t="shared" si="94"/>
        <v>14951233.130847126</v>
      </c>
      <c r="M559" s="24">
        <f t="shared" si="95"/>
        <v>0</v>
      </c>
      <c r="N559" s="24">
        <f>IF(M559&lt;=0,0,IF($E$2-A559&lt;12,(M559-E559)*Dashboard!$B$18,IF($Q$2+A559&gt;=$R$2,MAX(0,M559-E559*POWER(1+$C$2,$E$2-A559))*MAX(Dashboard!$C$18,Dashboard!$B$18),IF($S$2&lt;$R$2,(M559-E559)*0.5*Dashboard!$B$18,(E559*POWER(1+$A$2,$R$2-($Q$2+A559))-E559)*0.5*Dashboard!$B$18+MAX(0,M559-E559*POWER(1+$A$2,$R$2-($Q$2+A559))*POWER(1+$C$2,$S$2-$R$2))*MAX(Dashboard!$C$18,Dashboard!$B$18)))))</f>
        <v>0</v>
      </c>
    </row>
    <row r="560" spans="1:14" x14ac:dyDescent="0.2">
      <c r="A560" s="22">
        <f t="shared" si="96"/>
        <v>555</v>
      </c>
      <c r="B560" s="23">
        <f t="shared" si="97"/>
        <v>64.30479452054864</v>
      </c>
      <c r="C560" t="str">
        <f t="shared" si="88"/>
        <v>64 y 3.66 m</v>
      </c>
      <c r="D560" s="24">
        <f>IF(A560&gt;=$E$2,IF(A560&lt;$E$2+$H$2,$P$2,0),IF(B560&lt;Dashboard!$I$6,0,IF(A560&gt;=$F$2,Dashboard!$C$22*POWER(1+$C$2,A560-$F$2),Dashboard!$C$22)))</f>
        <v>0</v>
      </c>
      <c r="E560" s="24">
        <f>IF(A560&gt;=$F$2,0,IF(A560=0,Dashboard!$G$10,IF(B560&lt;Dashboard!$I$6,IF($J$2&lt;=Dashboard!$H$10,Dashboard!$H$10,MAX(Dashboard!$H$10,MIN($J$2,Dashboard!$H$10*POWER($J$2/Dashboard!$H$10,A560/$D$2)))),$I$2-D560-Dashboard!$I$10-Dashboard!$J$10-Dashboard!$F$10*$I$2)))</f>
        <v>0</v>
      </c>
      <c r="F560" s="24">
        <f t="shared" si="89"/>
        <v>9004.0844337115795</v>
      </c>
      <c r="G560" s="24">
        <f t="shared" si="90"/>
        <v>11823.678995309385</v>
      </c>
      <c r="H560" s="24">
        <f t="shared" si="91"/>
        <v>0</v>
      </c>
      <c r="I560" s="24">
        <f t="shared" si="92"/>
        <v>-11823.678995309385</v>
      </c>
      <c r="J560" s="25">
        <f t="shared" si="93"/>
        <v>7.9741404289037643E-3</v>
      </c>
      <c r="K560" s="24">
        <f t="shared" si="98"/>
        <v>15058538.400745776</v>
      </c>
      <c r="L560" s="24">
        <f t="shared" si="94"/>
        <v>15058538.400745776</v>
      </c>
      <c r="M560" s="24">
        <f t="shared" si="95"/>
        <v>0</v>
      </c>
      <c r="N560" s="24">
        <f>IF(M560&lt;=0,0,IF($E$2-A560&lt;12,(M560-E560)*Dashboard!$B$18,IF($Q$2+A560&gt;=$R$2,MAX(0,M560-E560*POWER(1+$C$2,$E$2-A560))*MAX(Dashboard!$C$18,Dashboard!$B$18),IF($S$2&lt;$R$2,(M560-E560)*0.5*Dashboard!$B$18,(E560*POWER(1+$A$2,$R$2-($Q$2+A560))-E560)*0.5*Dashboard!$B$18+MAX(0,M560-E560*POWER(1+$A$2,$R$2-($Q$2+A560))*POWER(1+$C$2,$S$2-$R$2))*MAX(Dashboard!$C$18,Dashboard!$B$18)))))</f>
        <v>0</v>
      </c>
    </row>
    <row r="561" spans="1:14" x14ac:dyDescent="0.2">
      <c r="A561" s="22">
        <f t="shared" si="96"/>
        <v>556</v>
      </c>
      <c r="B561" s="23">
        <f t="shared" si="97"/>
        <v>64.388127853881969</v>
      </c>
      <c r="C561" t="str">
        <f t="shared" si="88"/>
        <v>64 y 4.66 m</v>
      </c>
      <c r="D561" s="24">
        <f>IF(A561&gt;=$E$2,IF(A561&lt;$E$2+$H$2,$P$2,0),IF(B561&lt;Dashboard!$I$6,0,IF(A561&gt;=$F$2,Dashboard!$C$22*POWER(1+$C$2,A561-$F$2),Dashboard!$C$22)))</f>
        <v>0</v>
      </c>
      <c r="E561" s="24">
        <f>IF(A561&gt;=$F$2,0,IF(A561=0,Dashboard!$G$10,IF(B561&lt;Dashboard!$I$6,IF($J$2&lt;=Dashboard!$H$10,Dashboard!$H$10,MAX(Dashboard!$H$10,MIN($J$2,Dashboard!$H$10*POWER($J$2/Dashboard!$H$10,A561/$D$2)))),$I$2-D561-Dashboard!$I$10-Dashboard!$J$10-Dashboard!$F$10*$I$2)))</f>
        <v>0</v>
      </c>
      <c r="F561" s="24">
        <f t="shared" si="89"/>
        <v>9022.6313734048636</v>
      </c>
      <c r="G561" s="24">
        <f t="shared" si="90"/>
        <v>11853.118582124122</v>
      </c>
      <c r="H561" s="24">
        <f t="shared" si="91"/>
        <v>0</v>
      </c>
      <c r="I561" s="24">
        <f t="shared" si="92"/>
        <v>-11853.118582124122</v>
      </c>
      <c r="J561" s="25">
        <f t="shared" si="93"/>
        <v>7.9741404289037643E-3</v>
      </c>
      <c r="K561" s="24">
        <f t="shared" si="98"/>
        <v>15166669.663593143</v>
      </c>
      <c r="L561" s="24">
        <f t="shared" si="94"/>
        <v>15166669.663593143</v>
      </c>
      <c r="M561" s="24">
        <f t="shared" si="95"/>
        <v>0</v>
      </c>
      <c r="N561" s="24">
        <f>IF(M561&lt;=0,0,IF($E$2-A561&lt;12,(M561-E561)*Dashboard!$B$18,IF($Q$2+A561&gt;=$R$2,MAX(0,M561-E561*POWER(1+$C$2,$E$2-A561))*MAX(Dashboard!$C$18,Dashboard!$B$18),IF($S$2&lt;$R$2,(M561-E561)*0.5*Dashboard!$B$18,(E561*POWER(1+$A$2,$R$2-($Q$2+A561))-E561)*0.5*Dashboard!$B$18+MAX(0,M561-E561*POWER(1+$A$2,$R$2-($Q$2+A561))*POWER(1+$C$2,$S$2-$R$2))*MAX(Dashboard!$C$18,Dashboard!$B$18)))))</f>
        <v>0</v>
      </c>
    </row>
    <row r="562" spans="1:14" x14ac:dyDescent="0.2">
      <c r="A562" s="22">
        <f t="shared" si="96"/>
        <v>557</v>
      </c>
      <c r="B562" s="23">
        <f t="shared" si="97"/>
        <v>64.471461187215297</v>
      </c>
      <c r="C562" t="str">
        <f t="shared" si="88"/>
        <v>64 y 5.66 m</v>
      </c>
      <c r="D562" s="24">
        <f>IF(A562&gt;=$E$2,IF(A562&lt;$E$2+$H$2,$P$2,0),IF(B562&lt;Dashboard!$I$6,0,IF(A562&gt;=$F$2,Dashboard!$C$22*POWER(1+$C$2,A562-$F$2),Dashboard!$C$22)))</f>
        <v>0</v>
      </c>
      <c r="E562" s="24">
        <f>IF(A562&gt;=$F$2,0,IF(A562=0,Dashboard!$G$10,IF(B562&lt;Dashboard!$I$6,IF($J$2&lt;=Dashboard!$H$10,Dashboard!$H$10,MAX(Dashboard!$H$10,MIN($J$2,Dashboard!$H$10*POWER($J$2/Dashboard!$H$10,A562/$D$2)))),$I$2-D562-Dashboard!$I$10-Dashboard!$J$10-Dashboard!$F$10*$I$2)))</f>
        <v>0</v>
      </c>
      <c r="F562" s="24">
        <f t="shared" si="89"/>
        <v>9041.2165167572257</v>
      </c>
      <c r="G562" s="24">
        <f t="shared" si="90"/>
        <v>11882.618809667554</v>
      </c>
      <c r="H562" s="24">
        <f t="shared" si="91"/>
        <v>0</v>
      </c>
      <c r="I562" s="24">
        <f t="shared" si="92"/>
        <v>-11882.618809667554</v>
      </c>
      <c r="J562" s="25">
        <f t="shared" si="93"/>
        <v>7.9741404289037643E-3</v>
      </c>
      <c r="K562" s="24">
        <f t="shared" si="98"/>
        <v>15275633.444848711</v>
      </c>
      <c r="L562" s="24">
        <f t="shared" si="94"/>
        <v>15275633.444848711</v>
      </c>
      <c r="M562" s="24">
        <f t="shared" si="95"/>
        <v>0</v>
      </c>
      <c r="N562" s="24">
        <f>IF(M562&lt;=0,0,IF($E$2-A562&lt;12,(M562-E562)*Dashboard!$B$18,IF($Q$2+A562&gt;=$R$2,MAX(0,M562-E562*POWER(1+$C$2,$E$2-A562))*MAX(Dashboard!$C$18,Dashboard!$B$18),IF($S$2&lt;$R$2,(M562-E562)*0.5*Dashboard!$B$18,(E562*POWER(1+$A$2,$R$2-($Q$2+A562))-E562)*0.5*Dashboard!$B$18+MAX(0,M562-E562*POWER(1+$A$2,$R$2-($Q$2+A562))*POWER(1+$C$2,$S$2-$R$2))*MAX(Dashboard!$C$18,Dashboard!$B$18)))))</f>
        <v>0</v>
      </c>
    </row>
    <row r="563" spans="1:14" x14ac:dyDescent="0.2">
      <c r="A563" s="22">
        <f t="shared" si="96"/>
        <v>558</v>
      </c>
      <c r="B563" s="23">
        <f t="shared" si="97"/>
        <v>64.554794520548626</v>
      </c>
      <c r="C563" t="str">
        <f t="shared" si="88"/>
        <v>64 y 6.66 m</v>
      </c>
      <c r="D563" s="24">
        <f>IF(A563&gt;=$E$2,IF(A563&lt;$E$2+$H$2,$P$2,0),IF(B563&lt;Dashboard!$I$6,0,IF(A563&gt;=$F$2,Dashboard!$C$22*POWER(1+$C$2,A563-$F$2),Dashboard!$C$22)))</f>
        <v>0</v>
      </c>
      <c r="E563" s="24">
        <f>IF(A563&gt;=$F$2,0,IF(A563=0,Dashboard!$G$10,IF(B563&lt;Dashboard!$I$6,IF($J$2&lt;=Dashboard!$H$10,Dashboard!$H$10,MAX(Dashboard!$H$10,MIN($J$2,Dashboard!$H$10*POWER($J$2/Dashboard!$H$10,A563/$D$2)))),$I$2-D563-Dashboard!$I$10-Dashboard!$J$10-Dashboard!$F$10*$I$2)))</f>
        <v>0</v>
      </c>
      <c r="F563" s="24">
        <f t="shared" si="89"/>
        <v>9059.8399424619438</v>
      </c>
      <c r="G563" s="24">
        <f t="shared" si="90"/>
        <v>11912.179802849647</v>
      </c>
      <c r="H563" s="24">
        <f t="shared" si="91"/>
        <v>0</v>
      </c>
      <c r="I563" s="24">
        <f t="shared" si="92"/>
        <v>-11912.179802849647</v>
      </c>
      <c r="J563" s="25">
        <f t="shared" si="93"/>
        <v>7.9741404289037643E-3</v>
      </c>
      <c r="K563" s="24">
        <f t="shared" si="98"/>
        <v>15385436.321880981</v>
      </c>
      <c r="L563" s="24">
        <f t="shared" si="94"/>
        <v>15385436.321880981</v>
      </c>
      <c r="M563" s="24">
        <f t="shared" si="95"/>
        <v>0</v>
      </c>
      <c r="N563" s="24">
        <f>IF(M563&lt;=0,0,IF($E$2-A563&lt;12,(M563-E563)*Dashboard!$B$18,IF($Q$2+A563&gt;=$R$2,MAX(0,M563-E563*POWER(1+$C$2,$E$2-A563))*MAX(Dashboard!$C$18,Dashboard!$B$18),IF($S$2&lt;$R$2,(M563-E563)*0.5*Dashboard!$B$18,(E563*POWER(1+$A$2,$R$2-($Q$2+A563))-E563)*0.5*Dashboard!$B$18+MAX(0,M563-E563*POWER(1+$A$2,$R$2-($Q$2+A563))*POWER(1+$C$2,$S$2-$R$2))*MAX(Dashboard!$C$18,Dashboard!$B$18)))))</f>
        <v>0</v>
      </c>
    </row>
    <row r="564" spans="1:14" x14ac:dyDescent="0.2">
      <c r="A564" s="22">
        <f t="shared" si="96"/>
        <v>559</v>
      </c>
      <c r="B564" s="23">
        <f t="shared" si="97"/>
        <v>64.638127853881954</v>
      </c>
      <c r="C564" t="str">
        <f t="shared" si="88"/>
        <v>64 y 7.66 m</v>
      </c>
      <c r="D564" s="24">
        <f>IF(A564&gt;=$E$2,IF(A564&lt;$E$2+$H$2,$P$2,0),IF(B564&lt;Dashboard!$I$6,0,IF(A564&gt;=$F$2,Dashboard!$C$22*POWER(1+$C$2,A564-$F$2),Dashboard!$C$22)))</f>
        <v>0</v>
      </c>
      <c r="E564" s="24">
        <f>IF(A564&gt;=$F$2,0,IF(A564=0,Dashboard!$G$10,IF(B564&lt;Dashboard!$I$6,IF($J$2&lt;=Dashboard!$H$10,Dashboard!$H$10,MAX(Dashboard!$H$10,MIN($J$2,Dashboard!$H$10*POWER($J$2/Dashboard!$H$10,A564/$D$2)))),$I$2-D564-Dashboard!$I$10-Dashboard!$J$10-Dashboard!$F$10*$I$2)))</f>
        <v>0</v>
      </c>
      <c r="F564" s="24">
        <f t="shared" si="89"/>
        <v>9078.5017293743967</v>
      </c>
      <c r="G564" s="24">
        <f t="shared" si="90"/>
        <v>11941.801686837667</v>
      </c>
      <c r="H564" s="24">
        <f t="shared" si="91"/>
        <v>0</v>
      </c>
      <c r="I564" s="24">
        <f t="shared" si="92"/>
        <v>-11941.801686837667</v>
      </c>
      <c r="J564" s="25">
        <f t="shared" si="93"/>
        <v>7.9741404289037643E-3</v>
      </c>
      <c r="K564" s="24">
        <f t="shared" si="98"/>
        <v>15496084.924381154</v>
      </c>
      <c r="L564" s="24">
        <f t="shared" si="94"/>
        <v>15496084.924381154</v>
      </c>
      <c r="M564" s="24">
        <f t="shared" si="95"/>
        <v>0</v>
      </c>
      <c r="N564" s="24">
        <f>IF(M564&lt;=0,0,IF($E$2-A564&lt;12,(M564-E564)*Dashboard!$B$18,IF($Q$2+A564&gt;=$R$2,MAX(0,M564-E564*POWER(1+$C$2,$E$2-A564))*MAX(Dashboard!$C$18,Dashboard!$B$18),IF($S$2&lt;$R$2,(M564-E564)*0.5*Dashboard!$B$18,(E564*POWER(1+$A$2,$R$2-($Q$2+A564))-E564)*0.5*Dashboard!$B$18+MAX(0,M564-E564*POWER(1+$A$2,$R$2-($Q$2+A564))*POWER(1+$C$2,$S$2-$R$2))*MAX(Dashboard!$C$18,Dashboard!$B$18)))))</f>
        <v>0</v>
      </c>
    </row>
    <row r="565" spans="1:14" x14ac:dyDescent="0.2">
      <c r="A565" s="22">
        <f t="shared" si="96"/>
        <v>560</v>
      </c>
      <c r="B565" s="23">
        <f t="shared" si="97"/>
        <v>64.721461187215283</v>
      </c>
      <c r="C565" t="str">
        <f t="shared" si="88"/>
        <v>64 y 8.66 m</v>
      </c>
      <c r="D565" s="24">
        <f>IF(A565&gt;=$E$2,IF(A565&lt;$E$2+$H$2,$P$2,0),IF(B565&lt;Dashboard!$I$6,0,IF(A565&gt;=$F$2,Dashboard!$C$22*POWER(1+$C$2,A565-$F$2),Dashboard!$C$22)))</f>
        <v>0</v>
      </c>
      <c r="E565" s="24">
        <f>IF(A565&gt;=$F$2,0,IF(A565=0,Dashboard!$G$10,IF(B565&lt;Dashboard!$I$6,IF($J$2&lt;=Dashboard!$H$10,Dashboard!$H$10,MAX(Dashboard!$H$10,MIN($J$2,Dashboard!$H$10*POWER($J$2/Dashboard!$H$10,A565/$D$2)))),$I$2-D565-Dashboard!$I$10-Dashboard!$J$10-Dashboard!$F$10*$I$2)))</f>
        <v>0</v>
      </c>
      <c r="F565" s="24">
        <f t="shared" si="89"/>
        <v>9097.2019565123919</v>
      </c>
      <c r="G565" s="24">
        <f t="shared" si="90"/>
        <v>11971.484587056708</v>
      </c>
      <c r="H565" s="24">
        <f t="shared" si="91"/>
        <v>0</v>
      </c>
      <c r="I565" s="24">
        <f t="shared" si="92"/>
        <v>-11971.484587056708</v>
      </c>
      <c r="J565" s="25">
        <f t="shared" si="93"/>
        <v>7.9741404289037643E-3</v>
      </c>
      <c r="K565" s="24">
        <f t="shared" si="98"/>
        <v>15607585.934780091</v>
      </c>
      <c r="L565" s="24">
        <f t="shared" si="94"/>
        <v>15607585.934780091</v>
      </c>
      <c r="M565" s="24">
        <f t="shared" si="95"/>
        <v>0</v>
      </c>
      <c r="N565" s="24">
        <f>IF(M565&lt;=0,0,IF($E$2-A565&lt;12,(M565-E565)*Dashboard!$B$18,IF($Q$2+A565&gt;=$R$2,MAX(0,M565-E565*POWER(1+$C$2,$E$2-A565))*MAX(Dashboard!$C$18,Dashboard!$B$18),IF($S$2&lt;$R$2,(M565-E565)*0.5*Dashboard!$B$18,(E565*POWER(1+$A$2,$R$2-($Q$2+A565))-E565)*0.5*Dashboard!$B$18+MAX(0,M565-E565*POWER(1+$A$2,$R$2-($Q$2+A565))*POWER(1+$C$2,$S$2-$R$2))*MAX(Dashboard!$C$18,Dashboard!$B$18)))))</f>
        <v>0</v>
      </c>
    </row>
    <row r="566" spans="1:14" x14ac:dyDescent="0.2">
      <c r="A566" s="22">
        <f t="shared" si="96"/>
        <v>561</v>
      </c>
      <c r="B566" s="23">
        <f t="shared" si="97"/>
        <v>64.804794520548612</v>
      </c>
      <c r="C566" t="str">
        <f t="shared" si="88"/>
        <v>64 y 9.66 m</v>
      </c>
      <c r="D566" s="24">
        <f>IF(A566&gt;=$E$2,IF(A566&lt;$E$2+$H$2,$P$2,0),IF(B566&lt;Dashboard!$I$6,0,IF(A566&gt;=$F$2,Dashboard!$C$22*POWER(1+$C$2,A566-$F$2),Dashboard!$C$22)))</f>
        <v>0</v>
      </c>
      <c r="E566" s="24">
        <f>IF(A566&gt;=$F$2,0,IF(A566=0,Dashboard!$G$10,IF(B566&lt;Dashboard!$I$6,IF($J$2&lt;=Dashboard!$H$10,Dashboard!$H$10,MAX(Dashboard!$H$10,MIN($J$2,Dashboard!$H$10*POWER($J$2/Dashboard!$H$10,A566/$D$2)))),$I$2-D566-Dashboard!$I$10-Dashboard!$J$10-Dashboard!$F$10*$I$2)))</f>
        <v>0</v>
      </c>
      <c r="F566" s="24">
        <f t="shared" si="89"/>
        <v>9115.9407030564998</v>
      </c>
      <c r="G566" s="24">
        <f t="shared" si="90"/>
        <v>12001.228629190213</v>
      </c>
      <c r="H566" s="24">
        <f t="shared" si="91"/>
        <v>0</v>
      </c>
      <c r="I566" s="24">
        <f t="shared" si="92"/>
        <v>-12001.228629190213</v>
      </c>
      <c r="J566" s="25">
        <f t="shared" si="93"/>
        <v>7.9741404289037643E-3</v>
      </c>
      <c r="K566" s="24">
        <f t="shared" si="98"/>
        <v>15719946.088668611</v>
      </c>
      <c r="L566" s="24">
        <f t="shared" si="94"/>
        <v>15719946.088668611</v>
      </c>
      <c r="M566" s="24">
        <f t="shared" si="95"/>
        <v>0</v>
      </c>
      <c r="N566" s="24">
        <f>IF(M566&lt;=0,0,IF($E$2-A566&lt;12,(M566-E566)*Dashboard!$B$18,IF($Q$2+A566&gt;=$R$2,MAX(0,M566-E566*POWER(1+$C$2,$E$2-A566))*MAX(Dashboard!$C$18,Dashboard!$B$18),IF($S$2&lt;$R$2,(M566-E566)*0.5*Dashboard!$B$18,(E566*POWER(1+$A$2,$R$2-($Q$2+A566))-E566)*0.5*Dashboard!$B$18+MAX(0,M566-E566*POWER(1+$A$2,$R$2-($Q$2+A566))*POWER(1+$C$2,$S$2-$R$2))*MAX(Dashboard!$C$18,Dashboard!$B$18)))))</f>
        <v>0</v>
      </c>
    </row>
    <row r="567" spans="1:14" x14ac:dyDescent="0.2">
      <c r="A567" s="22">
        <f t="shared" si="96"/>
        <v>562</v>
      </c>
      <c r="B567" s="23">
        <f t="shared" si="97"/>
        <v>64.88812785388194</v>
      </c>
      <c r="C567" t="str">
        <f t="shared" si="88"/>
        <v>64 y 10.66 m</v>
      </c>
      <c r="D567" s="24">
        <f>IF(A567&gt;=$E$2,IF(A567&lt;$E$2+$H$2,$P$2,0),IF(B567&lt;Dashboard!$I$6,0,IF(A567&gt;=$F$2,Dashboard!$C$22*POWER(1+$C$2,A567-$F$2),Dashboard!$C$22)))</f>
        <v>0</v>
      </c>
      <c r="E567" s="24">
        <f>IF(A567&gt;=$F$2,0,IF(A567=0,Dashboard!$G$10,IF(B567&lt;Dashboard!$I$6,IF($J$2&lt;=Dashboard!$H$10,Dashboard!$H$10,MAX(Dashboard!$H$10,MIN($J$2,Dashboard!$H$10*POWER($J$2/Dashboard!$H$10,A567/$D$2)))),$I$2-D567-Dashboard!$I$10-Dashboard!$J$10-Dashboard!$F$10*$I$2)))</f>
        <v>0</v>
      </c>
      <c r="F567" s="24">
        <f t="shared" si="89"/>
        <v>9134.7180483503889</v>
      </c>
      <c r="G567" s="24">
        <f t="shared" si="90"/>
        <v>12031.03393918051</v>
      </c>
      <c r="H567" s="24">
        <f t="shared" si="91"/>
        <v>0</v>
      </c>
      <c r="I567" s="24">
        <f t="shared" si="92"/>
        <v>-12031.03393918051</v>
      </c>
      <c r="J567" s="25">
        <f t="shared" si="93"/>
        <v>7.9741404289037643E-3</v>
      </c>
      <c r="K567" s="24">
        <f t="shared" si="98"/>
        <v>15833172.175221134</v>
      </c>
      <c r="L567" s="24">
        <f t="shared" si="94"/>
        <v>15833172.175221134</v>
      </c>
      <c r="M567" s="24">
        <f t="shared" si="95"/>
        <v>0</v>
      </c>
      <c r="N567" s="24">
        <f>IF(M567&lt;=0,0,IF($E$2-A567&lt;12,(M567-E567)*Dashboard!$B$18,IF($Q$2+A567&gt;=$R$2,MAX(0,M567-E567*POWER(1+$C$2,$E$2-A567))*MAX(Dashboard!$C$18,Dashboard!$B$18),IF($S$2&lt;$R$2,(M567-E567)*0.5*Dashboard!$B$18,(E567*POWER(1+$A$2,$R$2-($Q$2+A567))-E567)*0.5*Dashboard!$B$18+MAX(0,M567-E567*POWER(1+$A$2,$R$2-($Q$2+A567))*POWER(1+$C$2,$S$2-$R$2))*MAX(Dashboard!$C$18,Dashboard!$B$18)))))</f>
        <v>0</v>
      </c>
    </row>
    <row r="568" spans="1:14" x14ac:dyDescent="0.2">
      <c r="A568" s="22">
        <f t="shared" si="96"/>
        <v>563</v>
      </c>
      <c r="B568" s="23">
        <f t="shared" si="97"/>
        <v>64.971461187215269</v>
      </c>
      <c r="C568" t="str">
        <f t="shared" si="88"/>
        <v>64 y 11.66 m</v>
      </c>
      <c r="D568" s="24">
        <f>IF(A568&gt;=$E$2,IF(A568&lt;$E$2+$H$2,$P$2,0),IF(B568&lt;Dashboard!$I$6,0,IF(A568&gt;=$F$2,Dashboard!$C$22*POWER(1+$C$2,A568-$F$2),Dashboard!$C$22)))</f>
        <v>0</v>
      </c>
      <c r="E568" s="24">
        <f>IF(A568&gt;=$F$2,0,IF(A568=0,Dashboard!$G$10,IF(B568&lt;Dashboard!$I$6,IF($J$2&lt;=Dashboard!$H$10,Dashboard!$H$10,MAX(Dashboard!$H$10,MIN($J$2,Dashboard!$H$10*POWER($J$2/Dashboard!$H$10,A568/$D$2)))),$I$2-D568-Dashboard!$I$10-Dashboard!$J$10-Dashboard!$F$10*$I$2)))</f>
        <v>0</v>
      </c>
      <c r="F568" s="24">
        <f t="shared" si="89"/>
        <v>9153.5340719011729</v>
      </c>
      <c r="G568" s="24">
        <f t="shared" si="90"/>
        <v>12060.900643229375</v>
      </c>
      <c r="H568" s="24">
        <f t="shared" si="91"/>
        <v>0</v>
      </c>
      <c r="I568" s="24">
        <f t="shared" si="92"/>
        <v>-12060.900643229375</v>
      </c>
      <c r="J568" s="25">
        <f t="shared" si="93"/>
        <v>7.9741404289037643E-3</v>
      </c>
      <c r="K568" s="24">
        <f t="shared" si="98"/>
        <v>15947271.037622701</v>
      </c>
      <c r="L568" s="24">
        <f t="shared" si="94"/>
        <v>15947271.037622701</v>
      </c>
      <c r="M568" s="24">
        <f t="shared" si="95"/>
        <v>0</v>
      </c>
      <c r="N568" s="24">
        <f>IF(M568&lt;=0,0,IF($E$2-A568&lt;12,(M568-E568)*Dashboard!$B$18,IF($Q$2+A568&gt;=$R$2,MAX(0,M568-E568*POWER(1+$C$2,$E$2-A568))*MAX(Dashboard!$C$18,Dashboard!$B$18),IF($S$2&lt;$R$2,(M568-E568)*0.5*Dashboard!$B$18,(E568*POWER(1+$A$2,$R$2-($Q$2+A568))-E568)*0.5*Dashboard!$B$18+MAX(0,M568-E568*POWER(1+$A$2,$R$2-($Q$2+A568))*POWER(1+$C$2,$S$2-$R$2))*MAX(Dashboard!$C$18,Dashboard!$B$18)))))</f>
        <v>0</v>
      </c>
    </row>
    <row r="569" spans="1:14" x14ac:dyDescent="0.2">
      <c r="A569" s="22">
        <f t="shared" si="96"/>
        <v>564</v>
      </c>
      <c r="B569" s="23">
        <f t="shared" si="97"/>
        <v>65.054794520548597</v>
      </c>
      <c r="C569" t="str">
        <f t="shared" si="88"/>
        <v>65 y 0.66 m</v>
      </c>
      <c r="D569" s="24">
        <f>IF(A569&gt;=$E$2,IF(A569&lt;$E$2+$H$2,$P$2,0),IF(B569&lt;Dashboard!$I$6,0,IF(A569&gt;=$F$2,Dashboard!$C$22*POWER(1+$C$2,A569-$F$2),Dashboard!$C$22)))</f>
        <v>0</v>
      </c>
      <c r="E569" s="24">
        <f>IF(A569&gt;=$F$2,0,IF(A569=0,Dashboard!$G$10,IF(B569&lt;Dashboard!$I$6,IF($J$2&lt;=Dashboard!$H$10,Dashboard!$H$10,MAX(Dashboard!$H$10,MIN($J$2,Dashboard!$H$10*POWER($J$2/Dashboard!$H$10,A569/$D$2)))),$I$2-D569-Dashboard!$I$10-Dashboard!$J$10-Dashboard!$F$10*$I$2)))</f>
        <v>0</v>
      </c>
      <c r="F569" s="24">
        <f t="shared" si="89"/>
        <v>9172.3888533797126</v>
      </c>
      <c r="G569" s="24">
        <f t="shared" si="90"/>
        <v>12090.828867798484</v>
      </c>
      <c r="H569" s="24">
        <f t="shared" si="91"/>
        <v>0</v>
      </c>
      <c r="I569" s="24">
        <f t="shared" si="92"/>
        <v>-12090.828867798484</v>
      </c>
      <c r="J569" s="25">
        <f t="shared" si="93"/>
        <v>7.9741404289037643E-3</v>
      </c>
      <c r="K569" s="24">
        <f t="shared" si="98"/>
        <v>16062249.573499402</v>
      </c>
      <c r="L569" s="24">
        <f t="shared" si="94"/>
        <v>16062249.573499402</v>
      </c>
      <c r="M569" s="24">
        <f t="shared" si="95"/>
        <v>0</v>
      </c>
      <c r="N569" s="24">
        <f>IF(M569&lt;=0,0,IF($E$2-A569&lt;12,(M569-E569)*Dashboard!$B$18,IF($Q$2+A569&gt;=$R$2,MAX(0,M569-E569*POWER(1+$C$2,$E$2-A569))*MAX(Dashboard!$C$18,Dashboard!$B$18),IF($S$2&lt;$R$2,(M569-E569)*0.5*Dashboard!$B$18,(E569*POWER(1+$A$2,$R$2-($Q$2+A569))-E569)*0.5*Dashboard!$B$18+MAX(0,M569-E569*POWER(1+$A$2,$R$2-($Q$2+A569))*POWER(1+$C$2,$S$2-$R$2))*MAX(Dashboard!$C$18,Dashboard!$B$18)))))</f>
        <v>0</v>
      </c>
    </row>
    <row r="570" spans="1:14" x14ac:dyDescent="0.2">
      <c r="A570" s="22">
        <f t="shared" si="96"/>
        <v>565</v>
      </c>
      <c r="B570" s="23">
        <f t="shared" si="97"/>
        <v>65.138127853881926</v>
      </c>
      <c r="C570" t="str">
        <f t="shared" si="88"/>
        <v>65 y 1.66 m</v>
      </c>
      <c r="D570" s="24">
        <f>IF(A570&gt;=$E$2,IF(A570&lt;$E$2+$H$2,$P$2,0),IF(B570&lt;Dashboard!$I$6,0,IF(A570&gt;=$F$2,Dashboard!$C$22*POWER(1+$C$2,A570-$F$2),Dashboard!$C$22)))</f>
        <v>0</v>
      </c>
      <c r="E570" s="24">
        <f>IF(A570&gt;=$F$2,0,IF(A570=0,Dashboard!$G$10,IF(B570&lt;Dashboard!$I$6,IF($J$2&lt;=Dashboard!$H$10,Dashboard!$H$10,MAX(Dashboard!$H$10,MIN($J$2,Dashboard!$H$10*POWER($J$2/Dashboard!$H$10,A570/$D$2)))),$I$2-D570-Dashboard!$I$10-Dashboard!$J$10-Dashboard!$F$10*$I$2)))</f>
        <v>0</v>
      </c>
      <c r="F570" s="24">
        <f t="shared" si="89"/>
        <v>9191.2824726210074</v>
      </c>
      <c r="G570" s="24">
        <f t="shared" si="90"/>
        <v>12120.818739610064</v>
      </c>
      <c r="H570" s="24">
        <f t="shared" si="91"/>
        <v>0</v>
      </c>
      <c r="I570" s="24">
        <f t="shared" si="92"/>
        <v>-12120.818739610064</v>
      </c>
      <c r="J570" s="25">
        <f t="shared" si="93"/>
        <v>7.9741404289037643E-3</v>
      </c>
      <c r="K570" s="24">
        <f t="shared" si="98"/>
        <v>16178114.735352233</v>
      </c>
      <c r="L570" s="24">
        <f t="shared" si="94"/>
        <v>16178114.735352233</v>
      </c>
      <c r="M570" s="24">
        <f t="shared" si="95"/>
        <v>0</v>
      </c>
      <c r="N570" s="24">
        <f>IF(M570&lt;=0,0,IF($E$2-A570&lt;12,(M570-E570)*Dashboard!$B$18,IF($Q$2+A570&gt;=$R$2,MAX(0,M570-E570*POWER(1+$C$2,$E$2-A570))*MAX(Dashboard!$C$18,Dashboard!$B$18),IF($S$2&lt;$R$2,(M570-E570)*0.5*Dashboard!$B$18,(E570*POWER(1+$A$2,$R$2-($Q$2+A570))-E570)*0.5*Dashboard!$B$18+MAX(0,M570-E570*POWER(1+$A$2,$R$2-($Q$2+A570))*POWER(1+$C$2,$S$2-$R$2))*MAX(Dashboard!$C$18,Dashboard!$B$18)))))</f>
        <v>0</v>
      </c>
    </row>
    <row r="571" spans="1:14" x14ac:dyDescent="0.2">
      <c r="A571" s="22">
        <f t="shared" si="96"/>
        <v>566</v>
      </c>
      <c r="B571" s="23">
        <f t="shared" si="97"/>
        <v>65.221461187215255</v>
      </c>
      <c r="C571" t="str">
        <f t="shared" si="88"/>
        <v>65 y 2.66 m</v>
      </c>
      <c r="D571" s="24">
        <f>IF(A571&gt;=$E$2,IF(A571&lt;$E$2+$H$2,$P$2,0),IF(B571&lt;Dashboard!$I$6,0,IF(A571&gt;=$F$2,Dashboard!$C$22*POWER(1+$C$2,A571-$F$2),Dashboard!$C$22)))</f>
        <v>0</v>
      </c>
      <c r="E571" s="24">
        <f>IF(A571&gt;=$F$2,0,IF(A571=0,Dashboard!$G$10,IF(B571&lt;Dashboard!$I$6,IF($J$2&lt;=Dashboard!$H$10,Dashboard!$H$10,MAX(Dashboard!$H$10,MIN($J$2,Dashboard!$H$10*POWER($J$2/Dashboard!$H$10,A571/$D$2)))),$I$2-D571-Dashboard!$I$10-Dashboard!$J$10-Dashboard!$F$10*$I$2)))</f>
        <v>0</v>
      </c>
      <c r="F571" s="24">
        <f t="shared" si="89"/>
        <v>9210.2150096244823</v>
      </c>
      <c r="G571" s="24">
        <f t="shared" si="90"/>
        <v>12150.870385647328</v>
      </c>
      <c r="H571" s="24">
        <f t="shared" si="91"/>
        <v>0</v>
      </c>
      <c r="I571" s="24">
        <f t="shared" si="92"/>
        <v>-12150.870385647328</v>
      </c>
      <c r="J571" s="25">
        <f t="shared" si="93"/>
        <v>7.9741404289037643E-3</v>
      </c>
      <c r="K571" s="24">
        <f t="shared" si="98"/>
        <v>16294873.530994413</v>
      </c>
      <c r="L571" s="24">
        <f t="shared" si="94"/>
        <v>16294873.530994413</v>
      </c>
      <c r="M571" s="24">
        <f t="shared" si="95"/>
        <v>0</v>
      </c>
      <c r="N571" s="24">
        <f>IF(M571&lt;=0,0,IF($E$2-A571&lt;12,(M571-E571)*Dashboard!$B$18,IF($Q$2+A571&gt;=$R$2,MAX(0,M571-E571*POWER(1+$C$2,$E$2-A571))*MAX(Dashboard!$C$18,Dashboard!$B$18),IF($S$2&lt;$R$2,(M571-E571)*0.5*Dashboard!$B$18,(E571*POWER(1+$A$2,$R$2-($Q$2+A571))-E571)*0.5*Dashboard!$B$18+MAX(0,M571-E571*POWER(1+$A$2,$R$2-($Q$2+A571))*POWER(1+$C$2,$S$2-$R$2))*MAX(Dashboard!$C$18,Dashboard!$B$18)))))</f>
        <v>0</v>
      </c>
    </row>
    <row r="572" spans="1:14" x14ac:dyDescent="0.2">
      <c r="A572" s="22">
        <f t="shared" si="96"/>
        <v>567</v>
      </c>
      <c r="B572" s="23">
        <f t="shared" si="97"/>
        <v>65.304794520548583</v>
      </c>
      <c r="C572" t="str">
        <f t="shared" si="88"/>
        <v>65 y 3.66 m</v>
      </c>
      <c r="D572" s="24">
        <f>IF(A572&gt;=$E$2,IF(A572&lt;$E$2+$H$2,$P$2,0),IF(B572&lt;Dashboard!$I$6,0,IF(A572&gt;=$F$2,Dashboard!$C$22*POWER(1+$C$2,A572-$F$2),Dashboard!$C$22)))</f>
        <v>0</v>
      </c>
      <c r="E572" s="24">
        <f>IF(A572&gt;=$F$2,0,IF(A572=0,Dashboard!$G$10,IF(B572&lt;Dashboard!$I$6,IF($J$2&lt;=Dashboard!$H$10,Dashboard!$H$10,MAX(Dashboard!$H$10,MIN($J$2,Dashboard!$H$10*POWER($J$2/Dashboard!$H$10,A572/$D$2)))),$I$2-D572-Dashboard!$I$10-Dashboard!$J$10-Dashboard!$F$10*$I$2)))</f>
        <v>0</v>
      </c>
      <c r="F572" s="24">
        <f t="shared" si="89"/>
        <v>9229.1865445543572</v>
      </c>
      <c r="G572" s="24">
        <f t="shared" si="90"/>
        <v>12180.983933155063</v>
      </c>
      <c r="H572" s="24">
        <f t="shared" si="91"/>
        <v>0</v>
      </c>
      <c r="I572" s="24">
        <f t="shared" si="92"/>
        <v>-12180.983933155063</v>
      </c>
      <c r="J572" s="25">
        <f t="shared" si="93"/>
        <v>7.9741404289037643E-3</v>
      </c>
      <c r="K572" s="24">
        <f t="shared" si="98"/>
        <v>16412533.02399219</v>
      </c>
      <c r="L572" s="24">
        <f t="shared" si="94"/>
        <v>16412533.02399219</v>
      </c>
      <c r="M572" s="24">
        <f t="shared" si="95"/>
        <v>0</v>
      </c>
      <c r="N572" s="24">
        <f>IF(M572&lt;=0,0,IF($E$2-A572&lt;12,(M572-E572)*Dashboard!$B$18,IF($Q$2+A572&gt;=$R$2,MAX(0,M572-E572*POWER(1+$C$2,$E$2-A572))*MAX(Dashboard!$C$18,Dashboard!$B$18),IF($S$2&lt;$R$2,(M572-E572)*0.5*Dashboard!$B$18,(E572*POWER(1+$A$2,$R$2-($Q$2+A572))-E572)*0.5*Dashboard!$B$18+MAX(0,M572-E572*POWER(1+$A$2,$R$2-($Q$2+A572))*POWER(1+$C$2,$S$2-$R$2))*MAX(Dashboard!$C$18,Dashboard!$B$18)))))</f>
        <v>0</v>
      </c>
    </row>
    <row r="573" spans="1:14" x14ac:dyDescent="0.2">
      <c r="A573" s="22">
        <f t="shared" si="96"/>
        <v>568</v>
      </c>
      <c r="B573" s="23">
        <f t="shared" si="97"/>
        <v>65.388127853881912</v>
      </c>
      <c r="C573" t="str">
        <f t="shared" si="88"/>
        <v>65 y 4.66 m</v>
      </c>
      <c r="D573" s="24">
        <f>IF(A573&gt;=$E$2,IF(A573&lt;$E$2+$H$2,$P$2,0),IF(B573&lt;Dashboard!$I$6,0,IF(A573&gt;=$F$2,Dashboard!$C$22*POWER(1+$C$2,A573-$F$2),Dashboard!$C$22)))</f>
        <v>0</v>
      </c>
      <c r="E573" s="24">
        <f>IF(A573&gt;=$F$2,0,IF(A573=0,Dashboard!$G$10,IF(B573&lt;Dashboard!$I$6,IF($J$2&lt;=Dashboard!$H$10,Dashboard!$H$10,MAX(Dashboard!$H$10,MIN($J$2,Dashboard!$H$10*POWER($J$2/Dashboard!$H$10,A573/$D$2)))),$I$2-D573-Dashboard!$I$10-Dashboard!$J$10-Dashboard!$F$10*$I$2)))</f>
        <v>0</v>
      </c>
      <c r="F573" s="24">
        <f t="shared" si="89"/>
        <v>9248.1971577399745</v>
      </c>
      <c r="G573" s="24">
        <f t="shared" si="90"/>
        <v>12211.159509640171</v>
      </c>
      <c r="H573" s="24">
        <f t="shared" si="91"/>
        <v>0</v>
      </c>
      <c r="I573" s="24">
        <f t="shared" si="92"/>
        <v>-12211.159509640171</v>
      </c>
      <c r="J573" s="25">
        <f t="shared" si="93"/>
        <v>7.9741404289037643E-3</v>
      </c>
      <c r="K573" s="24">
        <f t="shared" si="98"/>
        <v>16531100.334109155</v>
      </c>
      <c r="L573" s="24">
        <f t="shared" si="94"/>
        <v>16531100.334109155</v>
      </c>
      <c r="M573" s="24">
        <f t="shared" si="95"/>
        <v>0</v>
      </c>
      <c r="N573" s="24">
        <f>IF(M573&lt;=0,0,IF($E$2-A573&lt;12,(M573-E573)*Dashboard!$B$18,IF($Q$2+A573&gt;=$R$2,MAX(0,M573-E573*POWER(1+$C$2,$E$2-A573))*MAX(Dashboard!$C$18,Dashboard!$B$18),IF($S$2&lt;$R$2,(M573-E573)*0.5*Dashboard!$B$18,(E573*POWER(1+$A$2,$R$2-($Q$2+A573))-E573)*0.5*Dashboard!$B$18+MAX(0,M573-E573*POWER(1+$A$2,$R$2-($Q$2+A573))*POWER(1+$C$2,$S$2-$R$2))*MAX(Dashboard!$C$18,Dashboard!$B$18)))))</f>
        <v>0</v>
      </c>
    </row>
    <row r="574" spans="1:14" x14ac:dyDescent="0.2">
      <c r="A574" s="22">
        <f t="shared" si="96"/>
        <v>569</v>
      </c>
      <c r="B574" s="23">
        <f t="shared" si="97"/>
        <v>65.47146118721524</v>
      </c>
      <c r="C574" t="str">
        <f t="shared" si="88"/>
        <v>65 y 5.66 m</v>
      </c>
      <c r="D574" s="24">
        <f>IF(A574&gt;=$E$2,IF(A574&lt;$E$2+$H$2,$P$2,0),IF(B574&lt;Dashboard!$I$6,0,IF(A574&gt;=$F$2,Dashboard!$C$22*POWER(1+$C$2,A574-$F$2),Dashboard!$C$22)))</f>
        <v>0</v>
      </c>
      <c r="E574" s="24">
        <f>IF(A574&gt;=$F$2,0,IF(A574=0,Dashboard!$G$10,IF(B574&lt;Dashboard!$I$6,IF($J$2&lt;=Dashboard!$H$10,Dashboard!$H$10,MAX(Dashboard!$H$10,MIN($J$2,Dashboard!$H$10*POWER($J$2/Dashboard!$H$10,A574/$D$2)))),$I$2-D574-Dashboard!$I$10-Dashboard!$J$10-Dashboard!$F$10*$I$2)))</f>
        <v>0</v>
      </c>
      <c r="F574" s="24">
        <f t="shared" si="89"/>
        <v>9267.2469296761428</v>
      </c>
      <c r="G574" s="24">
        <f t="shared" si="90"/>
        <v>12241.397242872185</v>
      </c>
      <c r="H574" s="24">
        <f t="shared" si="91"/>
        <v>0</v>
      </c>
      <c r="I574" s="24">
        <f t="shared" si="92"/>
        <v>-12241.397242872185</v>
      </c>
      <c r="J574" s="25">
        <f t="shared" si="93"/>
        <v>7.9741404289037643E-3</v>
      </c>
      <c r="K574" s="24">
        <f t="shared" si="98"/>
        <v>16650582.637754107</v>
      </c>
      <c r="L574" s="24">
        <f t="shared" si="94"/>
        <v>16650582.637754107</v>
      </c>
      <c r="M574" s="24">
        <f t="shared" si="95"/>
        <v>0</v>
      </c>
      <c r="N574" s="24">
        <f>IF(M574&lt;=0,0,IF($E$2-A574&lt;12,(M574-E574)*Dashboard!$B$18,IF($Q$2+A574&gt;=$R$2,MAX(0,M574-E574*POWER(1+$C$2,$E$2-A574))*MAX(Dashboard!$C$18,Dashboard!$B$18),IF($S$2&lt;$R$2,(M574-E574)*0.5*Dashboard!$B$18,(E574*POWER(1+$A$2,$R$2-($Q$2+A574))-E574)*0.5*Dashboard!$B$18+MAX(0,M574-E574*POWER(1+$A$2,$R$2-($Q$2+A574))*POWER(1+$C$2,$S$2-$R$2))*MAX(Dashboard!$C$18,Dashboard!$B$18)))))</f>
        <v>0</v>
      </c>
    </row>
    <row r="575" spans="1:14" x14ac:dyDescent="0.2">
      <c r="A575" s="22">
        <f t="shared" si="96"/>
        <v>570</v>
      </c>
      <c r="B575" s="23">
        <f t="shared" si="97"/>
        <v>65.554794520548569</v>
      </c>
      <c r="C575" t="str">
        <f t="shared" si="88"/>
        <v>65 y 6.66 m</v>
      </c>
      <c r="D575" s="24">
        <f>IF(A575&gt;=$E$2,IF(A575&lt;$E$2+$H$2,$P$2,0),IF(B575&lt;Dashboard!$I$6,0,IF(A575&gt;=$F$2,Dashboard!$C$22*POWER(1+$C$2,A575-$F$2),Dashboard!$C$22)))</f>
        <v>0</v>
      </c>
      <c r="E575" s="24">
        <f>IF(A575&gt;=$F$2,0,IF(A575=0,Dashboard!$G$10,IF(B575&lt;Dashboard!$I$6,IF($J$2&lt;=Dashboard!$H$10,Dashboard!$H$10,MAX(Dashboard!$H$10,MIN($J$2,Dashboard!$H$10*POWER($J$2/Dashboard!$H$10,A575/$D$2)))),$I$2-D575-Dashboard!$I$10-Dashboard!$J$10-Dashboard!$F$10*$I$2)))</f>
        <v>0</v>
      </c>
      <c r="F575" s="24">
        <f t="shared" si="89"/>
        <v>9286.3359410234789</v>
      </c>
      <c r="G575" s="24">
        <f t="shared" si="90"/>
        <v>12271.697260883831</v>
      </c>
      <c r="H575" s="24">
        <f t="shared" si="91"/>
        <v>0</v>
      </c>
      <c r="I575" s="24">
        <f t="shared" si="92"/>
        <v>-12271.697260883831</v>
      </c>
      <c r="J575" s="25">
        <f t="shared" si="93"/>
        <v>7.9741404289037643E-3</v>
      </c>
      <c r="K575" s="24">
        <f t="shared" si="98"/>
        <v>16770987.168432482</v>
      </c>
      <c r="L575" s="24">
        <f t="shared" si="94"/>
        <v>16770987.168432482</v>
      </c>
      <c r="M575" s="24">
        <f t="shared" si="95"/>
        <v>0</v>
      </c>
      <c r="N575" s="24">
        <f>IF(M575&lt;=0,0,IF($E$2-A575&lt;12,(M575-E575)*Dashboard!$B$18,IF($Q$2+A575&gt;=$R$2,MAX(0,M575-E575*POWER(1+$C$2,$E$2-A575))*MAX(Dashboard!$C$18,Dashboard!$B$18),IF($S$2&lt;$R$2,(M575-E575)*0.5*Dashboard!$B$18,(E575*POWER(1+$A$2,$R$2-($Q$2+A575))-E575)*0.5*Dashboard!$B$18+MAX(0,M575-E575*POWER(1+$A$2,$R$2-($Q$2+A575))*POWER(1+$C$2,$S$2-$R$2))*MAX(Dashboard!$C$18,Dashboard!$B$18)))))</f>
        <v>0</v>
      </c>
    </row>
    <row r="576" spans="1:14" x14ac:dyDescent="0.2">
      <c r="A576" s="22">
        <f t="shared" si="96"/>
        <v>571</v>
      </c>
      <c r="B576" s="23">
        <f t="shared" si="97"/>
        <v>65.638127853881898</v>
      </c>
      <c r="C576" t="str">
        <f t="shared" si="88"/>
        <v>65 y 7.66 m</v>
      </c>
      <c r="D576" s="24">
        <f>IF(A576&gt;=$E$2,IF(A576&lt;$E$2+$H$2,$P$2,0),IF(B576&lt;Dashboard!$I$6,0,IF(A576&gt;=$F$2,Dashboard!$C$22*POWER(1+$C$2,A576-$F$2),Dashboard!$C$22)))</f>
        <v>0</v>
      </c>
      <c r="E576" s="24">
        <f>IF(A576&gt;=$F$2,0,IF(A576=0,Dashboard!$G$10,IF(B576&lt;Dashboard!$I$6,IF($J$2&lt;=Dashboard!$H$10,Dashboard!$H$10,MAX(Dashboard!$H$10,MIN($J$2,Dashboard!$H$10*POWER($J$2/Dashboard!$H$10,A576/$D$2)))),$I$2-D576-Dashboard!$I$10-Dashboard!$J$10-Dashboard!$F$10*$I$2)))</f>
        <v>0</v>
      </c>
      <c r="F576" s="24">
        <f t="shared" si="89"/>
        <v>9305.4642726087441</v>
      </c>
      <c r="G576" s="24">
        <f t="shared" si="90"/>
        <v>12302.059691971552</v>
      </c>
      <c r="H576" s="24">
        <f t="shared" si="91"/>
        <v>0</v>
      </c>
      <c r="I576" s="24">
        <f t="shared" si="92"/>
        <v>-12302.059691971552</v>
      </c>
      <c r="J576" s="25">
        <f t="shared" si="93"/>
        <v>7.9741404289037643E-3</v>
      </c>
      <c r="K576" s="24">
        <f t="shared" si="98"/>
        <v>16892321.217201386</v>
      </c>
      <c r="L576" s="24">
        <f t="shared" si="94"/>
        <v>16892321.217201386</v>
      </c>
      <c r="M576" s="24">
        <f t="shared" si="95"/>
        <v>0</v>
      </c>
      <c r="N576" s="24">
        <f>IF(M576&lt;=0,0,IF($E$2-A576&lt;12,(M576-E576)*Dashboard!$B$18,IF($Q$2+A576&gt;=$R$2,MAX(0,M576-E576*POWER(1+$C$2,$E$2-A576))*MAX(Dashboard!$C$18,Dashboard!$B$18),IF($S$2&lt;$R$2,(M576-E576)*0.5*Dashboard!$B$18,(E576*POWER(1+$A$2,$R$2-($Q$2+A576))-E576)*0.5*Dashboard!$B$18+MAX(0,M576-E576*POWER(1+$A$2,$R$2-($Q$2+A576))*POWER(1+$C$2,$S$2-$R$2))*MAX(Dashboard!$C$18,Dashboard!$B$18)))))</f>
        <v>0</v>
      </c>
    </row>
    <row r="577" spans="1:14" x14ac:dyDescent="0.2">
      <c r="A577" s="22">
        <f t="shared" si="96"/>
        <v>572</v>
      </c>
      <c r="B577" s="23">
        <f t="shared" si="97"/>
        <v>65.721461187215226</v>
      </c>
      <c r="C577" t="str">
        <f t="shared" si="88"/>
        <v>65 y 8.66 m</v>
      </c>
      <c r="D577" s="24">
        <f>IF(A577&gt;=$E$2,IF(A577&lt;$E$2+$H$2,$P$2,0),IF(B577&lt;Dashboard!$I$6,0,IF(A577&gt;=$F$2,Dashboard!$C$22*POWER(1+$C$2,A577-$F$2),Dashboard!$C$22)))</f>
        <v>0</v>
      </c>
      <c r="E577" s="24">
        <f>IF(A577&gt;=$F$2,0,IF(A577=0,Dashboard!$G$10,IF(B577&lt;Dashboard!$I$6,IF($J$2&lt;=Dashboard!$H$10,Dashboard!$H$10,MAX(Dashboard!$H$10,MIN($J$2,Dashboard!$H$10*POWER($J$2/Dashboard!$H$10,A577/$D$2)))),$I$2-D577-Dashboard!$I$10-Dashboard!$J$10-Dashboard!$F$10*$I$2)))</f>
        <v>0</v>
      </c>
      <c r="F577" s="24">
        <f t="shared" si="89"/>
        <v>9324.6320054251883</v>
      </c>
      <c r="G577" s="24">
        <f t="shared" si="90"/>
        <v>12332.484664696065</v>
      </c>
      <c r="H577" s="24">
        <f t="shared" si="91"/>
        <v>0</v>
      </c>
      <c r="I577" s="24">
        <f t="shared" si="92"/>
        <v>-12332.484664696065</v>
      </c>
      <c r="J577" s="25">
        <f t="shared" si="93"/>
        <v>7.9741404289037643E-3</v>
      </c>
      <c r="K577" s="24">
        <f t="shared" si="98"/>
        <v>17014592.133128248</v>
      </c>
      <c r="L577" s="24">
        <f t="shared" si="94"/>
        <v>17014592.133128248</v>
      </c>
      <c r="M577" s="24">
        <f t="shared" si="95"/>
        <v>0</v>
      </c>
      <c r="N577" s="24">
        <f>IF(M577&lt;=0,0,IF($E$2-A577&lt;12,(M577-E577)*Dashboard!$B$18,IF($Q$2+A577&gt;=$R$2,MAX(0,M577-E577*POWER(1+$C$2,$E$2-A577))*MAX(Dashboard!$C$18,Dashboard!$B$18),IF($S$2&lt;$R$2,(M577-E577)*0.5*Dashboard!$B$18,(E577*POWER(1+$A$2,$R$2-($Q$2+A577))-E577)*0.5*Dashboard!$B$18+MAX(0,M577-E577*POWER(1+$A$2,$R$2-($Q$2+A577))*POWER(1+$C$2,$S$2-$R$2))*MAX(Dashboard!$C$18,Dashboard!$B$18)))))</f>
        <v>0</v>
      </c>
    </row>
    <row r="578" spans="1:14" x14ac:dyDescent="0.2">
      <c r="A578" s="22">
        <f t="shared" si="96"/>
        <v>573</v>
      </c>
      <c r="B578" s="23">
        <f t="shared" si="97"/>
        <v>65.804794520548555</v>
      </c>
      <c r="C578" t="str">
        <f t="shared" si="88"/>
        <v>65 y 9.66 m</v>
      </c>
      <c r="D578" s="24">
        <f>IF(A578&gt;=$E$2,IF(A578&lt;$E$2+$H$2,$P$2,0),IF(B578&lt;Dashboard!$I$6,0,IF(A578&gt;=$F$2,Dashboard!$C$22*POWER(1+$C$2,A578-$F$2),Dashboard!$C$22)))</f>
        <v>0</v>
      </c>
      <c r="E578" s="24">
        <f>IF(A578&gt;=$F$2,0,IF(A578=0,Dashboard!$G$10,IF(B578&lt;Dashboard!$I$6,IF($J$2&lt;=Dashboard!$H$10,Dashboard!$H$10,MAX(Dashboard!$H$10,MIN($J$2,Dashboard!$H$10*POWER($J$2/Dashboard!$H$10,A578/$D$2)))),$I$2-D578-Dashboard!$I$10-Dashboard!$J$10-Dashboard!$F$10*$I$2)))</f>
        <v>0</v>
      </c>
      <c r="F578" s="24">
        <f t="shared" si="89"/>
        <v>9343.839220632899</v>
      </c>
      <c r="G578" s="24">
        <f t="shared" si="90"/>
        <v>12362.972307882907</v>
      </c>
      <c r="H578" s="24">
        <f t="shared" si="91"/>
        <v>0</v>
      </c>
      <c r="I578" s="24">
        <f t="shared" si="92"/>
        <v>-12362.972307882907</v>
      </c>
      <c r="J578" s="25">
        <f t="shared" si="93"/>
        <v>7.9741404289037643E-3</v>
      </c>
      <c r="K578" s="24">
        <f t="shared" si="98"/>
        <v>17137807.323753148</v>
      </c>
      <c r="L578" s="24">
        <f t="shared" si="94"/>
        <v>17137807.323753148</v>
      </c>
      <c r="M578" s="24">
        <f t="shared" si="95"/>
        <v>0</v>
      </c>
      <c r="N578" s="24">
        <f>IF(M578&lt;=0,0,IF($E$2-A578&lt;12,(M578-E578)*Dashboard!$B$18,IF($Q$2+A578&gt;=$R$2,MAX(0,M578-E578*POWER(1+$C$2,$E$2-A578))*MAX(Dashboard!$C$18,Dashboard!$B$18),IF($S$2&lt;$R$2,(M578-E578)*0.5*Dashboard!$B$18,(E578*POWER(1+$A$2,$R$2-($Q$2+A578))-E578)*0.5*Dashboard!$B$18+MAX(0,M578-E578*POWER(1+$A$2,$R$2-($Q$2+A578))*POWER(1+$C$2,$S$2-$R$2))*MAX(Dashboard!$C$18,Dashboard!$B$18)))))</f>
        <v>0</v>
      </c>
    </row>
    <row r="579" spans="1:14" x14ac:dyDescent="0.2">
      <c r="A579" s="22">
        <f t="shared" si="96"/>
        <v>574</v>
      </c>
      <c r="B579" s="23">
        <f t="shared" si="97"/>
        <v>65.888127853881883</v>
      </c>
      <c r="C579" t="str">
        <f t="shared" si="88"/>
        <v>65 y 10.66 m</v>
      </c>
      <c r="D579" s="24">
        <f>IF(A579&gt;=$E$2,IF(A579&lt;$E$2+$H$2,$P$2,0),IF(B579&lt;Dashboard!$I$6,0,IF(A579&gt;=$F$2,Dashboard!$C$22*POWER(1+$C$2,A579-$F$2),Dashboard!$C$22)))</f>
        <v>0</v>
      </c>
      <c r="E579" s="24">
        <f>IF(A579&gt;=$F$2,0,IF(A579=0,Dashboard!$G$10,IF(B579&lt;Dashboard!$I$6,IF($J$2&lt;=Dashboard!$H$10,Dashboard!$H$10,MAX(Dashboard!$H$10,MIN($J$2,Dashboard!$H$10*POWER($J$2/Dashboard!$H$10,A579/$D$2)))),$I$2-D579-Dashboard!$I$10-Dashboard!$J$10-Dashboard!$F$10*$I$2)))</f>
        <v>0</v>
      </c>
      <c r="F579" s="24">
        <f t="shared" si="89"/>
        <v>9363.08599955914</v>
      </c>
      <c r="G579" s="24">
        <f t="shared" si="90"/>
        <v>12393.522750622973</v>
      </c>
      <c r="H579" s="24">
        <f t="shared" si="91"/>
        <v>0</v>
      </c>
      <c r="I579" s="24">
        <f t="shared" si="92"/>
        <v>-12393.522750622973</v>
      </c>
      <c r="J579" s="25">
        <f t="shared" si="93"/>
        <v>7.9741404289037643E-3</v>
      </c>
      <c r="K579" s="24">
        <f t="shared" si="98"/>
        <v>17261974.255554806</v>
      </c>
      <c r="L579" s="24">
        <f t="shared" si="94"/>
        <v>17261974.255554806</v>
      </c>
      <c r="M579" s="24">
        <f t="shared" si="95"/>
        <v>0</v>
      </c>
      <c r="N579" s="24">
        <f>IF(M579&lt;=0,0,IF($E$2-A579&lt;12,(M579-E579)*Dashboard!$B$18,IF($Q$2+A579&gt;=$R$2,MAX(0,M579-E579*POWER(1+$C$2,$E$2-A579))*MAX(Dashboard!$C$18,Dashboard!$B$18),IF($S$2&lt;$R$2,(M579-E579)*0.5*Dashboard!$B$18,(E579*POWER(1+$A$2,$R$2-($Q$2+A579))-E579)*0.5*Dashboard!$B$18+MAX(0,M579-E579*POWER(1+$A$2,$R$2-($Q$2+A579))*POWER(1+$C$2,$S$2-$R$2))*MAX(Dashboard!$C$18,Dashboard!$B$18)))))</f>
        <v>0</v>
      </c>
    </row>
    <row r="580" spans="1:14" x14ac:dyDescent="0.2">
      <c r="A580" s="22">
        <f t="shared" si="96"/>
        <v>575</v>
      </c>
      <c r="B580" s="23">
        <f t="shared" si="97"/>
        <v>65.971461187215212</v>
      </c>
      <c r="C580" t="str">
        <f t="shared" si="88"/>
        <v>65 y 11.66 m</v>
      </c>
      <c r="D580" s="24">
        <f>IF(A580&gt;=$E$2,IF(A580&lt;$E$2+$H$2,$P$2,0),IF(B580&lt;Dashboard!$I$6,0,IF(A580&gt;=$F$2,Dashboard!$C$22*POWER(1+$C$2,A580-$F$2),Dashboard!$C$22)))</f>
        <v>0</v>
      </c>
      <c r="E580" s="24">
        <f>IF(A580&gt;=$F$2,0,IF(A580=0,Dashboard!$G$10,IF(B580&lt;Dashboard!$I$6,IF($J$2&lt;=Dashboard!$H$10,Dashboard!$H$10,MAX(Dashboard!$H$10,MIN($J$2,Dashboard!$H$10*POWER($J$2/Dashboard!$H$10,A580/$D$2)))),$I$2-D580-Dashboard!$I$10-Dashboard!$J$10-Dashboard!$F$10*$I$2)))</f>
        <v>0</v>
      </c>
      <c r="F580" s="24">
        <f t="shared" si="89"/>
        <v>9382.3724236986873</v>
      </c>
      <c r="G580" s="24">
        <f t="shared" si="90"/>
        <v>12424.136122273048</v>
      </c>
      <c r="H580" s="24">
        <f t="shared" si="91"/>
        <v>0</v>
      </c>
      <c r="I580" s="24">
        <f t="shared" si="92"/>
        <v>-12424.136122273048</v>
      </c>
      <c r="J580" s="25">
        <f t="shared" si="93"/>
        <v>7.9741404289037643E-3</v>
      </c>
      <c r="K580" s="24">
        <f t="shared" si="98"/>
        <v>17387100.454420302</v>
      </c>
      <c r="L580" s="24">
        <f t="shared" si="94"/>
        <v>17387100.454420302</v>
      </c>
      <c r="M580" s="24">
        <f t="shared" si="95"/>
        <v>0</v>
      </c>
      <c r="N580" s="24">
        <f>IF(M580&lt;=0,0,IF($E$2-A580&lt;12,(M580-E580)*Dashboard!$B$18,IF($Q$2+A580&gt;=$R$2,MAX(0,M580-E580*POWER(1+$C$2,$E$2-A580))*MAX(Dashboard!$C$18,Dashboard!$B$18),IF($S$2&lt;$R$2,(M580-E580)*0.5*Dashboard!$B$18,(E580*POWER(1+$A$2,$R$2-($Q$2+A580))-E580)*0.5*Dashboard!$B$18+MAX(0,M580-E580*POWER(1+$A$2,$R$2-($Q$2+A580))*POWER(1+$C$2,$S$2-$R$2))*MAX(Dashboard!$C$18,Dashboard!$B$18)))))</f>
        <v>0</v>
      </c>
    </row>
    <row r="581" spans="1:14" x14ac:dyDescent="0.2">
      <c r="A581" s="22">
        <f t="shared" si="96"/>
        <v>576</v>
      </c>
      <c r="B581" s="23">
        <f t="shared" si="97"/>
        <v>66.054794520548541</v>
      </c>
      <c r="C581" t="str">
        <f t="shared" ref="C581:C644" si="99">INT(B581)&amp;" y "&amp;ROUND((B581-INT(B581))*12,2)&amp;" m"</f>
        <v>66 y 0.66 m</v>
      </c>
      <c r="D581" s="24">
        <f>IF(A581&gt;=$E$2,IF(A581&lt;$E$2+$H$2,$P$2,0),IF(B581&lt;Dashboard!$I$6,0,IF(A581&gt;=$F$2,Dashboard!$C$22*POWER(1+$C$2,A581-$F$2),Dashboard!$C$22)))</f>
        <v>0</v>
      </c>
      <c r="E581" s="24">
        <f>IF(A581&gt;=$F$2,0,IF(A581=0,Dashboard!$G$10,IF(B581&lt;Dashboard!$I$6,IF($J$2&lt;=Dashboard!$H$10,Dashboard!$H$10,MAX(Dashboard!$H$10,MIN($J$2,Dashboard!$H$10*POWER($J$2/Dashboard!$H$10,A581/$D$2)))),$I$2-D581-Dashboard!$I$10-Dashboard!$J$10-Dashboard!$F$10*$I$2)))</f>
        <v>0</v>
      </c>
      <c r="F581" s="24">
        <f t="shared" ref="F581:F644" si="100">IF(A581&gt;=$F$2,$X$2*POWER(1+$C$2,A581-$F$2)+D581,0)</f>
        <v>9401.6985747141935</v>
      </c>
      <c r="G581" s="24">
        <f t="shared" ref="G581:G644" si="101">IF(F581&lt;=0,0,IF(F581*12&lt;=18200,F581,IF(F581*12&lt;=40712,(18200+(F581*12-18200)/0.84)/12,IF(F581*12&lt;=103712,(45000+(F581*12-40712)/0.7)/12,IF(F581*12&lt;=138362,(135000+(F581*12-103712)/0.63)/12,(190000+(F581*12-138362)/0.55)/12)))))</f>
        <v>12454.812552456389</v>
      </c>
      <c r="H581" s="24">
        <f t="shared" ref="H581:H644" si="102">IF(A581=$E$2,$W$2,0)</f>
        <v>0</v>
      </c>
      <c r="I581" s="24">
        <f t="shared" ref="I581:I644" si="103">E581-G581-H581</f>
        <v>-12454.812552456389</v>
      </c>
      <c r="J581" s="25">
        <f t="shared" ref="J581:J644" si="104">IF(A581&gt;=$F$2,$B$2,$A$2)</f>
        <v>7.9741404289037643E-3</v>
      </c>
      <c r="K581" s="24">
        <f t="shared" si="98"/>
        <v>17513193.50611854</v>
      </c>
      <c r="L581" s="24">
        <f t="shared" ref="L581:L644" si="105">IF(A581&gt;=$F$2,K581,"")</f>
        <v>17513193.50611854</v>
      </c>
      <c r="M581" s="24">
        <f t="shared" ref="M581:M644" si="106">IF(AND(A581&lt;$E$2,E581&gt;0),E581*POWER(1+$A$2,$E$2-A581),0)</f>
        <v>0</v>
      </c>
      <c r="N581" s="24">
        <f>IF(M581&lt;=0,0,IF($E$2-A581&lt;12,(M581-E581)*Dashboard!$B$18,IF($Q$2+A581&gt;=$R$2,MAX(0,M581-E581*POWER(1+$C$2,$E$2-A581))*MAX(Dashboard!$C$18,Dashboard!$B$18),IF($S$2&lt;$R$2,(M581-E581)*0.5*Dashboard!$B$18,(E581*POWER(1+$A$2,$R$2-($Q$2+A581))-E581)*0.5*Dashboard!$B$18+MAX(0,M581-E581*POWER(1+$A$2,$R$2-($Q$2+A581))*POWER(1+$C$2,$S$2-$R$2))*MAX(Dashboard!$C$18,Dashboard!$B$18)))))</f>
        <v>0</v>
      </c>
    </row>
    <row r="582" spans="1:14" x14ac:dyDescent="0.2">
      <c r="A582" s="22">
        <f t="shared" ref="A582:A645" si="107">A581+1</f>
        <v>577</v>
      </c>
      <c r="B582" s="23">
        <f t="shared" ref="B582:B645" si="108">B581+1/12</f>
        <v>66.138127853881869</v>
      </c>
      <c r="C582" t="str">
        <f t="shared" si="99"/>
        <v>66 y 1.66 m</v>
      </c>
      <c r="D582" s="24">
        <f>IF(A582&gt;=$E$2,IF(A582&lt;$E$2+$H$2,$P$2,0),IF(B582&lt;Dashboard!$I$6,0,IF(A582&gt;=$F$2,Dashboard!$C$22*POWER(1+$C$2,A582-$F$2),Dashboard!$C$22)))</f>
        <v>0</v>
      </c>
      <c r="E582" s="24">
        <f>IF(A582&gt;=$F$2,0,IF(A582=0,Dashboard!$G$10,IF(B582&lt;Dashboard!$I$6,IF($J$2&lt;=Dashboard!$H$10,Dashboard!$H$10,MAX(Dashboard!$H$10,MIN($J$2,Dashboard!$H$10*POWER($J$2/Dashboard!$H$10,A582/$D$2)))),$I$2-D582-Dashboard!$I$10-Dashboard!$J$10-Dashboard!$F$10*$I$2)))</f>
        <v>0</v>
      </c>
      <c r="F582" s="24">
        <f t="shared" si="100"/>
        <v>9421.0645344365184</v>
      </c>
      <c r="G582" s="24">
        <f t="shared" si="101"/>
        <v>12485.552171063258</v>
      </c>
      <c r="H582" s="24">
        <f t="shared" si="102"/>
        <v>0</v>
      </c>
      <c r="I582" s="24">
        <f t="shared" si="103"/>
        <v>-12485.552171063258</v>
      </c>
      <c r="J582" s="25">
        <f t="shared" si="104"/>
        <v>7.9741404289037643E-3</v>
      </c>
      <c r="K582" s="24">
        <f t="shared" ref="K582:K645" si="109">(K581+I582)*(1+J582)</f>
        <v>17640261.056777488</v>
      </c>
      <c r="L582" s="24">
        <f t="shared" si="105"/>
        <v>17640261.056777488</v>
      </c>
      <c r="M582" s="24">
        <f t="shared" si="106"/>
        <v>0</v>
      </c>
      <c r="N582" s="24">
        <f>IF(M582&lt;=0,0,IF($E$2-A582&lt;12,(M582-E582)*Dashboard!$B$18,IF($Q$2+A582&gt;=$R$2,MAX(0,M582-E582*POWER(1+$C$2,$E$2-A582))*MAX(Dashboard!$C$18,Dashboard!$B$18),IF($S$2&lt;$R$2,(M582-E582)*0.5*Dashboard!$B$18,(E582*POWER(1+$A$2,$R$2-($Q$2+A582))-E582)*0.5*Dashboard!$B$18+MAX(0,M582-E582*POWER(1+$A$2,$R$2-($Q$2+A582))*POWER(1+$C$2,$S$2-$R$2))*MAX(Dashboard!$C$18,Dashboard!$B$18)))))</f>
        <v>0</v>
      </c>
    </row>
    <row r="583" spans="1:14" x14ac:dyDescent="0.2">
      <c r="A583" s="22">
        <f t="shared" si="107"/>
        <v>578</v>
      </c>
      <c r="B583" s="23">
        <f t="shared" si="108"/>
        <v>66.221461187215198</v>
      </c>
      <c r="C583" t="str">
        <f t="shared" si="99"/>
        <v>66 y 2.66 m</v>
      </c>
      <c r="D583" s="24">
        <f>IF(A583&gt;=$E$2,IF(A583&lt;$E$2+$H$2,$P$2,0),IF(B583&lt;Dashboard!$I$6,0,IF(A583&gt;=$F$2,Dashboard!$C$22*POWER(1+$C$2,A583-$F$2),Dashboard!$C$22)))</f>
        <v>0</v>
      </c>
      <c r="E583" s="24">
        <f>IF(A583&gt;=$F$2,0,IF(A583=0,Dashboard!$G$10,IF(B583&lt;Dashboard!$I$6,IF($J$2&lt;=Dashboard!$H$10,Dashboard!$H$10,MAX(Dashboard!$H$10,MIN($J$2,Dashboard!$H$10*POWER($J$2/Dashboard!$H$10,A583/$D$2)))),$I$2-D583-Dashboard!$I$10-Dashboard!$J$10-Dashboard!$F$10*$I$2)))</f>
        <v>0</v>
      </c>
      <c r="F583" s="24">
        <f t="shared" si="100"/>
        <v>9440.4703848650806</v>
      </c>
      <c r="G583" s="24">
        <f t="shared" si="101"/>
        <v>12516.355108251451</v>
      </c>
      <c r="H583" s="24">
        <f t="shared" si="102"/>
        <v>0</v>
      </c>
      <c r="I583" s="24">
        <f t="shared" si="103"/>
        <v>-12516.355108251451</v>
      </c>
      <c r="J583" s="25">
        <f t="shared" si="104"/>
        <v>7.9741404289037643E-3</v>
      </c>
      <c r="K583" s="24">
        <f t="shared" si="109"/>
        <v>17768310.813365214</v>
      </c>
      <c r="L583" s="24">
        <f t="shared" si="105"/>
        <v>17768310.813365214</v>
      </c>
      <c r="M583" s="24">
        <f t="shared" si="106"/>
        <v>0</v>
      </c>
      <c r="N583" s="24">
        <f>IF(M583&lt;=0,0,IF($E$2-A583&lt;12,(M583-E583)*Dashboard!$B$18,IF($Q$2+A583&gt;=$R$2,MAX(0,M583-E583*POWER(1+$C$2,$E$2-A583))*MAX(Dashboard!$C$18,Dashboard!$B$18),IF($S$2&lt;$R$2,(M583-E583)*0.5*Dashboard!$B$18,(E583*POWER(1+$A$2,$R$2-($Q$2+A583))-E583)*0.5*Dashboard!$B$18+MAX(0,M583-E583*POWER(1+$A$2,$R$2-($Q$2+A583))*POWER(1+$C$2,$S$2-$R$2))*MAX(Dashboard!$C$18,Dashboard!$B$18)))))</f>
        <v>0</v>
      </c>
    </row>
    <row r="584" spans="1:14" x14ac:dyDescent="0.2">
      <c r="A584" s="22">
        <f t="shared" si="107"/>
        <v>579</v>
      </c>
      <c r="B584" s="23">
        <f t="shared" si="108"/>
        <v>66.304794520548526</v>
      </c>
      <c r="C584" t="str">
        <f t="shared" si="99"/>
        <v>66 y 3.66 m</v>
      </c>
      <c r="D584" s="24">
        <f>IF(A584&gt;=$E$2,IF(A584&lt;$E$2+$H$2,$P$2,0),IF(B584&lt;Dashboard!$I$6,0,IF(A584&gt;=$F$2,Dashboard!$C$22*POWER(1+$C$2,A584-$F$2),Dashboard!$C$22)))</f>
        <v>0</v>
      </c>
      <c r="E584" s="24">
        <f>IF(A584&gt;=$F$2,0,IF(A584=0,Dashboard!$G$10,IF(B584&lt;Dashboard!$I$6,IF($J$2&lt;=Dashboard!$H$10,Dashboard!$H$10,MAX(Dashboard!$H$10,MIN($J$2,Dashboard!$H$10*POWER($J$2/Dashboard!$H$10,A584/$D$2)))),$I$2-D584-Dashboard!$I$10-Dashboard!$J$10-Dashboard!$F$10*$I$2)))</f>
        <v>0</v>
      </c>
      <c r="F584" s="24">
        <f t="shared" si="100"/>
        <v>9459.9162081682025</v>
      </c>
      <c r="G584" s="24">
        <f t="shared" si="101"/>
        <v>12547.221494446881</v>
      </c>
      <c r="H584" s="24">
        <f t="shared" si="102"/>
        <v>0</v>
      </c>
      <c r="I584" s="24">
        <f t="shared" si="103"/>
        <v>-12547.221494446881</v>
      </c>
      <c r="J584" s="25">
        <f t="shared" si="104"/>
        <v>7.9741404289037643E-3</v>
      </c>
      <c r="K584" s="24">
        <f t="shared" si="109"/>
        <v>17897350.544174761</v>
      </c>
      <c r="L584" s="24">
        <f t="shared" si="105"/>
        <v>17897350.544174761</v>
      </c>
      <c r="M584" s="24">
        <f t="shared" si="106"/>
        <v>0</v>
      </c>
      <c r="N584" s="24">
        <f>IF(M584&lt;=0,0,IF($E$2-A584&lt;12,(M584-E584)*Dashboard!$B$18,IF($Q$2+A584&gt;=$R$2,MAX(0,M584-E584*POWER(1+$C$2,$E$2-A584))*MAX(Dashboard!$C$18,Dashboard!$B$18),IF($S$2&lt;$R$2,(M584-E584)*0.5*Dashboard!$B$18,(E584*POWER(1+$A$2,$R$2-($Q$2+A584))-E584)*0.5*Dashboard!$B$18+MAX(0,M584-E584*POWER(1+$A$2,$R$2-($Q$2+A584))*POWER(1+$C$2,$S$2-$R$2))*MAX(Dashboard!$C$18,Dashboard!$B$18)))))</f>
        <v>0</v>
      </c>
    </row>
    <row r="585" spans="1:14" x14ac:dyDescent="0.2">
      <c r="A585" s="22">
        <f t="shared" si="107"/>
        <v>580</v>
      </c>
      <c r="B585" s="23">
        <f t="shared" si="108"/>
        <v>66.388127853881855</v>
      </c>
      <c r="C585" t="str">
        <f t="shared" si="99"/>
        <v>66 y 4.66 m</v>
      </c>
      <c r="D585" s="24">
        <f>IF(A585&gt;=$E$2,IF(A585&lt;$E$2+$H$2,$P$2,0),IF(B585&lt;Dashboard!$I$6,0,IF(A585&gt;=$F$2,Dashboard!$C$22*POWER(1+$C$2,A585-$F$2),Dashboard!$C$22)))</f>
        <v>0</v>
      </c>
      <c r="E585" s="24">
        <f>IF(A585&gt;=$F$2,0,IF(A585=0,Dashboard!$G$10,IF(B585&lt;Dashboard!$I$6,IF($J$2&lt;=Dashboard!$H$10,Dashboard!$H$10,MAX(Dashboard!$H$10,MIN($J$2,Dashboard!$H$10*POWER($J$2/Dashboard!$H$10,A585/$D$2)))),$I$2-D585-Dashboard!$I$10-Dashboard!$J$10-Dashboard!$F$10*$I$2)))</f>
        <v>0</v>
      </c>
      <c r="F585" s="24">
        <f t="shared" si="100"/>
        <v>9479.402086683458</v>
      </c>
      <c r="G585" s="24">
        <f t="shared" si="101"/>
        <v>12578.151460344112</v>
      </c>
      <c r="H585" s="24">
        <f t="shared" si="102"/>
        <v>0</v>
      </c>
      <c r="I585" s="24">
        <f t="shared" si="103"/>
        <v>-12578.151460344112</v>
      </c>
      <c r="J585" s="25">
        <f t="shared" si="104"/>
        <v>7.9741404289037643E-3</v>
      </c>
      <c r="K585" s="24">
        <f t="shared" si="109"/>
        <v>18027388.079312902</v>
      </c>
      <c r="L585" s="24">
        <f t="shared" si="105"/>
        <v>18027388.079312902</v>
      </c>
      <c r="M585" s="24">
        <f t="shared" si="106"/>
        <v>0</v>
      </c>
      <c r="N585" s="24">
        <f>IF(M585&lt;=0,0,IF($E$2-A585&lt;12,(M585-E585)*Dashboard!$B$18,IF($Q$2+A585&gt;=$R$2,MAX(0,M585-E585*POWER(1+$C$2,$E$2-A585))*MAX(Dashboard!$C$18,Dashboard!$B$18),IF($S$2&lt;$R$2,(M585-E585)*0.5*Dashboard!$B$18,(E585*POWER(1+$A$2,$R$2-($Q$2+A585))-E585)*0.5*Dashboard!$B$18+MAX(0,M585-E585*POWER(1+$A$2,$R$2-($Q$2+A585))*POWER(1+$C$2,$S$2-$R$2))*MAX(Dashboard!$C$18,Dashboard!$B$18)))))</f>
        <v>0</v>
      </c>
    </row>
    <row r="586" spans="1:14" x14ac:dyDescent="0.2">
      <c r="A586" s="22">
        <f t="shared" si="107"/>
        <v>581</v>
      </c>
      <c r="B586" s="23">
        <f t="shared" si="108"/>
        <v>66.471461187215183</v>
      </c>
      <c r="C586" t="str">
        <f t="shared" si="99"/>
        <v>66 y 5.66 m</v>
      </c>
      <c r="D586" s="24">
        <f>IF(A586&gt;=$E$2,IF(A586&lt;$E$2+$H$2,$P$2,0),IF(B586&lt;Dashboard!$I$6,0,IF(A586&gt;=$F$2,Dashboard!$C$22*POWER(1+$C$2,A586-$F$2),Dashboard!$C$22)))</f>
        <v>0</v>
      </c>
      <c r="E586" s="24">
        <f>IF(A586&gt;=$F$2,0,IF(A586=0,Dashboard!$G$10,IF(B586&lt;Dashboard!$I$6,IF($J$2&lt;=Dashboard!$H$10,Dashboard!$H$10,MAX(Dashboard!$H$10,MIN($J$2,Dashboard!$H$10*POWER($J$2/Dashboard!$H$10,A586/$D$2)))),$I$2-D586-Dashboard!$I$10-Dashboard!$J$10-Dashboard!$F$10*$I$2)))</f>
        <v>0</v>
      </c>
      <c r="F586" s="24">
        <f t="shared" si="100"/>
        <v>9498.9281029180329</v>
      </c>
      <c r="G586" s="24">
        <f t="shared" si="101"/>
        <v>12609.145136906931</v>
      </c>
      <c r="H586" s="24">
        <f t="shared" si="102"/>
        <v>0</v>
      </c>
      <c r="I586" s="24">
        <f t="shared" si="103"/>
        <v>-12609.145136906931</v>
      </c>
      <c r="J586" s="25">
        <f t="shared" si="104"/>
        <v>7.9741404289037643E-3</v>
      </c>
      <c r="K586" s="24">
        <f t="shared" si="109"/>
        <v>18158431.31119277</v>
      </c>
      <c r="L586" s="24">
        <f t="shared" si="105"/>
        <v>18158431.31119277</v>
      </c>
      <c r="M586" s="24">
        <f t="shared" si="106"/>
        <v>0</v>
      </c>
      <c r="N586" s="24">
        <f>IF(M586&lt;=0,0,IF($E$2-A586&lt;12,(M586-E586)*Dashboard!$B$18,IF($Q$2+A586&gt;=$R$2,MAX(0,M586-E586*POWER(1+$C$2,$E$2-A586))*MAX(Dashboard!$C$18,Dashboard!$B$18),IF($S$2&lt;$R$2,(M586-E586)*0.5*Dashboard!$B$18,(E586*POWER(1+$A$2,$R$2-($Q$2+A586))-E586)*0.5*Dashboard!$B$18+MAX(0,M586-E586*POWER(1+$A$2,$R$2-($Q$2+A586))*POWER(1+$C$2,$S$2-$R$2))*MAX(Dashboard!$C$18,Dashboard!$B$18)))))</f>
        <v>0</v>
      </c>
    </row>
    <row r="587" spans="1:14" x14ac:dyDescent="0.2">
      <c r="A587" s="22">
        <f t="shared" si="107"/>
        <v>582</v>
      </c>
      <c r="B587" s="23">
        <f t="shared" si="108"/>
        <v>66.554794520548512</v>
      </c>
      <c r="C587" t="str">
        <f t="shared" si="99"/>
        <v>66 y 6.66 m</v>
      </c>
      <c r="D587" s="24">
        <f>IF(A587&gt;=$E$2,IF(A587&lt;$E$2+$H$2,$P$2,0),IF(B587&lt;Dashboard!$I$6,0,IF(A587&gt;=$F$2,Dashboard!$C$22*POWER(1+$C$2,A587-$F$2),Dashboard!$C$22)))</f>
        <v>0</v>
      </c>
      <c r="E587" s="24">
        <f>IF(A587&gt;=$F$2,0,IF(A587=0,Dashboard!$G$10,IF(B587&lt;Dashboard!$I$6,IF($J$2&lt;=Dashboard!$H$10,Dashboard!$H$10,MAX(Dashboard!$H$10,MIN($J$2,Dashboard!$H$10*POWER($J$2/Dashboard!$H$10,A587/$D$2)))),$I$2-D587-Dashboard!$I$10-Dashboard!$J$10-Dashboard!$F$10*$I$2)))</f>
        <v>0</v>
      </c>
      <c r="F587" s="24">
        <f t="shared" si="100"/>
        <v>9518.4943395490518</v>
      </c>
      <c r="G587" s="24">
        <f t="shared" si="101"/>
        <v>12640.202655368865</v>
      </c>
      <c r="H587" s="24">
        <f t="shared" si="102"/>
        <v>0</v>
      </c>
      <c r="I587" s="24">
        <f t="shared" si="103"/>
        <v>-12640.202655368865</v>
      </c>
      <c r="J587" s="25">
        <f t="shared" si="104"/>
        <v>7.9741404289037643E-3</v>
      </c>
      <c r="K587" s="24">
        <f t="shared" si="109"/>
        <v>18290488.195030432</v>
      </c>
      <c r="L587" s="24">
        <f t="shared" si="105"/>
        <v>18290488.195030432</v>
      </c>
      <c r="M587" s="24">
        <f t="shared" si="106"/>
        <v>0</v>
      </c>
      <c r="N587" s="24">
        <f>IF(M587&lt;=0,0,IF($E$2-A587&lt;12,(M587-E587)*Dashboard!$B$18,IF($Q$2+A587&gt;=$R$2,MAX(0,M587-E587*POWER(1+$C$2,$E$2-A587))*MAX(Dashboard!$C$18,Dashboard!$B$18),IF($S$2&lt;$R$2,(M587-E587)*0.5*Dashboard!$B$18,(E587*POWER(1+$A$2,$R$2-($Q$2+A587))-E587)*0.5*Dashboard!$B$18+MAX(0,M587-E587*POWER(1+$A$2,$R$2-($Q$2+A587))*POWER(1+$C$2,$S$2-$R$2))*MAX(Dashboard!$C$18,Dashboard!$B$18)))))</f>
        <v>0</v>
      </c>
    </row>
    <row r="588" spans="1:14" x14ac:dyDescent="0.2">
      <c r="A588" s="22">
        <f t="shared" si="107"/>
        <v>583</v>
      </c>
      <c r="B588" s="23">
        <f t="shared" si="108"/>
        <v>66.638127853881841</v>
      </c>
      <c r="C588" t="str">
        <f t="shared" si="99"/>
        <v>66 y 7.66 m</v>
      </c>
      <c r="D588" s="24">
        <f>IF(A588&gt;=$E$2,IF(A588&lt;$E$2+$H$2,$P$2,0),IF(B588&lt;Dashboard!$I$6,0,IF(A588&gt;=$F$2,Dashboard!$C$22*POWER(1+$C$2,A588-$F$2),Dashboard!$C$22)))</f>
        <v>0</v>
      </c>
      <c r="E588" s="24">
        <f>IF(A588&gt;=$F$2,0,IF(A588=0,Dashboard!$G$10,IF(B588&lt;Dashboard!$I$6,IF($J$2&lt;=Dashboard!$H$10,Dashboard!$H$10,MAX(Dashboard!$H$10,MIN($J$2,Dashboard!$H$10*POWER($J$2/Dashboard!$H$10,A588/$D$2)))),$I$2-D588-Dashboard!$I$10-Dashboard!$J$10-Dashboard!$F$10*$I$2)))</f>
        <v>0</v>
      </c>
      <c r="F588" s="24">
        <f t="shared" si="100"/>
        <v>9538.1008794239478</v>
      </c>
      <c r="G588" s="24">
        <f t="shared" si="101"/>
        <v>12671.324147233781</v>
      </c>
      <c r="H588" s="24">
        <f t="shared" si="102"/>
        <v>0</v>
      </c>
      <c r="I588" s="24">
        <f t="shared" si="103"/>
        <v>-12671.324147233781</v>
      </c>
      <c r="J588" s="25">
        <f t="shared" si="104"/>
        <v>7.9741404289037643E-3</v>
      </c>
      <c r="K588" s="24">
        <f t="shared" si="109"/>
        <v>18423566.749345407</v>
      </c>
      <c r="L588" s="24">
        <f t="shared" si="105"/>
        <v>18423566.749345407</v>
      </c>
      <c r="M588" s="24">
        <f t="shared" si="106"/>
        <v>0</v>
      </c>
      <c r="N588" s="24">
        <f>IF(M588&lt;=0,0,IF($E$2-A588&lt;12,(M588-E588)*Dashboard!$B$18,IF($Q$2+A588&gt;=$R$2,MAX(0,M588-E588*POWER(1+$C$2,$E$2-A588))*MAX(Dashboard!$C$18,Dashboard!$B$18),IF($S$2&lt;$R$2,(M588-E588)*0.5*Dashboard!$B$18,(E588*POWER(1+$A$2,$R$2-($Q$2+A588))-E588)*0.5*Dashboard!$B$18+MAX(0,M588-E588*POWER(1+$A$2,$R$2-($Q$2+A588))*POWER(1+$C$2,$S$2-$R$2))*MAX(Dashboard!$C$18,Dashboard!$B$18)))))</f>
        <v>0</v>
      </c>
    </row>
    <row r="589" spans="1:14" x14ac:dyDescent="0.2">
      <c r="A589" s="22">
        <f t="shared" si="107"/>
        <v>584</v>
      </c>
      <c r="B589" s="23">
        <f t="shared" si="108"/>
        <v>66.721461187215169</v>
      </c>
      <c r="C589" t="str">
        <f t="shared" si="99"/>
        <v>66 y 8.66 m</v>
      </c>
      <c r="D589" s="24">
        <f>IF(A589&gt;=$E$2,IF(A589&lt;$E$2+$H$2,$P$2,0),IF(B589&lt;Dashboard!$I$6,0,IF(A589&gt;=$F$2,Dashboard!$C$22*POWER(1+$C$2,A589-$F$2),Dashboard!$C$22)))</f>
        <v>0</v>
      </c>
      <c r="E589" s="24">
        <f>IF(A589&gt;=$F$2,0,IF(A589=0,Dashboard!$G$10,IF(B589&lt;Dashboard!$I$6,IF($J$2&lt;=Dashboard!$H$10,Dashboard!$H$10,MAX(Dashboard!$H$10,MIN($J$2,Dashboard!$H$10*POWER($J$2/Dashboard!$H$10,A589/$D$2)))),$I$2-D589-Dashboard!$I$10-Dashboard!$J$10-Dashboard!$F$10*$I$2)))</f>
        <v>0</v>
      </c>
      <c r="F589" s="24">
        <f t="shared" si="100"/>
        <v>9557.7478055608044</v>
      </c>
      <c r="G589" s="24">
        <f t="shared" si="101"/>
        <v>12702.509744276409</v>
      </c>
      <c r="H589" s="24">
        <f t="shared" si="102"/>
        <v>0</v>
      </c>
      <c r="I589" s="24">
        <f t="shared" si="103"/>
        <v>-12702.509744276409</v>
      </c>
      <c r="J589" s="25">
        <f t="shared" si="104"/>
        <v>7.9741404289037643E-3</v>
      </c>
      <c r="K589" s="24">
        <f t="shared" si="109"/>
        <v>18557675.056465194</v>
      </c>
      <c r="L589" s="24">
        <f t="shared" si="105"/>
        <v>18557675.056465194</v>
      </c>
      <c r="M589" s="24">
        <f t="shared" si="106"/>
        <v>0</v>
      </c>
      <c r="N589" s="24">
        <f>IF(M589&lt;=0,0,IF($E$2-A589&lt;12,(M589-E589)*Dashboard!$B$18,IF($Q$2+A589&gt;=$R$2,MAX(0,M589-E589*POWER(1+$C$2,$E$2-A589))*MAX(Dashboard!$C$18,Dashboard!$B$18),IF($S$2&lt;$R$2,(M589-E589)*0.5*Dashboard!$B$18,(E589*POWER(1+$A$2,$R$2-($Q$2+A589))-E589)*0.5*Dashboard!$B$18+MAX(0,M589-E589*POWER(1+$A$2,$R$2-($Q$2+A589))*POWER(1+$C$2,$S$2-$R$2))*MAX(Dashboard!$C$18,Dashboard!$B$18)))))</f>
        <v>0</v>
      </c>
    </row>
    <row r="590" spans="1:14" x14ac:dyDescent="0.2">
      <c r="A590" s="22">
        <f t="shared" si="107"/>
        <v>585</v>
      </c>
      <c r="B590" s="23">
        <f t="shared" si="108"/>
        <v>66.804794520548498</v>
      </c>
      <c r="C590" t="str">
        <f t="shared" si="99"/>
        <v>66 y 9.66 m</v>
      </c>
      <c r="D590" s="24">
        <f>IF(A590&gt;=$E$2,IF(A590&lt;$E$2+$H$2,$P$2,0),IF(B590&lt;Dashboard!$I$6,0,IF(A590&gt;=$F$2,Dashboard!$C$22*POWER(1+$C$2,A590-$F$2),Dashboard!$C$22)))</f>
        <v>0</v>
      </c>
      <c r="E590" s="24">
        <f>IF(A590&gt;=$F$2,0,IF(A590=0,Dashboard!$G$10,IF(B590&lt;Dashboard!$I$6,IF($J$2&lt;=Dashboard!$H$10,Dashboard!$H$10,MAX(Dashboard!$H$10,MIN($J$2,Dashboard!$H$10*POWER($J$2/Dashboard!$H$10,A590/$D$2)))),$I$2-D590-Dashboard!$I$10-Dashboard!$J$10-Dashboard!$F$10*$I$2)))</f>
        <v>0</v>
      </c>
      <c r="F590" s="24">
        <f t="shared" si="100"/>
        <v>9577.4352011487081</v>
      </c>
      <c r="G590" s="24">
        <f t="shared" si="101"/>
        <v>12733.759578542924</v>
      </c>
      <c r="H590" s="24">
        <f t="shared" si="102"/>
        <v>0</v>
      </c>
      <c r="I590" s="24">
        <f t="shared" si="103"/>
        <v>-12733.759578542924</v>
      </c>
      <c r="J590" s="25">
        <f t="shared" si="104"/>
        <v>7.9741404289037643E-3</v>
      </c>
      <c r="K590" s="24">
        <f t="shared" si="109"/>
        <v>18692821.2630338</v>
      </c>
      <c r="L590" s="24">
        <f t="shared" si="105"/>
        <v>18692821.2630338</v>
      </c>
      <c r="M590" s="24">
        <f t="shared" si="106"/>
        <v>0</v>
      </c>
      <c r="N590" s="24">
        <f>IF(M590&lt;=0,0,IF($E$2-A590&lt;12,(M590-E590)*Dashboard!$B$18,IF($Q$2+A590&gt;=$R$2,MAX(0,M590-E590*POWER(1+$C$2,$E$2-A590))*MAX(Dashboard!$C$18,Dashboard!$B$18),IF($S$2&lt;$R$2,(M590-E590)*0.5*Dashboard!$B$18,(E590*POWER(1+$A$2,$R$2-($Q$2+A590))-E590)*0.5*Dashboard!$B$18+MAX(0,M590-E590*POWER(1+$A$2,$R$2-($Q$2+A590))*POWER(1+$C$2,$S$2-$R$2))*MAX(Dashboard!$C$18,Dashboard!$B$18)))))</f>
        <v>0</v>
      </c>
    </row>
    <row r="591" spans="1:14" x14ac:dyDescent="0.2">
      <c r="A591" s="22">
        <f t="shared" si="107"/>
        <v>586</v>
      </c>
      <c r="B591" s="23">
        <f t="shared" si="108"/>
        <v>66.888127853881826</v>
      </c>
      <c r="C591" t="str">
        <f t="shared" si="99"/>
        <v>66 y 10.66 m</v>
      </c>
      <c r="D591" s="24">
        <f>IF(A591&gt;=$E$2,IF(A591&lt;$E$2+$H$2,$P$2,0),IF(B591&lt;Dashboard!$I$6,0,IF(A591&gt;=$F$2,Dashboard!$C$22*POWER(1+$C$2,A591-$F$2),Dashboard!$C$22)))</f>
        <v>0</v>
      </c>
      <c r="E591" s="24">
        <f>IF(A591&gt;=$F$2,0,IF(A591=0,Dashboard!$G$10,IF(B591&lt;Dashboard!$I$6,IF($J$2&lt;=Dashboard!$H$10,Dashboard!$H$10,MAX(Dashboard!$H$10,MIN($J$2,Dashboard!$H$10*POWER($J$2/Dashboard!$H$10,A591/$D$2)))),$I$2-D591-Dashboard!$I$10-Dashboard!$J$10-Dashboard!$F$10*$I$2)))</f>
        <v>0</v>
      </c>
      <c r="F591" s="24">
        <f t="shared" si="100"/>
        <v>9597.1631495481033</v>
      </c>
      <c r="G591" s="24">
        <f t="shared" si="101"/>
        <v>12765.073782351486</v>
      </c>
      <c r="H591" s="24">
        <f t="shared" si="102"/>
        <v>0</v>
      </c>
      <c r="I591" s="24">
        <f t="shared" si="103"/>
        <v>-12765.073782351486</v>
      </c>
      <c r="J591" s="25">
        <f t="shared" si="104"/>
        <v>7.9741404289037643E-3</v>
      </c>
      <c r="K591" s="24">
        <f t="shared" si="109"/>
        <v>18829013.580524351</v>
      </c>
      <c r="L591" s="24">
        <f t="shared" si="105"/>
        <v>18829013.580524351</v>
      </c>
      <c r="M591" s="24">
        <f t="shared" si="106"/>
        <v>0</v>
      </c>
      <c r="N591" s="24">
        <f>IF(M591&lt;=0,0,IF($E$2-A591&lt;12,(M591-E591)*Dashboard!$B$18,IF($Q$2+A591&gt;=$R$2,MAX(0,M591-E591*POWER(1+$C$2,$E$2-A591))*MAX(Dashboard!$C$18,Dashboard!$B$18),IF($S$2&lt;$R$2,(M591-E591)*0.5*Dashboard!$B$18,(E591*POWER(1+$A$2,$R$2-($Q$2+A591))-E591)*0.5*Dashboard!$B$18+MAX(0,M591-E591*POWER(1+$A$2,$R$2-($Q$2+A591))*POWER(1+$C$2,$S$2-$R$2))*MAX(Dashboard!$C$18,Dashboard!$B$18)))))</f>
        <v>0</v>
      </c>
    </row>
    <row r="592" spans="1:14" x14ac:dyDescent="0.2">
      <c r="A592" s="22">
        <f t="shared" si="107"/>
        <v>587</v>
      </c>
      <c r="B592" s="23">
        <f t="shared" si="108"/>
        <v>66.971461187215155</v>
      </c>
      <c r="C592" t="str">
        <f t="shared" si="99"/>
        <v>66 y 11.66 m</v>
      </c>
      <c r="D592" s="24">
        <f>IF(A592&gt;=$E$2,IF(A592&lt;$E$2+$H$2,$P$2,0),IF(B592&lt;Dashboard!$I$6,0,IF(A592&gt;=$F$2,Dashboard!$C$22*POWER(1+$C$2,A592-$F$2),Dashboard!$C$22)))</f>
        <v>0</v>
      </c>
      <c r="E592" s="24">
        <f>IF(A592&gt;=$F$2,0,IF(A592=0,Dashboard!$G$10,IF(B592&lt;Dashboard!$I$6,IF($J$2&lt;=Dashboard!$H$10,Dashboard!$H$10,MAX(Dashboard!$H$10,MIN($J$2,Dashboard!$H$10*POWER($J$2/Dashboard!$H$10,A592/$D$2)))),$I$2-D592-Dashboard!$I$10-Dashboard!$J$10-Dashboard!$F$10*$I$2)))</f>
        <v>0</v>
      </c>
      <c r="F592" s="24">
        <f t="shared" si="100"/>
        <v>9616.9317342911418</v>
      </c>
      <c r="G592" s="24">
        <f t="shared" si="101"/>
        <v>12796.452488292818</v>
      </c>
      <c r="H592" s="24">
        <f t="shared" si="102"/>
        <v>0</v>
      </c>
      <c r="I592" s="24">
        <f t="shared" si="103"/>
        <v>-12796.452488292818</v>
      </c>
      <c r="J592" s="25">
        <f t="shared" si="104"/>
        <v>7.9741404289037643E-3</v>
      </c>
      <c r="K592" s="24">
        <f t="shared" si="109"/>
        <v>18966260.285755765</v>
      </c>
      <c r="L592" s="24">
        <f t="shared" si="105"/>
        <v>18966260.285755765</v>
      </c>
      <c r="M592" s="24">
        <f t="shared" si="106"/>
        <v>0</v>
      </c>
      <c r="N592" s="24">
        <f>IF(M592&lt;=0,0,IF($E$2-A592&lt;12,(M592-E592)*Dashboard!$B$18,IF($Q$2+A592&gt;=$R$2,MAX(0,M592-E592*POWER(1+$C$2,$E$2-A592))*MAX(Dashboard!$C$18,Dashboard!$B$18),IF($S$2&lt;$R$2,(M592-E592)*0.5*Dashboard!$B$18,(E592*POWER(1+$A$2,$R$2-($Q$2+A592))-E592)*0.5*Dashboard!$B$18+MAX(0,M592-E592*POWER(1+$A$2,$R$2-($Q$2+A592))*POWER(1+$C$2,$S$2-$R$2))*MAX(Dashboard!$C$18,Dashboard!$B$18)))))</f>
        <v>0</v>
      </c>
    </row>
    <row r="593" spans="1:14" x14ac:dyDescent="0.2">
      <c r="A593" s="22">
        <f t="shared" si="107"/>
        <v>588</v>
      </c>
      <c r="B593" s="23">
        <f t="shared" si="108"/>
        <v>67.054794520548484</v>
      </c>
      <c r="C593" t="str">
        <f t="shared" si="99"/>
        <v>67 y 0.66 m</v>
      </c>
      <c r="D593" s="24">
        <f>IF(A593&gt;=$E$2,IF(A593&lt;$E$2+$H$2,$P$2,0),IF(B593&lt;Dashboard!$I$6,0,IF(A593&gt;=$F$2,Dashboard!$C$22*POWER(1+$C$2,A593-$F$2),Dashboard!$C$22)))</f>
        <v>0</v>
      </c>
      <c r="E593" s="24">
        <f>IF(A593&gt;=$F$2,0,IF(A593=0,Dashboard!$G$10,IF(B593&lt;Dashboard!$I$6,IF($J$2&lt;=Dashboard!$H$10,Dashboard!$H$10,MAX(Dashboard!$H$10,MIN($J$2,Dashboard!$H$10*POWER($J$2/Dashboard!$H$10,A593/$D$2)))),$I$2-D593-Dashboard!$I$10-Dashboard!$J$10-Dashboard!$F$10*$I$2)))</f>
        <v>0</v>
      </c>
      <c r="F593" s="24">
        <f t="shared" si="100"/>
        <v>9636.7410390820332</v>
      </c>
      <c r="G593" s="24">
        <f t="shared" si="101"/>
        <v>12827.895829230742</v>
      </c>
      <c r="H593" s="24">
        <f t="shared" si="102"/>
        <v>0</v>
      </c>
      <c r="I593" s="24">
        <f t="shared" si="103"/>
        <v>-12827.895829230742</v>
      </c>
      <c r="J593" s="25">
        <f t="shared" si="104"/>
        <v>7.9741404289037643E-3</v>
      </c>
      <c r="K593" s="24">
        <f t="shared" si="109"/>
        <v>19104569.721413542</v>
      </c>
      <c r="L593" s="24">
        <f t="shared" si="105"/>
        <v>19104569.721413542</v>
      </c>
      <c r="M593" s="24">
        <f t="shared" si="106"/>
        <v>0</v>
      </c>
      <c r="N593" s="24">
        <f>IF(M593&lt;=0,0,IF($E$2-A593&lt;12,(M593-E593)*Dashboard!$B$18,IF($Q$2+A593&gt;=$R$2,MAX(0,M593-E593*POWER(1+$C$2,$E$2-A593))*MAX(Dashboard!$C$18,Dashboard!$B$18),IF($S$2&lt;$R$2,(M593-E593)*0.5*Dashboard!$B$18,(E593*POWER(1+$A$2,$R$2-($Q$2+A593))-E593)*0.5*Dashboard!$B$18+MAX(0,M593-E593*POWER(1+$A$2,$R$2-($Q$2+A593))*POWER(1+$C$2,$S$2-$R$2))*MAX(Dashboard!$C$18,Dashboard!$B$18)))))</f>
        <v>0</v>
      </c>
    </row>
    <row r="594" spans="1:14" x14ac:dyDescent="0.2">
      <c r="A594" s="22">
        <f t="shared" si="107"/>
        <v>589</v>
      </c>
      <c r="B594" s="23">
        <f t="shared" si="108"/>
        <v>67.138127853881812</v>
      </c>
      <c r="C594" t="str">
        <f t="shared" si="99"/>
        <v>67 y 1.66 m</v>
      </c>
      <c r="D594" s="24">
        <f>IF(A594&gt;=$E$2,IF(A594&lt;$E$2+$H$2,$P$2,0),IF(B594&lt;Dashboard!$I$6,0,IF(A594&gt;=$F$2,Dashboard!$C$22*POWER(1+$C$2,A594-$F$2),Dashboard!$C$22)))</f>
        <v>0</v>
      </c>
      <c r="E594" s="24">
        <f>IF(A594&gt;=$F$2,0,IF(A594=0,Dashboard!$G$10,IF(B594&lt;Dashboard!$I$6,IF($J$2&lt;=Dashboard!$H$10,Dashboard!$H$10,MAX(Dashboard!$H$10,MIN($J$2,Dashboard!$H$10*POWER($J$2/Dashboard!$H$10,A594/$D$2)))),$I$2-D594-Dashboard!$I$10-Dashboard!$J$10-Dashboard!$F$10*$I$2)))</f>
        <v>0</v>
      </c>
      <c r="F594" s="24">
        <f t="shared" si="100"/>
        <v>9656.5911477974169</v>
      </c>
      <c r="G594" s="24">
        <f t="shared" si="101"/>
        <v>12859.403938302779</v>
      </c>
      <c r="H594" s="24">
        <f t="shared" si="102"/>
        <v>0</v>
      </c>
      <c r="I594" s="24">
        <f t="shared" si="103"/>
        <v>-12859.403938302779</v>
      </c>
      <c r="J594" s="25">
        <f t="shared" si="104"/>
        <v>7.9741404289037643E-3</v>
      </c>
      <c r="K594" s="24">
        <f t="shared" si="109"/>
        <v>19243950.296574734</v>
      </c>
      <c r="L594" s="24">
        <f t="shared" si="105"/>
        <v>19243950.296574734</v>
      </c>
      <c r="M594" s="24">
        <f t="shared" si="106"/>
        <v>0</v>
      </c>
      <c r="N594" s="24">
        <f>IF(M594&lt;=0,0,IF($E$2-A594&lt;12,(M594-E594)*Dashboard!$B$18,IF($Q$2+A594&gt;=$R$2,MAX(0,M594-E594*POWER(1+$C$2,$E$2-A594))*MAX(Dashboard!$C$18,Dashboard!$B$18),IF($S$2&lt;$R$2,(M594-E594)*0.5*Dashboard!$B$18,(E594*POWER(1+$A$2,$R$2-($Q$2+A594))-E594)*0.5*Dashboard!$B$18+MAX(0,M594-E594*POWER(1+$A$2,$R$2-($Q$2+A594))*POWER(1+$C$2,$S$2-$R$2))*MAX(Dashboard!$C$18,Dashboard!$B$18)))))</f>
        <v>0</v>
      </c>
    </row>
    <row r="595" spans="1:14" x14ac:dyDescent="0.2">
      <c r="A595" s="22">
        <f t="shared" si="107"/>
        <v>590</v>
      </c>
      <c r="B595" s="23">
        <f t="shared" si="108"/>
        <v>67.221461187215141</v>
      </c>
      <c r="C595" t="str">
        <f t="shared" si="99"/>
        <v>67 y 2.66 m</v>
      </c>
      <c r="D595" s="24">
        <f>IF(A595&gt;=$E$2,IF(A595&lt;$E$2+$H$2,$P$2,0),IF(B595&lt;Dashboard!$I$6,0,IF(A595&gt;=$F$2,Dashboard!$C$22*POWER(1+$C$2,A595-$F$2),Dashboard!$C$22)))</f>
        <v>0</v>
      </c>
      <c r="E595" s="24">
        <f>IF(A595&gt;=$F$2,0,IF(A595=0,Dashboard!$G$10,IF(B595&lt;Dashboard!$I$6,IF($J$2&lt;=Dashboard!$H$10,Dashboard!$H$10,MAX(Dashboard!$H$10,MIN($J$2,Dashboard!$H$10*POWER($J$2/Dashboard!$H$10,A595/$D$2)))),$I$2-D595-Dashboard!$I$10-Dashboard!$J$10-Dashboard!$F$10*$I$2)))</f>
        <v>0</v>
      </c>
      <c r="F595" s="24">
        <f t="shared" si="100"/>
        <v>9676.4821444866939</v>
      </c>
      <c r="G595" s="24">
        <f t="shared" si="101"/>
        <v>12890.976948920679</v>
      </c>
      <c r="H595" s="24">
        <f t="shared" si="102"/>
        <v>0</v>
      </c>
      <c r="I595" s="24">
        <f t="shared" si="103"/>
        <v>-12890.976948920679</v>
      </c>
      <c r="J595" s="25">
        <f t="shared" si="104"/>
        <v>7.9741404289037643E-3</v>
      </c>
      <c r="K595" s="24">
        <f t="shared" si="109"/>
        <v>19384410.487237088</v>
      </c>
      <c r="L595" s="24">
        <f t="shared" si="105"/>
        <v>19384410.487237088</v>
      </c>
      <c r="M595" s="24">
        <f t="shared" si="106"/>
        <v>0</v>
      </c>
      <c r="N595" s="24">
        <f>IF(M595&lt;=0,0,IF($E$2-A595&lt;12,(M595-E595)*Dashboard!$B$18,IF($Q$2+A595&gt;=$R$2,MAX(0,M595-E595*POWER(1+$C$2,$E$2-A595))*MAX(Dashboard!$C$18,Dashboard!$B$18),IF($S$2&lt;$R$2,(M595-E595)*0.5*Dashboard!$B$18,(E595*POWER(1+$A$2,$R$2-($Q$2+A595))-E595)*0.5*Dashboard!$B$18+MAX(0,M595-E595*POWER(1+$A$2,$R$2-($Q$2+A595))*POWER(1+$C$2,$S$2-$R$2))*MAX(Dashboard!$C$18,Dashboard!$B$18)))))</f>
        <v>0</v>
      </c>
    </row>
    <row r="596" spans="1:14" x14ac:dyDescent="0.2">
      <c r="A596" s="22">
        <f t="shared" si="107"/>
        <v>591</v>
      </c>
      <c r="B596" s="23">
        <f t="shared" si="108"/>
        <v>67.304794520548469</v>
      </c>
      <c r="C596" t="str">
        <f t="shared" si="99"/>
        <v>67 y 3.66 m</v>
      </c>
      <c r="D596" s="24">
        <f>IF(A596&gt;=$E$2,IF(A596&lt;$E$2+$H$2,$P$2,0),IF(B596&lt;Dashboard!$I$6,0,IF(A596&gt;=$F$2,Dashboard!$C$22*POWER(1+$C$2,A596-$F$2),Dashboard!$C$22)))</f>
        <v>0</v>
      </c>
      <c r="E596" s="24">
        <f>IF(A596&gt;=$F$2,0,IF(A596=0,Dashboard!$G$10,IF(B596&lt;Dashboard!$I$6,IF($J$2&lt;=Dashboard!$H$10,Dashboard!$H$10,MAX(Dashboard!$H$10,MIN($J$2,Dashboard!$H$10*POWER($J$2/Dashboard!$H$10,A596/$D$2)))),$I$2-D596-Dashboard!$I$10-Dashboard!$J$10-Dashboard!$F$10*$I$2)))</f>
        <v>0</v>
      </c>
      <c r="F596" s="24">
        <f t="shared" si="100"/>
        <v>9696.4141133723933</v>
      </c>
      <c r="G596" s="24">
        <f t="shared" si="101"/>
        <v>12922.614994770995</v>
      </c>
      <c r="H596" s="24">
        <f t="shared" si="102"/>
        <v>0</v>
      </c>
      <c r="I596" s="24">
        <f t="shared" si="103"/>
        <v>-12922.614994770995</v>
      </c>
      <c r="J596" s="25">
        <f t="shared" si="104"/>
        <v>7.9741404289037643E-3</v>
      </c>
      <c r="K596" s="24">
        <f t="shared" si="109"/>
        <v>19525958.836852383</v>
      </c>
      <c r="L596" s="24">
        <f t="shared" si="105"/>
        <v>19525958.836852383</v>
      </c>
      <c r="M596" s="24">
        <f t="shared" si="106"/>
        <v>0</v>
      </c>
      <c r="N596" s="24">
        <f>IF(M596&lt;=0,0,IF($E$2-A596&lt;12,(M596-E596)*Dashboard!$B$18,IF($Q$2+A596&gt;=$R$2,MAX(0,M596-E596*POWER(1+$C$2,$E$2-A596))*MAX(Dashboard!$C$18,Dashboard!$B$18),IF($S$2&lt;$R$2,(M596-E596)*0.5*Dashboard!$B$18,(E596*POWER(1+$A$2,$R$2-($Q$2+A596))-E596)*0.5*Dashboard!$B$18+MAX(0,M596-E596*POWER(1+$A$2,$R$2-($Q$2+A596))*POWER(1+$C$2,$S$2-$R$2))*MAX(Dashboard!$C$18,Dashboard!$B$18)))))</f>
        <v>0</v>
      </c>
    </row>
    <row r="597" spans="1:14" x14ac:dyDescent="0.2">
      <c r="A597" s="22">
        <f t="shared" si="107"/>
        <v>592</v>
      </c>
      <c r="B597" s="23">
        <f t="shared" si="108"/>
        <v>67.388127853881798</v>
      </c>
      <c r="C597" t="str">
        <f t="shared" si="99"/>
        <v>67 y 4.66 m</v>
      </c>
      <c r="D597" s="24">
        <f>IF(A597&gt;=$E$2,IF(A597&lt;$E$2+$H$2,$P$2,0),IF(B597&lt;Dashboard!$I$6,0,IF(A597&gt;=$F$2,Dashboard!$C$22*POWER(1+$C$2,A597-$F$2),Dashboard!$C$22)))</f>
        <v>0</v>
      </c>
      <c r="E597" s="24">
        <f>IF(A597&gt;=$F$2,0,IF(A597=0,Dashboard!$G$10,IF(B597&lt;Dashboard!$I$6,IF($J$2&lt;=Dashboard!$H$10,Dashboard!$H$10,MAX(Dashboard!$H$10,MIN($J$2,Dashboard!$H$10*POWER($J$2/Dashboard!$H$10,A597/$D$2)))),$I$2-D597-Dashboard!$I$10-Dashboard!$J$10-Dashboard!$F$10*$I$2)))</f>
        <v>0</v>
      </c>
      <c r="F597" s="24">
        <f t="shared" si="100"/>
        <v>9716.3871388505322</v>
      </c>
      <c r="G597" s="24">
        <f t="shared" si="101"/>
        <v>12954.318209815659</v>
      </c>
      <c r="H597" s="24">
        <f t="shared" si="102"/>
        <v>0</v>
      </c>
      <c r="I597" s="24">
        <f t="shared" si="103"/>
        <v>-12954.318209815659</v>
      </c>
      <c r="J597" s="25">
        <f t="shared" si="104"/>
        <v>7.9741404289037643E-3</v>
      </c>
      <c r="K597" s="24">
        <f t="shared" si="109"/>
        <v>19668603.956864055</v>
      </c>
      <c r="L597" s="24">
        <f t="shared" si="105"/>
        <v>19668603.956864055</v>
      </c>
      <c r="M597" s="24">
        <f t="shared" si="106"/>
        <v>0</v>
      </c>
      <c r="N597" s="24">
        <f>IF(M597&lt;=0,0,IF($E$2-A597&lt;12,(M597-E597)*Dashboard!$B$18,IF($Q$2+A597&gt;=$R$2,MAX(0,M597-E597*POWER(1+$C$2,$E$2-A597))*MAX(Dashboard!$C$18,Dashboard!$B$18),IF($S$2&lt;$R$2,(M597-E597)*0.5*Dashboard!$B$18,(E597*POWER(1+$A$2,$R$2-($Q$2+A597))-E597)*0.5*Dashboard!$B$18+MAX(0,M597-E597*POWER(1+$A$2,$R$2-($Q$2+A597))*POWER(1+$C$2,$S$2-$R$2))*MAX(Dashboard!$C$18,Dashboard!$B$18)))))</f>
        <v>0</v>
      </c>
    </row>
    <row r="598" spans="1:14" x14ac:dyDescent="0.2">
      <c r="A598" s="22">
        <f t="shared" si="107"/>
        <v>593</v>
      </c>
      <c r="B598" s="23">
        <f t="shared" si="108"/>
        <v>67.471461187215127</v>
      </c>
      <c r="C598" t="str">
        <f t="shared" si="99"/>
        <v>67 y 5.66 m</v>
      </c>
      <c r="D598" s="24">
        <f>IF(A598&gt;=$E$2,IF(A598&lt;$E$2+$H$2,$P$2,0),IF(B598&lt;Dashboard!$I$6,0,IF(A598&gt;=$F$2,Dashboard!$C$22*POWER(1+$C$2,A598-$F$2),Dashboard!$C$22)))</f>
        <v>0</v>
      </c>
      <c r="E598" s="24">
        <f>IF(A598&gt;=$F$2,0,IF(A598=0,Dashboard!$G$10,IF(B598&lt;Dashboard!$I$6,IF($J$2&lt;=Dashboard!$H$10,Dashboard!$H$10,MAX(Dashboard!$H$10,MIN($J$2,Dashboard!$H$10*POWER($J$2/Dashboard!$H$10,A598/$D$2)))),$I$2-D598-Dashboard!$I$10-Dashboard!$J$10-Dashboard!$F$10*$I$2)))</f>
        <v>0</v>
      </c>
      <c r="F598" s="24">
        <f t="shared" si="100"/>
        <v>9736.4013054909701</v>
      </c>
      <c r="G598" s="24">
        <f t="shared" si="101"/>
        <v>12986.086728292546</v>
      </c>
      <c r="H598" s="24">
        <f t="shared" si="102"/>
        <v>0</v>
      </c>
      <c r="I598" s="24">
        <f t="shared" si="103"/>
        <v>-12986.086728292546</v>
      </c>
      <c r="J598" s="25">
        <f t="shared" si="104"/>
        <v>7.9741404289037643E-3</v>
      </c>
      <c r="K598" s="24">
        <f t="shared" si="109"/>
        <v>19812354.527249094</v>
      </c>
      <c r="L598" s="24">
        <f t="shared" si="105"/>
        <v>19812354.527249094</v>
      </c>
      <c r="M598" s="24">
        <f t="shared" si="106"/>
        <v>0</v>
      </c>
      <c r="N598" s="24">
        <f>IF(M598&lt;=0,0,IF($E$2-A598&lt;12,(M598-E598)*Dashboard!$B$18,IF($Q$2+A598&gt;=$R$2,MAX(0,M598-E598*POWER(1+$C$2,$E$2-A598))*MAX(Dashboard!$C$18,Dashboard!$B$18),IF($S$2&lt;$R$2,(M598-E598)*0.5*Dashboard!$B$18,(E598*POWER(1+$A$2,$R$2-($Q$2+A598))-E598)*0.5*Dashboard!$B$18+MAX(0,M598-E598*POWER(1+$A$2,$R$2-($Q$2+A598))*POWER(1+$C$2,$S$2-$R$2))*MAX(Dashboard!$C$18,Dashboard!$B$18)))))</f>
        <v>0</v>
      </c>
    </row>
    <row r="599" spans="1:14" x14ac:dyDescent="0.2">
      <c r="A599" s="22">
        <f t="shared" si="107"/>
        <v>594</v>
      </c>
      <c r="B599" s="23">
        <f t="shared" si="108"/>
        <v>67.554794520548455</v>
      </c>
      <c r="C599" t="str">
        <f t="shared" si="99"/>
        <v>67 y 6.66 m</v>
      </c>
      <c r="D599" s="24">
        <f>IF(A599&gt;=$E$2,IF(A599&lt;$E$2+$H$2,$P$2,0),IF(B599&lt;Dashboard!$I$6,0,IF(A599&gt;=$F$2,Dashboard!$C$22*POWER(1+$C$2,A599-$F$2),Dashboard!$C$22)))</f>
        <v>0</v>
      </c>
      <c r="E599" s="24">
        <f>IF(A599&gt;=$F$2,0,IF(A599=0,Dashboard!$G$10,IF(B599&lt;Dashboard!$I$6,IF($J$2&lt;=Dashboard!$H$10,Dashboard!$H$10,MAX(Dashboard!$H$10,MIN($J$2,Dashboard!$H$10*POWER($J$2/Dashboard!$H$10,A599/$D$2)))),$I$2-D599-Dashboard!$I$10-Dashboard!$J$10-Dashboard!$F$10*$I$2)))</f>
        <v>0</v>
      </c>
      <c r="F599" s="24">
        <f t="shared" si="100"/>
        <v>9756.456698037764</v>
      </c>
      <c r="G599" s="24">
        <f t="shared" si="101"/>
        <v>13017.920684716029</v>
      </c>
      <c r="H599" s="24">
        <f t="shared" si="102"/>
        <v>0</v>
      </c>
      <c r="I599" s="24">
        <f t="shared" si="103"/>
        <v>-13017.920684716029</v>
      </c>
      <c r="J599" s="25">
        <f t="shared" si="104"/>
        <v>7.9741404289037643E-3</v>
      </c>
      <c r="K599" s="24">
        <f t="shared" si="109"/>
        <v>19957219.297064256</v>
      </c>
      <c r="L599" s="24">
        <f t="shared" si="105"/>
        <v>19957219.297064256</v>
      </c>
      <c r="M599" s="24">
        <f t="shared" si="106"/>
        <v>0</v>
      </c>
      <c r="N599" s="24">
        <f>IF(M599&lt;=0,0,IF($E$2-A599&lt;12,(M599-E599)*Dashboard!$B$18,IF($Q$2+A599&gt;=$R$2,MAX(0,M599-E599*POWER(1+$C$2,$E$2-A599))*MAX(Dashboard!$C$18,Dashboard!$B$18),IF($S$2&lt;$R$2,(M599-E599)*0.5*Dashboard!$B$18,(E599*POWER(1+$A$2,$R$2-($Q$2+A599))-E599)*0.5*Dashboard!$B$18+MAX(0,M599-E599*POWER(1+$A$2,$R$2-($Q$2+A599))*POWER(1+$C$2,$S$2-$R$2))*MAX(Dashboard!$C$18,Dashboard!$B$18)))))</f>
        <v>0</v>
      </c>
    </row>
    <row r="600" spans="1:14" x14ac:dyDescent="0.2">
      <c r="A600" s="22">
        <f t="shared" si="107"/>
        <v>595</v>
      </c>
      <c r="B600" s="23">
        <f t="shared" si="108"/>
        <v>67.638127853881784</v>
      </c>
      <c r="C600" t="str">
        <f t="shared" si="99"/>
        <v>67 y 7.66 m</v>
      </c>
      <c r="D600" s="24">
        <f>IF(A600&gt;=$E$2,IF(A600&lt;$E$2+$H$2,$P$2,0),IF(B600&lt;Dashboard!$I$6,0,IF(A600&gt;=$F$2,Dashboard!$C$22*POWER(1+$C$2,A600-$F$2),Dashboard!$C$22)))</f>
        <v>0</v>
      </c>
      <c r="E600" s="24">
        <f>IF(A600&gt;=$F$2,0,IF(A600=0,Dashboard!$G$10,IF(B600&lt;Dashboard!$I$6,IF($J$2&lt;=Dashboard!$H$10,Dashboard!$H$10,MAX(Dashboard!$H$10,MIN($J$2,Dashboard!$H$10*POWER($J$2/Dashboard!$H$10,A600/$D$2)))),$I$2-D600-Dashboard!$I$10-Dashboard!$J$10-Dashboard!$F$10*$I$2)))</f>
        <v>0</v>
      </c>
      <c r="F600" s="24">
        <f t="shared" si="100"/>
        <v>9776.5534014095356</v>
      </c>
      <c r="G600" s="24">
        <f t="shared" si="101"/>
        <v>13049.820213877569</v>
      </c>
      <c r="H600" s="24">
        <f t="shared" si="102"/>
        <v>0</v>
      </c>
      <c r="I600" s="24">
        <f t="shared" si="103"/>
        <v>-13049.820213877569</v>
      </c>
      <c r="J600" s="25">
        <f t="shared" si="104"/>
        <v>7.9741404289037643E-3</v>
      </c>
      <c r="K600" s="24">
        <f t="shared" si="109"/>
        <v>20103207.084996641</v>
      </c>
      <c r="L600" s="24">
        <f t="shared" si="105"/>
        <v>20103207.084996641</v>
      </c>
      <c r="M600" s="24">
        <f t="shared" si="106"/>
        <v>0</v>
      </c>
      <c r="N600" s="24">
        <f>IF(M600&lt;=0,0,IF($E$2-A600&lt;12,(M600-E600)*Dashboard!$B$18,IF($Q$2+A600&gt;=$R$2,MAX(0,M600-E600*POWER(1+$C$2,$E$2-A600))*MAX(Dashboard!$C$18,Dashboard!$B$18),IF($S$2&lt;$R$2,(M600-E600)*0.5*Dashboard!$B$18,(E600*POWER(1+$A$2,$R$2-($Q$2+A600))-E600)*0.5*Dashboard!$B$18+MAX(0,M600-E600*POWER(1+$A$2,$R$2-($Q$2+A600))*POWER(1+$C$2,$S$2-$R$2))*MAX(Dashboard!$C$18,Dashboard!$B$18)))))</f>
        <v>0</v>
      </c>
    </row>
    <row r="601" spans="1:14" x14ac:dyDescent="0.2">
      <c r="A601" s="22">
        <f t="shared" si="107"/>
        <v>596</v>
      </c>
      <c r="B601" s="23">
        <f t="shared" si="108"/>
        <v>67.721461187215112</v>
      </c>
      <c r="C601" t="str">
        <f t="shared" si="99"/>
        <v>67 y 8.66 m</v>
      </c>
      <c r="D601" s="24">
        <f>IF(A601&gt;=$E$2,IF(A601&lt;$E$2+$H$2,$P$2,0),IF(B601&lt;Dashboard!$I$6,0,IF(A601&gt;=$F$2,Dashboard!$C$22*POWER(1+$C$2,A601-$F$2),Dashboard!$C$22)))</f>
        <v>0</v>
      </c>
      <c r="E601" s="24">
        <f>IF(A601&gt;=$F$2,0,IF(A601=0,Dashboard!$G$10,IF(B601&lt;Dashboard!$I$6,IF($J$2&lt;=Dashboard!$H$10,Dashboard!$H$10,MAX(Dashboard!$H$10,MIN($J$2,Dashboard!$H$10*POWER($J$2/Dashboard!$H$10,A601/$D$2)))),$I$2-D601-Dashboard!$I$10-Dashboard!$J$10-Dashboard!$F$10*$I$2)))</f>
        <v>0</v>
      </c>
      <c r="F601" s="24">
        <f t="shared" si="100"/>
        <v>9796.6915006998097</v>
      </c>
      <c r="G601" s="24">
        <f t="shared" si="101"/>
        <v>13081.785450846257</v>
      </c>
      <c r="H601" s="24">
        <f t="shared" si="102"/>
        <v>0</v>
      </c>
      <c r="I601" s="24">
        <f t="shared" si="103"/>
        <v>-13081.785450846257</v>
      </c>
      <c r="J601" s="25">
        <f t="shared" si="104"/>
        <v>7.9741404289037643E-3</v>
      </c>
      <c r="K601" s="24">
        <f t="shared" si="109"/>
        <v>20250326.779918645</v>
      </c>
      <c r="L601" s="24">
        <f t="shared" si="105"/>
        <v>20250326.779918645</v>
      </c>
      <c r="M601" s="24">
        <f t="shared" si="106"/>
        <v>0</v>
      </c>
      <c r="N601" s="24">
        <f>IF(M601&lt;=0,0,IF($E$2-A601&lt;12,(M601-E601)*Dashboard!$B$18,IF($Q$2+A601&gt;=$R$2,MAX(0,M601-E601*POWER(1+$C$2,$E$2-A601))*MAX(Dashboard!$C$18,Dashboard!$B$18),IF($S$2&lt;$R$2,(M601-E601)*0.5*Dashboard!$B$18,(E601*POWER(1+$A$2,$R$2-($Q$2+A601))-E601)*0.5*Dashboard!$B$18+MAX(0,M601-E601*POWER(1+$A$2,$R$2-($Q$2+A601))*POWER(1+$C$2,$S$2-$R$2))*MAX(Dashboard!$C$18,Dashboard!$B$18)))))</f>
        <v>0</v>
      </c>
    </row>
    <row r="602" spans="1:14" x14ac:dyDescent="0.2">
      <c r="A602" s="22">
        <f t="shared" si="107"/>
        <v>597</v>
      </c>
      <c r="B602" s="23">
        <f t="shared" si="108"/>
        <v>67.804794520548441</v>
      </c>
      <c r="C602" t="str">
        <f t="shared" si="99"/>
        <v>67 y 9.66 m</v>
      </c>
      <c r="D602" s="24">
        <f>IF(A602&gt;=$E$2,IF(A602&lt;$E$2+$H$2,$P$2,0),IF(B602&lt;Dashboard!$I$6,0,IF(A602&gt;=$F$2,Dashboard!$C$22*POWER(1+$C$2,A602-$F$2),Dashboard!$C$22)))</f>
        <v>0</v>
      </c>
      <c r="E602" s="24">
        <f>IF(A602&gt;=$F$2,0,IF(A602=0,Dashboard!$G$10,IF(B602&lt;Dashboard!$I$6,IF($J$2&lt;=Dashboard!$H$10,Dashboard!$H$10,MAX(Dashboard!$H$10,MIN($J$2,Dashboard!$H$10*POWER($J$2/Dashboard!$H$10,A602/$D$2)))),$I$2-D602-Dashboard!$I$10-Dashboard!$J$10-Dashboard!$F$10*$I$2)))</f>
        <v>0</v>
      </c>
      <c r="F602" s="24">
        <f t="shared" si="100"/>
        <v>9816.8710811774126</v>
      </c>
      <c r="G602" s="24">
        <f t="shared" si="101"/>
        <v>13113.816530969438</v>
      </c>
      <c r="H602" s="24">
        <f t="shared" si="102"/>
        <v>0</v>
      </c>
      <c r="I602" s="24">
        <f t="shared" si="103"/>
        <v>-13113.816530969438</v>
      </c>
      <c r="J602" s="25">
        <f t="shared" si="104"/>
        <v>7.9741404289037643E-3</v>
      </c>
      <c r="K602" s="24">
        <f t="shared" si="109"/>
        <v>20398587.341447361</v>
      </c>
      <c r="L602" s="24">
        <f t="shared" si="105"/>
        <v>20398587.341447361</v>
      </c>
      <c r="M602" s="24">
        <f t="shared" si="106"/>
        <v>0</v>
      </c>
      <c r="N602" s="24">
        <f>IF(M602&lt;=0,0,IF($E$2-A602&lt;12,(M602-E602)*Dashboard!$B$18,IF($Q$2+A602&gt;=$R$2,MAX(0,M602-E602*POWER(1+$C$2,$E$2-A602))*MAX(Dashboard!$C$18,Dashboard!$B$18),IF($S$2&lt;$R$2,(M602-E602)*0.5*Dashboard!$B$18,(E602*POWER(1+$A$2,$R$2-($Q$2+A602))-E602)*0.5*Dashboard!$B$18+MAX(0,M602-E602*POWER(1+$A$2,$R$2-($Q$2+A602))*POWER(1+$C$2,$S$2-$R$2))*MAX(Dashboard!$C$18,Dashboard!$B$18)))))</f>
        <v>0</v>
      </c>
    </row>
    <row r="603" spans="1:14" x14ac:dyDescent="0.2">
      <c r="A603" s="22">
        <f t="shared" si="107"/>
        <v>598</v>
      </c>
      <c r="B603" s="23">
        <f t="shared" si="108"/>
        <v>67.88812785388177</v>
      </c>
      <c r="C603" t="str">
        <f t="shared" si="99"/>
        <v>67 y 10.66 m</v>
      </c>
      <c r="D603" s="24">
        <f>IF(A603&gt;=$E$2,IF(A603&lt;$E$2+$H$2,$P$2,0),IF(B603&lt;Dashboard!$I$6,0,IF(A603&gt;=$F$2,Dashboard!$C$22*POWER(1+$C$2,A603-$F$2),Dashboard!$C$22)))</f>
        <v>0</v>
      </c>
      <c r="E603" s="24">
        <f>IF(A603&gt;=$F$2,0,IF(A603=0,Dashboard!$G$10,IF(B603&lt;Dashboard!$I$6,IF($J$2&lt;=Dashboard!$H$10,Dashboard!$H$10,MAX(Dashboard!$H$10,MIN($J$2,Dashboard!$H$10*POWER($J$2/Dashboard!$H$10,A603/$D$2)))),$I$2-D603-Dashboard!$I$10-Dashboard!$J$10-Dashboard!$F$10*$I$2)))</f>
        <v>0</v>
      </c>
      <c r="F603" s="24">
        <f t="shared" si="100"/>
        <v>9837.0922282867923</v>
      </c>
      <c r="G603" s="24">
        <f t="shared" si="101"/>
        <v>13145.913589873215</v>
      </c>
      <c r="H603" s="24">
        <f t="shared" si="102"/>
        <v>0</v>
      </c>
      <c r="I603" s="24">
        <f t="shared" si="103"/>
        <v>-13145.913589873215</v>
      </c>
      <c r="J603" s="25">
        <f t="shared" si="104"/>
        <v>7.9741404289037643E-3</v>
      </c>
      <c r="K603" s="24">
        <f t="shared" si="109"/>
        <v>20547997.800508417</v>
      </c>
      <c r="L603" s="24">
        <f t="shared" si="105"/>
        <v>20547997.800508417</v>
      </c>
      <c r="M603" s="24">
        <f t="shared" si="106"/>
        <v>0</v>
      </c>
      <c r="N603" s="24">
        <f>IF(M603&lt;=0,0,IF($E$2-A603&lt;12,(M603-E603)*Dashboard!$B$18,IF($Q$2+A603&gt;=$R$2,MAX(0,M603-E603*POWER(1+$C$2,$E$2-A603))*MAX(Dashboard!$C$18,Dashboard!$B$18),IF($S$2&lt;$R$2,(M603-E603)*0.5*Dashboard!$B$18,(E603*POWER(1+$A$2,$R$2-($Q$2+A603))-E603)*0.5*Dashboard!$B$18+MAX(0,M603-E603*POWER(1+$A$2,$R$2-($Q$2+A603))*POWER(1+$C$2,$S$2-$R$2))*MAX(Dashboard!$C$18,Dashboard!$B$18)))))</f>
        <v>0</v>
      </c>
    </row>
    <row r="604" spans="1:14" x14ac:dyDescent="0.2">
      <c r="A604" s="22">
        <f t="shared" si="107"/>
        <v>599</v>
      </c>
      <c r="B604" s="23">
        <f t="shared" si="108"/>
        <v>67.971461187215098</v>
      </c>
      <c r="C604" t="str">
        <f t="shared" si="99"/>
        <v>67 y 11.66 m</v>
      </c>
      <c r="D604" s="24">
        <f>IF(A604&gt;=$E$2,IF(A604&lt;$E$2+$H$2,$P$2,0),IF(B604&lt;Dashboard!$I$6,0,IF(A604&gt;=$F$2,Dashboard!$C$22*POWER(1+$C$2,A604-$F$2),Dashboard!$C$22)))</f>
        <v>0</v>
      </c>
      <c r="E604" s="24">
        <f>IF(A604&gt;=$F$2,0,IF(A604=0,Dashboard!$G$10,IF(B604&lt;Dashboard!$I$6,IF($J$2&lt;=Dashboard!$H$10,Dashboard!$H$10,MAX(Dashboard!$H$10,MIN($J$2,Dashboard!$H$10*POWER($J$2/Dashboard!$H$10,A604/$D$2)))),$I$2-D604-Dashboard!$I$10-Dashboard!$J$10-Dashboard!$F$10*$I$2)))</f>
        <v>0</v>
      </c>
      <c r="F604" s="24">
        <f t="shared" si="100"/>
        <v>9857.3550276484057</v>
      </c>
      <c r="G604" s="24">
        <f t="shared" si="101"/>
        <v>13178.076763463077</v>
      </c>
      <c r="H604" s="24">
        <f t="shared" si="102"/>
        <v>0</v>
      </c>
      <c r="I604" s="24">
        <f t="shared" si="103"/>
        <v>-13178.076763463077</v>
      </c>
      <c r="J604" s="25">
        <f t="shared" si="104"/>
        <v>7.9741404289037643E-3</v>
      </c>
      <c r="K604" s="24">
        <f t="shared" si="109"/>
        <v>20698567.259904321</v>
      </c>
      <c r="L604" s="24">
        <f t="shared" si="105"/>
        <v>20698567.259904321</v>
      </c>
      <c r="M604" s="24">
        <f t="shared" si="106"/>
        <v>0</v>
      </c>
      <c r="N604" s="24">
        <f>IF(M604&lt;=0,0,IF($E$2-A604&lt;12,(M604-E604)*Dashboard!$B$18,IF($Q$2+A604&gt;=$R$2,MAX(0,M604-E604*POWER(1+$C$2,$E$2-A604))*MAX(Dashboard!$C$18,Dashboard!$B$18),IF($S$2&lt;$R$2,(M604-E604)*0.5*Dashboard!$B$18,(E604*POWER(1+$A$2,$R$2-($Q$2+A604))-E604)*0.5*Dashboard!$B$18+MAX(0,M604-E604*POWER(1+$A$2,$R$2-($Q$2+A604))*POWER(1+$C$2,$S$2-$R$2))*MAX(Dashboard!$C$18,Dashboard!$B$18)))))</f>
        <v>0</v>
      </c>
    </row>
    <row r="605" spans="1:14" x14ac:dyDescent="0.2">
      <c r="A605" s="22">
        <f t="shared" si="107"/>
        <v>600</v>
      </c>
      <c r="B605" s="23">
        <f t="shared" si="108"/>
        <v>68.054794520548427</v>
      </c>
      <c r="C605" t="str">
        <f t="shared" si="99"/>
        <v>68 y 0.66 m</v>
      </c>
      <c r="D605" s="24">
        <f>IF(A605&gt;=$E$2,IF(A605&lt;$E$2+$H$2,$P$2,0),IF(B605&lt;Dashboard!$I$6,0,IF(A605&gt;=$F$2,Dashboard!$C$22*POWER(1+$C$2,A605-$F$2),Dashboard!$C$22)))</f>
        <v>0</v>
      </c>
      <c r="E605" s="24">
        <f>IF(A605&gt;=$F$2,0,IF(A605=0,Dashboard!$G$10,IF(B605&lt;Dashboard!$I$6,IF($J$2&lt;=Dashboard!$H$10,Dashboard!$H$10,MAX(Dashboard!$H$10,MIN($J$2,Dashboard!$H$10*POWER($J$2/Dashboard!$H$10,A605/$D$2)))),$I$2-D605-Dashboard!$I$10-Dashboard!$J$10-Dashboard!$F$10*$I$2)))</f>
        <v>0</v>
      </c>
      <c r="F605" s="24">
        <f t="shared" si="100"/>
        <v>9877.6595650590734</v>
      </c>
      <c r="G605" s="24">
        <f t="shared" si="101"/>
        <v>13210.306187924454</v>
      </c>
      <c r="H605" s="24">
        <f t="shared" si="102"/>
        <v>0</v>
      </c>
      <c r="I605" s="24">
        <f t="shared" si="103"/>
        <v>-13210.306187924454</v>
      </c>
      <c r="J605" s="25">
        <f t="shared" si="104"/>
        <v>7.9741404289037643E-3</v>
      </c>
      <c r="K605" s="24">
        <f t="shared" si="109"/>
        <v>20850304.894887332</v>
      </c>
      <c r="L605" s="24">
        <f t="shared" si="105"/>
        <v>20850304.894887332</v>
      </c>
      <c r="M605" s="24">
        <f t="shared" si="106"/>
        <v>0</v>
      </c>
      <c r="N605" s="24">
        <f>IF(M605&lt;=0,0,IF($E$2-A605&lt;12,(M605-E605)*Dashboard!$B$18,IF($Q$2+A605&gt;=$R$2,MAX(0,M605-E605*POWER(1+$C$2,$E$2-A605))*MAX(Dashboard!$C$18,Dashboard!$B$18),IF($S$2&lt;$R$2,(M605-E605)*0.5*Dashboard!$B$18,(E605*POWER(1+$A$2,$R$2-($Q$2+A605))-E605)*0.5*Dashboard!$B$18+MAX(0,M605-E605*POWER(1+$A$2,$R$2-($Q$2+A605))*POWER(1+$C$2,$S$2-$R$2))*MAX(Dashboard!$C$18,Dashboard!$B$18)))))</f>
        <v>0</v>
      </c>
    </row>
    <row r="606" spans="1:14" x14ac:dyDescent="0.2">
      <c r="A606" s="22">
        <f t="shared" si="107"/>
        <v>601</v>
      </c>
      <c r="B606" s="23">
        <f t="shared" si="108"/>
        <v>68.138127853881755</v>
      </c>
      <c r="C606" t="str">
        <f t="shared" si="99"/>
        <v>68 y 1.66 m</v>
      </c>
      <c r="D606" s="24">
        <f>IF(A606&gt;=$E$2,IF(A606&lt;$E$2+$H$2,$P$2,0),IF(B606&lt;Dashboard!$I$6,0,IF(A606&gt;=$F$2,Dashboard!$C$22*POWER(1+$C$2,A606-$F$2),Dashboard!$C$22)))</f>
        <v>0</v>
      </c>
      <c r="E606" s="24">
        <f>IF(A606&gt;=$F$2,0,IF(A606=0,Dashboard!$G$10,IF(B606&lt;Dashboard!$I$6,IF($J$2&lt;=Dashboard!$H$10,Dashboard!$H$10,MAX(Dashboard!$H$10,MIN($J$2,Dashboard!$H$10*POWER($J$2/Dashboard!$H$10,A606/$D$2)))),$I$2-D606-Dashboard!$I$10-Dashboard!$J$10-Dashboard!$F$10*$I$2)))</f>
        <v>0</v>
      </c>
      <c r="F606" s="24">
        <f t="shared" si="100"/>
        <v>9898.0059264923402</v>
      </c>
      <c r="G606" s="24">
        <f t="shared" si="101"/>
        <v>13242.601999723292</v>
      </c>
      <c r="H606" s="24">
        <f t="shared" si="102"/>
        <v>0</v>
      </c>
      <c r="I606" s="24">
        <f t="shared" si="103"/>
        <v>-13242.601999723292</v>
      </c>
      <c r="J606" s="25">
        <f t="shared" si="104"/>
        <v>7.9741404289037643E-3</v>
      </c>
      <c r="K606" s="24">
        <f t="shared" si="109"/>
        <v>21003219.953736912</v>
      </c>
      <c r="L606" s="24">
        <f t="shared" si="105"/>
        <v>21003219.953736912</v>
      </c>
      <c r="M606" s="24">
        <f t="shared" si="106"/>
        <v>0</v>
      </c>
      <c r="N606" s="24">
        <f>IF(M606&lt;=0,0,IF($E$2-A606&lt;12,(M606-E606)*Dashboard!$B$18,IF($Q$2+A606&gt;=$R$2,MAX(0,M606-E606*POWER(1+$C$2,$E$2-A606))*MAX(Dashboard!$C$18,Dashboard!$B$18),IF($S$2&lt;$R$2,(M606-E606)*0.5*Dashboard!$B$18,(E606*POWER(1+$A$2,$R$2-($Q$2+A606))-E606)*0.5*Dashboard!$B$18+MAX(0,M606-E606*POWER(1+$A$2,$R$2-($Q$2+A606))*POWER(1+$C$2,$S$2-$R$2))*MAX(Dashboard!$C$18,Dashboard!$B$18)))))</f>
        <v>0</v>
      </c>
    </row>
    <row r="607" spans="1:14" x14ac:dyDescent="0.2">
      <c r="A607" s="22">
        <f t="shared" si="107"/>
        <v>602</v>
      </c>
      <c r="B607" s="23">
        <f t="shared" si="108"/>
        <v>68.221461187215084</v>
      </c>
      <c r="C607" t="str">
        <f t="shared" si="99"/>
        <v>68 y 2.66 m</v>
      </c>
      <c r="D607" s="24">
        <f>IF(A607&gt;=$E$2,IF(A607&lt;$E$2+$H$2,$P$2,0),IF(B607&lt;Dashboard!$I$6,0,IF(A607&gt;=$F$2,Dashboard!$C$22*POWER(1+$C$2,A607-$F$2),Dashboard!$C$22)))</f>
        <v>0</v>
      </c>
      <c r="E607" s="24">
        <f>IF(A607&gt;=$F$2,0,IF(A607=0,Dashboard!$G$10,IF(B607&lt;Dashboard!$I$6,IF($J$2&lt;=Dashboard!$H$10,Dashboard!$H$10,MAX(Dashboard!$H$10,MIN($J$2,Dashboard!$H$10*POWER($J$2/Dashboard!$H$10,A607/$D$2)))),$I$2-D607-Dashboard!$I$10-Dashboard!$J$10-Dashboard!$F$10*$I$2)))</f>
        <v>0</v>
      </c>
      <c r="F607" s="24">
        <f t="shared" si="100"/>
        <v>9918.3941980988475</v>
      </c>
      <c r="G607" s="24">
        <f t="shared" si="101"/>
        <v>13274.964335606637</v>
      </c>
      <c r="H607" s="24">
        <f t="shared" si="102"/>
        <v>0</v>
      </c>
      <c r="I607" s="24">
        <f t="shared" si="103"/>
        <v>-13274.964335606637</v>
      </c>
      <c r="J607" s="25">
        <f t="shared" si="104"/>
        <v>7.9741404289037643E-3</v>
      </c>
      <c r="K607" s="24">
        <f t="shared" si="109"/>
        <v>21157321.758341759</v>
      </c>
      <c r="L607" s="24">
        <f t="shared" si="105"/>
        <v>21157321.758341759</v>
      </c>
      <c r="M607" s="24">
        <f t="shared" si="106"/>
        <v>0</v>
      </c>
      <c r="N607" s="24">
        <f>IF(M607&lt;=0,0,IF($E$2-A607&lt;12,(M607-E607)*Dashboard!$B$18,IF($Q$2+A607&gt;=$R$2,MAX(0,M607-E607*POWER(1+$C$2,$E$2-A607))*MAX(Dashboard!$C$18,Dashboard!$B$18),IF($S$2&lt;$R$2,(M607-E607)*0.5*Dashboard!$B$18,(E607*POWER(1+$A$2,$R$2-($Q$2+A607))-E607)*0.5*Dashboard!$B$18+MAX(0,M607-E607*POWER(1+$A$2,$R$2-($Q$2+A607))*POWER(1+$C$2,$S$2-$R$2))*MAX(Dashboard!$C$18,Dashboard!$B$18)))))</f>
        <v>0</v>
      </c>
    </row>
    <row r="608" spans="1:14" x14ac:dyDescent="0.2">
      <c r="A608" s="22">
        <f t="shared" si="107"/>
        <v>603</v>
      </c>
      <c r="B608" s="23">
        <f t="shared" si="108"/>
        <v>68.304794520548413</v>
      </c>
      <c r="C608" t="str">
        <f t="shared" si="99"/>
        <v>68 y 3.66 m</v>
      </c>
      <c r="D608" s="24">
        <f>IF(A608&gt;=$E$2,IF(A608&lt;$E$2+$H$2,$P$2,0),IF(B608&lt;Dashboard!$I$6,0,IF(A608&gt;=$F$2,Dashboard!$C$22*POWER(1+$C$2,A608-$F$2),Dashboard!$C$22)))</f>
        <v>0</v>
      </c>
      <c r="E608" s="24">
        <f>IF(A608&gt;=$F$2,0,IF(A608=0,Dashboard!$G$10,IF(B608&lt;Dashboard!$I$6,IF($J$2&lt;=Dashboard!$H$10,Dashboard!$H$10,MAX(Dashboard!$H$10,MIN($J$2,Dashboard!$H$10*POWER($J$2/Dashboard!$H$10,A608/$D$2)))),$I$2-D608-Dashboard!$I$10-Dashboard!$J$10-Dashboard!$F$10*$I$2)))</f>
        <v>0</v>
      </c>
      <c r="F608" s="24">
        <f t="shared" si="100"/>
        <v>9938.82446620669</v>
      </c>
      <c r="G608" s="24">
        <f t="shared" si="101"/>
        <v>13307.393332603213</v>
      </c>
      <c r="H608" s="24">
        <f t="shared" si="102"/>
        <v>0</v>
      </c>
      <c r="I608" s="24">
        <f t="shared" si="103"/>
        <v>-13307.393332603213</v>
      </c>
      <c r="J608" s="25">
        <f t="shared" si="104"/>
        <v>7.9741404289037643E-3</v>
      </c>
      <c r="K608" s="24">
        <f t="shared" si="109"/>
        <v>21312619.704786498</v>
      </c>
      <c r="L608" s="24">
        <f t="shared" si="105"/>
        <v>21312619.704786498</v>
      </c>
      <c r="M608" s="24">
        <f t="shared" si="106"/>
        <v>0</v>
      </c>
      <c r="N608" s="24">
        <f>IF(M608&lt;=0,0,IF($E$2-A608&lt;12,(M608-E608)*Dashboard!$B$18,IF($Q$2+A608&gt;=$R$2,MAX(0,M608-E608*POWER(1+$C$2,$E$2-A608))*MAX(Dashboard!$C$18,Dashboard!$B$18),IF($S$2&lt;$R$2,(M608-E608)*0.5*Dashboard!$B$18,(E608*POWER(1+$A$2,$R$2-($Q$2+A608))-E608)*0.5*Dashboard!$B$18+MAX(0,M608-E608*POWER(1+$A$2,$R$2-($Q$2+A608))*POWER(1+$C$2,$S$2-$R$2))*MAX(Dashboard!$C$18,Dashboard!$B$18)))))</f>
        <v>0</v>
      </c>
    </row>
    <row r="609" spans="1:14" x14ac:dyDescent="0.2">
      <c r="A609" s="22">
        <f t="shared" si="107"/>
        <v>604</v>
      </c>
      <c r="B609" s="23">
        <f t="shared" si="108"/>
        <v>68.388127853881741</v>
      </c>
      <c r="C609" t="str">
        <f t="shared" si="99"/>
        <v>68 y 4.66 m</v>
      </c>
      <c r="D609" s="24">
        <f>IF(A609&gt;=$E$2,IF(A609&lt;$E$2+$H$2,$P$2,0),IF(B609&lt;Dashboard!$I$6,0,IF(A609&gt;=$F$2,Dashboard!$C$22*POWER(1+$C$2,A609-$F$2),Dashboard!$C$22)))</f>
        <v>0</v>
      </c>
      <c r="E609" s="24">
        <f>IF(A609&gt;=$F$2,0,IF(A609=0,Dashboard!$G$10,IF(B609&lt;Dashboard!$I$6,IF($J$2&lt;=Dashboard!$H$10,Dashboard!$H$10,MAX(Dashboard!$H$10,MIN($J$2,Dashboard!$H$10*POWER($J$2/Dashboard!$H$10,A609/$D$2)))),$I$2-D609-Dashboard!$I$10-Dashboard!$J$10-Dashboard!$F$10*$I$2)))</f>
        <v>0</v>
      </c>
      <c r="F609" s="24">
        <f t="shared" si="100"/>
        <v>9959.2968173217814</v>
      </c>
      <c r="G609" s="24">
        <f t="shared" si="101"/>
        <v>13339.889128023991</v>
      </c>
      <c r="H609" s="24">
        <f t="shared" si="102"/>
        <v>0</v>
      </c>
      <c r="I609" s="24">
        <f t="shared" si="103"/>
        <v>-13339.889128023991</v>
      </c>
      <c r="J609" s="25">
        <f t="shared" si="104"/>
        <v>7.9741404289037643E-3</v>
      </c>
      <c r="K609" s="24">
        <f t="shared" si="109"/>
        <v>21469123.26394305</v>
      </c>
      <c r="L609" s="24">
        <f t="shared" si="105"/>
        <v>21469123.26394305</v>
      </c>
      <c r="M609" s="24">
        <f t="shared" si="106"/>
        <v>0</v>
      </c>
      <c r="N609" s="24">
        <f>IF(M609&lt;=0,0,IF($E$2-A609&lt;12,(M609-E609)*Dashboard!$B$18,IF($Q$2+A609&gt;=$R$2,MAX(0,M609-E609*POWER(1+$C$2,$E$2-A609))*MAX(Dashboard!$C$18,Dashboard!$B$18),IF($S$2&lt;$R$2,(M609-E609)*0.5*Dashboard!$B$18,(E609*POWER(1+$A$2,$R$2-($Q$2+A609))-E609)*0.5*Dashboard!$B$18+MAX(0,M609-E609*POWER(1+$A$2,$R$2-($Q$2+A609))*POWER(1+$C$2,$S$2-$R$2))*MAX(Dashboard!$C$18,Dashboard!$B$18)))))</f>
        <v>0</v>
      </c>
    </row>
    <row r="610" spans="1:14" x14ac:dyDescent="0.2">
      <c r="A610" s="22">
        <f t="shared" si="107"/>
        <v>605</v>
      </c>
      <c r="B610" s="23">
        <f t="shared" si="108"/>
        <v>68.47146118721507</v>
      </c>
      <c r="C610" t="str">
        <f t="shared" si="99"/>
        <v>68 y 5.66 m</v>
      </c>
      <c r="D610" s="24">
        <f>IF(A610&gt;=$E$2,IF(A610&lt;$E$2+$H$2,$P$2,0),IF(B610&lt;Dashboard!$I$6,0,IF(A610&gt;=$F$2,Dashboard!$C$22*POWER(1+$C$2,A610-$F$2),Dashboard!$C$22)))</f>
        <v>0</v>
      </c>
      <c r="E610" s="24">
        <f>IF(A610&gt;=$F$2,0,IF(A610=0,Dashboard!$G$10,IF(B610&lt;Dashboard!$I$6,IF($J$2&lt;=Dashboard!$H$10,Dashboard!$H$10,MAX(Dashboard!$H$10,MIN($J$2,Dashboard!$H$10*POWER($J$2/Dashboard!$H$10,A610/$D$2)))),$I$2-D610-Dashboard!$I$10-Dashboard!$J$10-Dashboard!$F$10*$I$2)))</f>
        <v>0</v>
      </c>
      <c r="F610" s="24">
        <f t="shared" si="100"/>
        <v>9979.8113381282292</v>
      </c>
      <c r="G610" s="24">
        <f t="shared" si="101"/>
        <v>13372.451859462797</v>
      </c>
      <c r="H610" s="24">
        <f t="shared" si="102"/>
        <v>0</v>
      </c>
      <c r="I610" s="24">
        <f t="shared" si="103"/>
        <v>-13372.451859462797</v>
      </c>
      <c r="J610" s="25">
        <f t="shared" si="104"/>
        <v>7.9741404289037643E-3</v>
      </c>
      <c r="K610" s="24">
        <f t="shared" si="109"/>
        <v>21626841.982066706</v>
      </c>
      <c r="L610" s="24">
        <f t="shared" si="105"/>
        <v>21626841.982066706</v>
      </c>
      <c r="M610" s="24">
        <f t="shared" si="106"/>
        <v>0</v>
      </c>
      <c r="N610" s="24">
        <f>IF(M610&lt;=0,0,IF($E$2-A610&lt;12,(M610-E610)*Dashboard!$B$18,IF($Q$2+A610&gt;=$R$2,MAX(0,M610-E610*POWER(1+$C$2,$E$2-A610))*MAX(Dashboard!$C$18,Dashboard!$B$18),IF($S$2&lt;$R$2,(M610-E610)*0.5*Dashboard!$B$18,(E610*POWER(1+$A$2,$R$2-($Q$2+A610))-E610)*0.5*Dashboard!$B$18+MAX(0,M610-E610*POWER(1+$A$2,$R$2-($Q$2+A610))*POWER(1+$C$2,$S$2-$R$2))*MAX(Dashboard!$C$18,Dashboard!$B$18)))))</f>
        <v>0</v>
      </c>
    </row>
    <row r="611" spans="1:14" x14ac:dyDescent="0.2">
      <c r="A611" s="22">
        <f t="shared" si="107"/>
        <v>606</v>
      </c>
      <c r="B611" s="23">
        <f t="shared" si="108"/>
        <v>68.554794520548398</v>
      </c>
      <c r="C611" t="str">
        <f t="shared" si="99"/>
        <v>68 y 6.66 m</v>
      </c>
      <c r="D611" s="24">
        <f>IF(A611&gt;=$E$2,IF(A611&lt;$E$2+$H$2,$P$2,0),IF(B611&lt;Dashboard!$I$6,0,IF(A611&gt;=$F$2,Dashboard!$C$22*POWER(1+$C$2,A611-$F$2),Dashboard!$C$22)))</f>
        <v>0</v>
      </c>
      <c r="E611" s="24">
        <f>IF(A611&gt;=$F$2,0,IF(A611=0,Dashboard!$G$10,IF(B611&lt;Dashboard!$I$6,IF($J$2&lt;=Dashboard!$H$10,Dashboard!$H$10,MAX(Dashboard!$H$10,MIN($J$2,Dashboard!$H$10*POWER($J$2/Dashboard!$H$10,A611/$D$2)))),$I$2-D611-Dashboard!$I$10-Dashboard!$J$10-Dashboard!$F$10*$I$2)))</f>
        <v>0</v>
      </c>
      <c r="F611" s="24">
        <f t="shared" si="100"/>
        <v>10000.368115488696</v>
      </c>
      <c r="G611" s="24">
        <f t="shared" si="101"/>
        <v>13405.081664796873</v>
      </c>
      <c r="H611" s="24">
        <f t="shared" si="102"/>
        <v>0</v>
      </c>
      <c r="I611" s="24">
        <f t="shared" si="103"/>
        <v>-13405.081664796873</v>
      </c>
      <c r="J611" s="25">
        <f t="shared" si="104"/>
        <v>7.9741404289037643E-3</v>
      </c>
      <c r="K611" s="24">
        <f t="shared" si="109"/>
        <v>21785785.481396966</v>
      </c>
      <c r="L611" s="24">
        <f t="shared" si="105"/>
        <v>21785785.481396966</v>
      </c>
      <c r="M611" s="24">
        <f t="shared" si="106"/>
        <v>0</v>
      </c>
      <c r="N611" s="24">
        <f>IF(M611&lt;=0,0,IF($E$2-A611&lt;12,(M611-E611)*Dashboard!$B$18,IF($Q$2+A611&gt;=$R$2,MAX(0,M611-E611*POWER(1+$C$2,$E$2-A611))*MAX(Dashboard!$C$18,Dashboard!$B$18),IF($S$2&lt;$R$2,(M611-E611)*0.5*Dashboard!$B$18,(E611*POWER(1+$A$2,$R$2-($Q$2+A611))-E611)*0.5*Dashboard!$B$18+MAX(0,M611-E611*POWER(1+$A$2,$R$2-($Q$2+A611))*POWER(1+$C$2,$S$2-$R$2))*MAX(Dashboard!$C$18,Dashboard!$B$18)))))</f>
        <v>0</v>
      </c>
    </row>
    <row r="612" spans="1:14" x14ac:dyDescent="0.2">
      <c r="A612" s="22">
        <f t="shared" si="107"/>
        <v>607</v>
      </c>
      <c r="B612" s="23">
        <f t="shared" si="108"/>
        <v>68.638127853881727</v>
      </c>
      <c r="C612" t="str">
        <f t="shared" si="99"/>
        <v>68 y 7.66 m</v>
      </c>
      <c r="D612" s="24">
        <f>IF(A612&gt;=$E$2,IF(A612&lt;$E$2+$H$2,$P$2,0),IF(B612&lt;Dashboard!$I$6,0,IF(A612&gt;=$F$2,Dashboard!$C$22*POWER(1+$C$2,A612-$F$2),Dashboard!$C$22)))</f>
        <v>0</v>
      </c>
      <c r="E612" s="24">
        <f>IF(A612&gt;=$F$2,0,IF(A612=0,Dashboard!$G$10,IF(B612&lt;Dashboard!$I$6,IF($J$2&lt;=Dashboard!$H$10,Dashboard!$H$10,MAX(Dashboard!$H$10,MIN($J$2,Dashboard!$H$10*POWER($J$2/Dashboard!$H$10,A612/$D$2)))),$I$2-D612-Dashboard!$I$10-Dashboard!$J$10-Dashboard!$F$10*$I$2)))</f>
        <v>0</v>
      </c>
      <c r="F612" s="24">
        <f t="shared" si="100"/>
        <v>10020.967236444756</v>
      </c>
      <c r="G612" s="24">
        <f t="shared" si="101"/>
        <v>13437.778682187445</v>
      </c>
      <c r="H612" s="24">
        <f t="shared" si="102"/>
        <v>0</v>
      </c>
      <c r="I612" s="24">
        <f t="shared" si="103"/>
        <v>-13437.778682187445</v>
      </c>
      <c r="J612" s="25">
        <f t="shared" si="104"/>
        <v>7.9741404289037643E-3</v>
      </c>
      <c r="K612" s="24">
        <f t="shared" si="109"/>
        <v>21945963.460763145</v>
      </c>
      <c r="L612" s="24">
        <f t="shared" si="105"/>
        <v>21945963.460763145</v>
      </c>
      <c r="M612" s="24">
        <f t="shared" si="106"/>
        <v>0</v>
      </c>
      <c r="N612" s="24">
        <f>IF(M612&lt;=0,0,IF($E$2-A612&lt;12,(M612-E612)*Dashboard!$B$18,IF($Q$2+A612&gt;=$R$2,MAX(0,M612-E612*POWER(1+$C$2,$E$2-A612))*MAX(Dashboard!$C$18,Dashboard!$B$18),IF($S$2&lt;$R$2,(M612-E612)*0.5*Dashboard!$B$18,(E612*POWER(1+$A$2,$R$2-($Q$2+A612))-E612)*0.5*Dashboard!$B$18+MAX(0,M612-E612*POWER(1+$A$2,$R$2-($Q$2+A612))*POWER(1+$C$2,$S$2-$R$2))*MAX(Dashboard!$C$18,Dashboard!$B$18)))))</f>
        <v>0</v>
      </c>
    </row>
    <row r="613" spans="1:14" x14ac:dyDescent="0.2">
      <c r="A613" s="22">
        <f t="shared" si="107"/>
        <v>608</v>
      </c>
      <c r="B613" s="23">
        <f t="shared" si="108"/>
        <v>68.721461187215056</v>
      </c>
      <c r="C613" t="str">
        <f t="shared" si="99"/>
        <v>68 y 8.66 m</v>
      </c>
      <c r="D613" s="24">
        <f>IF(A613&gt;=$E$2,IF(A613&lt;$E$2+$H$2,$P$2,0),IF(B613&lt;Dashboard!$I$6,0,IF(A613&gt;=$F$2,Dashboard!$C$22*POWER(1+$C$2,A613-$F$2),Dashboard!$C$22)))</f>
        <v>0</v>
      </c>
      <c r="E613" s="24">
        <f>IF(A613&gt;=$F$2,0,IF(A613=0,Dashboard!$G$10,IF(B613&lt;Dashboard!$I$6,IF($J$2&lt;=Dashboard!$H$10,Dashboard!$H$10,MAX(Dashboard!$H$10,MIN($J$2,Dashboard!$H$10*POWER($J$2/Dashboard!$H$10,A613/$D$2)))),$I$2-D613-Dashboard!$I$10-Dashboard!$J$10-Dashboard!$F$10*$I$2)))</f>
        <v>0</v>
      </c>
      <c r="F613" s="24">
        <f t="shared" si="100"/>
        <v>10041.608788217291</v>
      </c>
      <c r="G613" s="24">
        <f t="shared" si="101"/>
        <v>13470.543050080356</v>
      </c>
      <c r="H613" s="24">
        <f t="shared" si="102"/>
        <v>0</v>
      </c>
      <c r="I613" s="24">
        <f t="shared" si="103"/>
        <v>-13470.543050080356</v>
      </c>
      <c r="J613" s="25">
        <f t="shared" si="104"/>
        <v>7.9741404289037643E-3</v>
      </c>
      <c r="K613" s="24">
        <f t="shared" si="109"/>
        <v>22107385.696194846</v>
      </c>
      <c r="L613" s="24">
        <f t="shared" si="105"/>
        <v>22107385.696194846</v>
      </c>
      <c r="M613" s="24">
        <f t="shared" si="106"/>
        <v>0</v>
      </c>
      <c r="N613" s="24">
        <f>IF(M613&lt;=0,0,IF($E$2-A613&lt;12,(M613-E613)*Dashboard!$B$18,IF($Q$2+A613&gt;=$R$2,MAX(0,M613-E613*POWER(1+$C$2,$E$2-A613))*MAX(Dashboard!$C$18,Dashboard!$B$18),IF($S$2&lt;$R$2,(M613-E613)*0.5*Dashboard!$B$18,(E613*POWER(1+$A$2,$R$2-($Q$2+A613))-E613)*0.5*Dashboard!$B$18+MAX(0,M613-E613*POWER(1+$A$2,$R$2-($Q$2+A613))*POWER(1+$C$2,$S$2-$R$2))*MAX(Dashboard!$C$18,Dashboard!$B$18)))))</f>
        <v>0</v>
      </c>
    </row>
    <row r="614" spans="1:14" x14ac:dyDescent="0.2">
      <c r="A614" s="22">
        <f t="shared" si="107"/>
        <v>609</v>
      </c>
      <c r="B614" s="23">
        <f t="shared" si="108"/>
        <v>68.804794520548384</v>
      </c>
      <c r="C614" t="str">
        <f t="shared" si="99"/>
        <v>68 y 9.66 m</v>
      </c>
      <c r="D614" s="24">
        <f>IF(A614&gt;=$E$2,IF(A614&lt;$E$2+$H$2,$P$2,0),IF(B614&lt;Dashboard!$I$6,0,IF(A614&gt;=$F$2,Dashboard!$C$22*POWER(1+$C$2,A614-$F$2),Dashboard!$C$22)))</f>
        <v>0</v>
      </c>
      <c r="E614" s="24">
        <f>IF(A614&gt;=$F$2,0,IF(A614=0,Dashboard!$G$10,IF(B614&lt;Dashboard!$I$6,IF($J$2&lt;=Dashboard!$H$10,Dashboard!$H$10,MAX(Dashboard!$H$10,MIN($J$2,Dashboard!$H$10*POWER($J$2/Dashboard!$H$10,A614/$D$2)))),$I$2-D614-Dashboard!$I$10-Dashboard!$J$10-Dashboard!$F$10*$I$2)))</f>
        <v>0</v>
      </c>
      <c r="F614" s="24">
        <f t="shared" si="100"/>
        <v>10062.292858206833</v>
      </c>
      <c r="G614" s="24">
        <f t="shared" si="101"/>
        <v>13503.374907206611</v>
      </c>
      <c r="H614" s="24">
        <f t="shared" si="102"/>
        <v>0</v>
      </c>
      <c r="I614" s="24">
        <f t="shared" si="103"/>
        <v>-13503.374907206611</v>
      </c>
      <c r="J614" s="25">
        <f t="shared" si="104"/>
        <v>7.9741404289037643E-3</v>
      </c>
      <c r="K614" s="24">
        <f t="shared" si="109"/>
        <v>22270062.041537262</v>
      </c>
      <c r="L614" s="24">
        <f t="shared" si="105"/>
        <v>22270062.041537262</v>
      </c>
      <c r="M614" s="24">
        <f t="shared" si="106"/>
        <v>0</v>
      </c>
      <c r="N614" s="24">
        <f>IF(M614&lt;=0,0,IF($E$2-A614&lt;12,(M614-E614)*Dashboard!$B$18,IF($Q$2+A614&gt;=$R$2,MAX(0,M614-E614*POWER(1+$C$2,$E$2-A614))*MAX(Dashboard!$C$18,Dashboard!$B$18),IF($S$2&lt;$R$2,(M614-E614)*0.5*Dashboard!$B$18,(E614*POWER(1+$A$2,$R$2-($Q$2+A614))-E614)*0.5*Dashboard!$B$18+MAX(0,M614-E614*POWER(1+$A$2,$R$2-($Q$2+A614))*POWER(1+$C$2,$S$2-$R$2))*MAX(Dashboard!$C$18,Dashboard!$B$18)))))</f>
        <v>0</v>
      </c>
    </row>
    <row r="615" spans="1:14" x14ac:dyDescent="0.2">
      <c r="A615" s="22">
        <f t="shared" si="107"/>
        <v>610</v>
      </c>
      <c r="B615" s="23">
        <f t="shared" si="108"/>
        <v>68.888127853881713</v>
      </c>
      <c r="C615" t="str">
        <f t="shared" si="99"/>
        <v>68 y 10.66 m</v>
      </c>
      <c r="D615" s="24">
        <f>IF(A615&gt;=$E$2,IF(A615&lt;$E$2+$H$2,$P$2,0),IF(B615&lt;Dashboard!$I$6,0,IF(A615&gt;=$F$2,Dashboard!$C$22*POWER(1+$C$2,A615-$F$2),Dashboard!$C$22)))</f>
        <v>0</v>
      </c>
      <c r="E615" s="24">
        <f>IF(A615&gt;=$F$2,0,IF(A615=0,Dashboard!$G$10,IF(B615&lt;Dashboard!$I$6,IF($J$2&lt;=Dashboard!$H$10,Dashboard!$H$10,MAX(Dashboard!$H$10,MIN($J$2,Dashboard!$H$10*POWER($J$2/Dashboard!$H$10,A615/$D$2)))),$I$2-D615-Dashboard!$I$10-Dashboard!$J$10-Dashboard!$F$10*$I$2)))</f>
        <v>0</v>
      </c>
      <c r="F615" s="24">
        <f t="shared" si="100"/>
        <v>10083.019533993947</v>
      </c>
      <c r="G615" s="24">
        <f t="shared" si="101"/>
        <v>13536.274392582985</v>
      </c>
      <c r="H615" s="24">
        <f t="shared" si="102"/>
        <v>0</v>
      </c>
      <c r="I615" s="24">
        <f t="shared" si="103"/>
        <v>-13536.274392582985</v>
      </c>
      <c r="J615" s="25">
        <f t="shared" si="104"/>
        <v>7.9741404289037643E-3</v>
      </c>
      <c r="K615" s="24">
        <f t="shared" si="109"/>
        <v>22434002.429071408</v>
      </c>
      <c r="L615" s="24">
        <f t="shared" si="105"/>
        <v>22434002.429071408</v>
      </c>
      <c r="M615" s="24">
        <f t="shared" si="106"/>
        <v>0</v>
      </c>
      <c r="N615" s="24">
        <f>IF(M615&lt;=0,0,IF($E$2-A615&lt;12,(M615-E615)*Dashboard!$B$18,IF($Q$2+A615&gt;=$R$2,MAX(0,M615-E615*POWER(1+$C$2,$E$2-A615))*MAX(Dashboard!$C$18,Dashboard!$B$18),IF($S$2&lt;$R$2,(M615-E615)*0.5*Dashboard!$B$18,(E615*POWER(1+$A$2,$R$2-($Q$2+A615))-E615)*0.5*Dashboard!$B$18+MAX(0,M615-E615*POWER(1+$A$2,$R$2-($Q$2+A615))*POWER(1+$C$2,$S$2-$R$2))*MAX(Dashboard!$C$18,Dashboard!$B$18)))))</f>
        <v>0</v>
      </c>
    </row>
    <row r="616" spans="1:14" x14ac:dyDescent="0.2">
      <c r="A616" s="22">
        <f t="shared" si="107"/>
        <v>611</v>
      </c>
      <c r="B616" s="23">
        <f t="shared" si="108"/>
        <v>68.971461187215041</v>
      </c>
      <c r="C616" t="str">
        <f t="shared" si="99"/>
        <v>68 y 11.66 m</v>
      </c>
      <c r="D616" s="24">
        <f>IF(A616&gt;=$E$2,IF(A616&lt;$E$2+$H$2,$P$2,0),IF(B616&lt;Dashboard!$I$6,0,IF(A616&gt;=$F$2,Dashboard!$C$22*POWER(1+$C$2,A616-$F$2),Dashboard!$C$22)))</f>
        <v>0</v>
      </c>
      <c r="E616" s="24">
        <f>IF(A616&gt;=$F$2,0,IF(A616=0,Dashboard!$G$10,IF(B616&lt;Dashboard!$I$6,IF($J$2&lt;=Dashboard!$H$10,Dashboard!$H$10,MAX(Dashboard!$H$10,MIN($J$2,Dashboard!$H$10*POWER($J$2/Dashboard!$H$10,A616/$D$2)))),$I$2-D616-Dashboard!$I$10-Dashboard!$J$10-Dashboard!$F$10*$I$2)))</f>
        <v>0</v>
      </c>
      <c r="F616" s="24">
        <f t="shared" si="100"/>
        <v>10103.788903339602</v>
      </c>
      <c r="G616" s="24">
        <f t="shared" si="101"/>
        <v>13569.241645512595</v>
      </c>
      <c r="H616" s="24">
        <f t="shared" si="102"/>
        <v>0</v>
      </c>
      <c r="I616" s="24">
        <f t="shared" si="103"/>
        <v>-13569.241645512595</v>
      </c>
      <c r="J616" s="25">
        <f t="shared" si="104"/>
        <v>7.9741404289037643E-3</v>
      </c>
      <c r="K616" s="24">
        <f t="shared" si="109"/>
        <v>22599216.870139286</v>
      </c>
      <c r="L616" s="24">
        <f t="shared" si="105"/>
        <v>22599216.870139286</v>
      </c>
      <c r="M616" s="24">
        <f t="shared" si="106"/>
        <v>0</v>
      </c>
      <c r="N616" s="24">
        <f>IF(M616&lt;=0,0,IF($E$2-A616&lt;12,(M616-E616)*Dashboard!$B$18,IF($Q$2+A616&gt;=$R$2,MAX(0,M616-E616*POWER(1+$C$2,$E$2-A616))*MAX(Dashboard!$C$18,Dashboard!$B$18),IF($S$2&lt;$R$2,(M616-E616)*0.5*Dashboard!$B$18,(E616*POWER(1+$A$2,$R$2-($Q$2+A616))-E616)*0.5*Dashboard!$B$18+MAX(0,M616-E616*POWER(1+$A$2,$R$2-($Q$2+A616))*POWER(1+$C$2,$S$2-$R$2))*MAX(Dashboard!$C$18,Dashboard!$B$18)))))</f>
        <v>0</v>
      </c>
    </row>
    <row r="617" spans="1:14" x14ac:dyDescent="0.2">
      <c r="A617" s="22">
        <f t="shared" si="107"/>
        <v>612</v>
      </c>
      <c r="B617" s="23">
        <f t="shared" si="108"/>
        <v>69.05479452054837</v>
      </c>
      <c r="C617" t="str">
        <f t="shared" si="99"/>
        <v>69 y 0.66 m</v>
      </c>
      <c r="D617" s="24">
        <f>IF(A617&gt;=$E$2,IF(A617&lt;$E$2+$H$2,$P$2,0),IF(B617&lt;Dashboard!$I$6,0,IF(A617&gt;=$F$2,Dashboard!$C$22*POWER(1+$C$2,A617-$F$2),Dashboard!$C$22)))</f>
        <v>0</v>
      </c>
      <c r="E617" s="24">
        <f>IF(A617&gt;=$F$2,0,IF(A617=0,Dashboard!$G$10,IF(B617&lt;Dashboard!$I$6,IF($J$2&lt;=Dashboard!$H$10,Dashboard!$H$10,MAX(Dashboard!$H$10,MIN($J$2,Dashboard!$H$10*POWER($J$2/Dashboard!$H$10,A617/$D$2)))),$I$2-D617-Dashboard!$I$10-Dashboard!$J$10-Dashboard!$F$10*$I$2)))</f>
        <v>0</v>
      </c>
      <c r="F617" s="24">
        <f t="shared" si="100"/>
        <v>10124.601054185534</v>
      </c>
      <c r="G617" s="24">
        <f t="shared" si="101"/>
        <v>13602.276805585503</v>
      </c>
      <c r="H617" s="24">
        <f t="shared" si="102"/>
        <v>0</v>
      </c>
      <c r="I617" s="24">
        <f t="shared" si="103"/>
        <v>-13602.276805585503</v>
      </c>
      <c r="J617" s="25">
        <f t="shared" si="104"/>
        <v>7.9741404289037643E-3</v>
      </c>
      <c r="K617" s="24">
        <f t="shared" si="109"/>
        <v>22765715.455774039</v>
      </c>
      <c r="L617" s="24">
        <f t="shared" si="105"/>
        <v>22765715.455774039</v>
      </c>
      <c r="M617" s="24">
        <f t="shared" si="106"/>
        <v>0</v>
      </c>
      <c r="N617" s="24">
        <f>IF(M617&lt;=0,0,IF($E$2-A617&lt;12,(M617-E617)*Dashboard!$B$18,IF($Q$2+A617&gt;=$R$2,MAX(0,M617-E617*POWER(1+$C$2,$E$2-A617))*MAX(Dashboard!$C$18,Dashboard!$B$18),IF($S$2&lt;$R$2,(M617-E617)*0.5*Dashboard!$B$18,(E617*POWER(1+$A$2,$R$2-($Q$2+A617))-E617)*0.5*Dashboard!$B$18+MAX(0,M617-E617*POWER(1+$A$2,$R$2-($Q$2+A617))*POWER(1+$C$2,$S$2-$R$2))*MAX(Dashboard!$C$18,Dashboard!$B$18)))))</f>
        <v>0</v>
      </c>
    </row>
    <row r="618" spans="1:14" x14ac:dyDescent="0.2">
      <c r="A618" s="22">
        <f t="shared" si="107"/>
        <v>613</v>
      </c>
      <c r="B618" s="23">
        <f t="shared" si="108"/>
        <v>69.138127853881699</v>
      </c>
      <c r="C618" t="str">
        <f t="shared" si="99"/>
        <v>69 y 1.66 m</v>
      </c>
      <c r="D618" s="24">
        <f>IF(A618&gt;=$E$2,IF(A618&lt;$E$2+$H$2,$P$2,0),IF(B618&lt;Dashboard!$I$6,0,IF(A618&gt;=$F$2,Dashboard!$C$22*POWER(1+$C$2,A618-$F$2),Dashboard!$C$22)))</f>
        <v>0</v>
      </c>
      <c r="E618" s="24">
        <f>IF(A618&gt;=$F$2,0,IF(A618=0,Dashboard!$G$10,IF(B618&lt;Dashboard!$I$6,IF($J$2&lt;=Dashboard!$H$10,Dashboard!$H$10,MAX(Dashboard!$H$10,MIN($J$2,Dashboard!$H$10*POWER($J$2/Dashboard!$H$10,A618/$D$2)))),$I$2-D618-Dashboard!$I$10-Dashboard!$J$10-Dashboard!$F$10*$I$2)))</f>
        <v>0</v>
      </c>
      <c r="F618" s="24">
        <f t="shared" si="100"/>
        <v>10145.456074654632</v>
      </c>
      <c r="G618" s="24">
        <f t="shared" si="101"/>
        <v>13635.380012679308</v>
      </c>
      <c r="H618" s="24">
        <f t="shared" si="102"/>
        <v>0</v>
      </c>
      <c r="I618" s="24">
        <f t="shared" si="103"/>
        <v>-13635.380012679308</v>
      </c>
      <c r="J618" s="25">
        <f t="shared" si="104"/>
        <v>7.9741404289037643E-3</v>
      </c>
      <c r="K618" s="24">
        <f t="shared" si="109"/>
        <v>22933508.357335143</v>
      </c>
      <c r="L618" s="24">
        <f t="shared" si="105"/>
        <v>22933508.357335143</v>
      </c>
      <c r="M618" s="24">
        <f t="shared" si="106"/>
        <v>0</v>
      </c>
      <c r="N618" s="24">
        <f>IF(M618&lt;=0,0,IF($E$2-A618&lt;12,(M618-E618)*Dashboard!$B$18,IF($Q$2+A618&gt;=$R$2,MAX(0,M618-E618*POWER(1+$C$2,$E$2-A618))*MAX(Dashboard!$C$18,Dashboard!$B$18),IF($S$2&lt;$R$2,(M618-E618)*0.5*Dashboard!$B$18,(E618*POWER(1+$A$2,$R$2-($Q$2+A618))-E618)*0.5*Dashboard!$B$18+MAX(0,M618-E618*POWER(1+$A$2,$R$2-($Q$2+A618))*POWER(1+$C$2,$S$2-$R$2))*MAX(Dashboard!$C$18,Dashboard!$B$18)))))</f>
        <v>0</v>
      </c>
    </row>
    <row r="619" spans="1:14" x14ac:dyDescent="0.2">
      <c r="A619" s="22">
        <f t="shared" si="107"/>
        <v>614</v>
      </c>
      <c r="B619" s="23">
        <f t="shared" si="108"/>
        <v>69.221461187215027</v>
      </c>
      <c r="C619" t="str">
        <f t="shared" si="99"/>
        <v>69 y 2.66 m</v>
      </c>
      <c r="D619" s="24">
        <f>IF(A619&gt;=$E$2,IF(A619&lt;$E$2+$H$2,$P$2,0),IF(B619&lt;Dashboard!$I$6,0,IF(A619&gt;=$F$2,Dashboard!$C$22*POWER(1+$C$2,A619-$F$2),Dashboard!$C$22)))</f>
        <v>0</v>
      </c>
      <c r="E619" s="24">
        <f>IF(A619&gt;=$F$2,0,IF(A619=0,Dashboard!$G$10,IF(B619&lt;Dashboard!$I$6,IF($J$2&lt;=Dashboard!$H$10,Dashboard!$H$10,MAX(Dashboard!$H$10,MIN($J$2,Dashboard!$H$10*POWER($J$2/Dashboard!$H$10,A619/$D$2)))),$I$2-D619-Dashboard!$I$10-Dashboard!$J$10-Dashboard!$F$10*$I$2)))</f>
        <v>0</v>
      </c>
      <c r="F619" s="24">
        <f t="shared" si="100"/>
        <v>10166.354053051306</v>
      </c>
      <c r="G619" s="24">
        <f t="shared" si="101"/>
        <v>13668.551406959743</v>
      </c>
      <c r="H619" s="24">
        <f t="shared" si="102"/>
        <v>0</v>
      </c>
      <c r="I619" s="24">
        <f t="shared" si="103"/>
        <v>-13668.551406959743</v>
      </c>
      <c r="J619" s="25">
        <f t="shared" si="104"/>
        <v>7.9741404289037643E-3</v>
      </c>
      <c r="K619" s="24">
        <f t="shared" si="109"/>
        <v>23102605.827148631</v>
      </c>
      <c r="L619" s="24">
        <f t="shared" si="105"/>
        <v>23102605.827148631</v>
      </c>
      <c r="M619" s="24">
        <f t="shared" si="106"/>
        <v>0</v>
      </c>
      <c r="N619" s="24">
        <f>IF(M619&lt;=0,0,IF($E$2-A619&lt;12,(M619-E619)*Dashboard!$B$18,IF($Q$2+A619&gt;=$R$2,MAX(0,M619-E619*POWER(1+$C$2,$E$2-A619))*MAX(Dashboard!$C$18,Dashboard!$B$18),IF($S$2&lt;$R$2,(M619-E619)*0.5*Dashboard!$B$18,(E619*POWER(1+$A$2,$R$2-($Q$2+A619))-E619)*0.5*Dashboard!$B$18+MAX(0,M619-E619*POWER(1+$A$2,$R$2-($Q$2+A619))*POWER(1+$C$2,$S$2-$R$2))*MAX(Dashboard!$C$18,Dashboard!$B$18)))))</f>
        <v>0</v>
      </c>
    </row>
    <row r="620" spans="1:14" x14ac:dyDescent="0.2">
      <c r="A620" s="22">
        <f t="shared" si="107"/>
        <v>615</v>
      </c>
      <c r="B620" s="23">
        <f t="shared" si="108"/>
        <v>69.304794520548356</v>
      </c>
      <c r="C620" t="str">
        <f t="shared" si="99"/>
        <v>69 y 3.66 m</v>
      </c>
      <c r="D620" s="24">
        <f>IF(A620&gt;=$E$2,IF(A620&lt;$E$2+$H$2,$P$2,0),IF(B620&lt;Dashboard!$I$6,0,IF(A620&gt;=$F$2,Dashboard!$C$22*POWER(1+$C$2,A620-$F$2),Dashboard!$C$22)))</f>
        <v>0</v>
      </c>
      <c r="E620" s="24">
        <f>IF(A620&gt;=$F$2,0,IF(A620=0,Dashboard!$G$10,IF(B620&lt;Dashboard!$I$6,IF($J$2&lt;=Dashboard!$H$10,Dashboard!$H$10,MAX(Dashboard!$H$10,MIN($J$2,Dashboard!$H$10*POWER($J$2/Dashboard!$H$10,A620/$D$2)))),$I$2-D620-Dashboard!$I$10-Dashboard!$J$10-Dashboard!$F$10*$I$2)))</f>
        <v>0</v>
      </c>
      <c r="F620" s="24">
        <f t="shared" si="100"/>
        <v>10187.295077861841</v>
      </c>
      <c r="G620" s="24">
        <f t="shared" si="101"/>
        <v>13701.791128881232</v>
      </c>
      <c r="H620" s="24">
        <f t="shared" si="102"/>
        <v>0</v>
      </c>
      <c r="I620" s="24">
        <f t="shared" si="103"/>
        <v>-13701.791128881232</v>
      </c>
      <c r="J620" s="25">
        <f t="shared" si="104"/>
        <v>7.9741404289037643E-3</v>
      </c>
      <c r="K620" s="24">
        <f t="shared" si="109"/>
        <v>23273018.199152455</v>
      </c>
      <c r="L620" s="24">
        <f t="shared" si="105"/>
        <v>23273018.199152455</v>
      </c>
      <c r="M620" s="24">
        <f t="shared" si="106"/>
        <v>0</v>
      </c>
      <c r="N620" s="24">
        <f>IF(M620&lt;=0,0,IF($E$2-A620&lt;12,(M620-E620)*Dashboard!$B$18,IF($Q$2+A620&gt;=$R$2,MAX(0,M620-E620*POWER(1+$C$2,$E$2-A620))*MAX(Dashboard!$C$18,Dashboard!$B$18),IF($S$2&lt;$R$2,(M620-E620)*0.5*Dashboard!$B$18,(E620*POWER(1+$A$2,$R$2-($Q$2+A620))-E620)*0.5*Dashboard!$B$18+MAX(0,M620-E620*POWER(1+$A$2,$R$2-($Q$2+A620))*POWER(1+$C$2,$S$2-$R$2))*MAX(Dashboard!$C$18,Dashboard!$B$18)))))</f>
        <v>0</v>
      </c>
    </row>
    <row r="621" spans="1:14" x14ac:dyDescent="0.2">
      <c r="A621" s="22">
        <f t="shared" si="107"/>
        <v>616</v>
      </c>
      <c r="B621" s="23">
        <f t="shared" si="108"/>
        <v>69.388127853881684</v>
      </c>
      <c r="C621" t="str">
        <f t="shared" si="99"/>
        <v>69 y 4.66 m</v>
      </c>
      <c r="D621" s="24">
        <f>IF(A621&gt;=$E$2,IF(A621&lt;$E$2+$H$2,$P$2,0),IF(B621&lt;Dashboard!$I$6,0,IF(A621&gt;=$F$2,Dashboard!$C$22*POWER(1+$C$2,A621-$F$2),Dashboard!$C$22)))</f>
        <v>0</v>
      </c>
      <c r="E621" s="24">
        <f>IF(A621&gt;=$F$2,0,IF(A621=0,Dashboard!$G$10,IF(B621&lt;Dashboard!$I$6,IF($J$2&lt;=Dashboard!$H$10,Dashboard!$H$10,MAX(Dashboard!$H$10,MIN($J$2,Dashboard!$H$10*POWER($J$2/Dashboard!$H$10,A621/$D$2)))),$I$2-D621-Dashboard!$I$10-Dashboard!$J$10-Dashboard!$F$10*$I$2)))</f>
        <v>0</v>
      </c>
      <c r="F621" s="24">
        <f t="shared" si="100"/>
        <v>10208.279237754814</v>
      </c>
      <c r="G621" s="24">
        <f t="shared" si="101"/>
        <v>13735.099319187537</v>
      </c>
      <c r="H621" s="24">
        <f t="shared" si="102"/>
        <v>0</v>
      </c>
      <c r="I621" s="24">
        <f t="shared" si="103"/>
        <v>-13735.099319187537</v>
      </c>
      <c r="J621" s="25">
        <f t="shared" si="104"/>
        <v>7.9741404289037643E-3</v>
      </c>
      <c r="K621" s="24">
        <f t="shared" si="109"/>
        <v>23444755.889546968</v>
      </c>
      <c r="L621" s="24">
        <f t="shared" si="105"/>
        <v>23444755.889546968</v>
      </c>
      <c r="M621" s="24">
        <f t="shared" si="106"/>
        <v>0</v>
      </c>
      <c r="N621" s="24">
        <f>IF(M621&lt;=0,0,IF($E$2-A621&lt;12,(M621-E621)*Dashboard!$B$18,IF($Q$2+A621&gt;=$R$2,MAX(0,M621-E621*POWER(1+$C$2,$E$2-A621))*MAX(Dashboard!$C$18,Dashboard!$B$18),IF($S$2&lt;$R$2,(M621-E621)*0.5*Dashboard!$B$18,(E621*POWER(1+$A$2,$R$2-($Q$2+A621))-E621)*0.5*Dashboard!$B$18+MAX(0,M621-E621*POWER(1+$A$2,$R$2-($Q$2+A621))*POWER(1+$C$2,$S$2-$R$2))*MAX(Dashboard!$C$18,Dashboard!$B$18)))))</f>
        <v>0</v>
      </c>
    </row>
    <row r="622" spans="1:14" x14ac:dyDescent="0.2">
      <c r="A622" s="22">
        <f t="shared" si="107"/>
        <v>617</v>
      </c>
      <c r="B622" s="23">
        <f t="shared" si="108"/>
        <v>69.471461187215013</v>
      </c>
      <c r="C622" t="str">
        <f t="shared" si="99"/>
        <v>69 y 5.66 m</v>
      </c>
      <c r="D622" s="24">
        <f>IF(A622&gt;=$E$2,IF(A622&lt;$E$2+$H$2,$P$2,0),IF(B622&lt;Dashboard!$I$6,0,IF(A622&gt;=$F$2,Dashboard!$C$22*POWER(1+$C$2,A622-$F$2),Dashboard!$C$22)))</f>
        <v>0</v>
      </c>
      <c r="E622" s="24">
        <f>IF(A622&gt;=$F$2,0,IF(A622=0,Dashboard!$G$10,IF(B622&lt;Dashboard!$I$6,IF($J$2&lt;=Dashboard!$H$10,Dashboard!$H$10,MAX(Dashboard!$H$10,MIN($J$2,Dashboard!$H$10*POWER($J$2/Dashboard!$H$10,A622/$D$2)))),$I$2-D622-Dashboard!$I$10-Dashboard!$J$10-Dashboard!$F$10*$I$2)))</f>
        <v>0</v>
      </c>
      <c r="F622" s="24">
        <f t="shared" si="100"/>
        <v>10229.306621581421</v>
      </c>
      <c r="G622" s="24">
        <f t="shared" si="101"/>
        <v>13768.476118912309</v>
      </c>
      <c r="H622" s="24">
        <f t="shared" si="102"/>
        <v>0</v>
      </c>
      <c r="I622" s="24">
        <f t="shared" si="103"/>
        <v>-13768.476118912309</v>
      </c>
      <c r="J622" s="25">
        <f t="shared" si="104"/>
        <v>7.9741404289037643E-3</v>
      </c>
      <c r="K622" s="24">
        <f t="shared" si="109"/>
        <v>23617829.397450607</v>
      </c>
      <c r="L622" s="24">
        <f t="shared" si="105"/>
        <v>23617829.397450607</v>
      </c>
      <c r="M622" s="24">
        <f t="shared" si="106"/>
        <v>0</v>
      </c>
      <c r="N622" s="24">
        <f>IF(M622&lt;=0,0,IF($E$2-A622&lt;12,(M622-E622)*Dashboard!$B$18,IF($Q$2+A622&gt;=$R$2,MAX(0,M622-E622*POWER(1+$C$2,$E$2-A622))*MAX(Dashboard!$C$18,Dashboard!$B$18),IF($S$2&lt;$R$2,(M622-E622)*0.5*Dashboard!$B$18,(E622*POWER(1+$A$2,$R$2-($Q$2+A622))-E622)*0.5*Dashboard!$B$18+MAX(0,M622-E622*POWER(1+$A$2,$R$2-($Q$2+A622))*POWER(1+$C$2,$S$2-$R$2))*MAX(Dashboard!$C$18,Dashboard!$B$18)))))</f>
        <v>0</v>
      </c>
    </row>
    <row r="623" spans="1:14" x14ac:dyDescent="0.2">
      <c r="A623" s="22">
        <f t="shared" si="107"/>
        <v>618</v>
      </c>
      <c r="B623" s="23">
        <f t="shared" si="108"/>
        <v>69.554794520548342</v>
      </c>
      <c r="C623" t="str">
        <f t="shared" si="99"/>
        <v>69 y 6.66 m</v>
      </c>
      <c r="D623" s="24">
        <f>IF(A623&gt;=$E$2,IF(A623&lt;$E$2+$H$2,$P$2,0),IF(B623&lt;Dashboard!$I$6,0,IF(A623&gt;=$F$2,Dashboard!$C$22*POWER(1+$C$2,A623-$F$2),Dashboard!$C$22)))</f>
        <v>0</v>
      </c>
      <c r="E623" s="24">
        <f>IF(A623&gt;=$F$2,0,IF(A623=0,Dashboard!$G$10,IF(B623&lt;Dashboard!$I$6,IF($J$2&lt;=Dashboard!$H$10,Dashboard!$H$10,MAX(Dashboard!$H$10,MIN($J$2,Dashboard!$H$10*POWER($J$2/Dashboard!$H$10,A623/$D$2)))),$I$2-D623-Dashboard!$I$10-Dashboard!$J$10-Dashboard!$F$10*$I$2)))</f>
        <v>0</v>
      </c>
      <c r="F623" s="24">
        <f t="shared" si="100"/>
        <v>10250.377318375899</v>
      </c>
      <c r="G623" s="24">
        <f t="shared" si="101"/>
        <v>13801.921669379735</v>
      </c>
      <c r="H623" s="24">
        <f t="shared" si="102"/>
        <v>0</v>
      </c>
      <c r="I623" s="24">
        <f t="shared" si="103"/>
        <v>-13801.921669379735</v>
      </c>
      <c r="J623" s="25">
        <f t="shared" si="104"/>
        <v>7.9741404289037643E-3</v>
      </c>
      <c r="K623" s="24">
        <f t="shared" si="109"/>
        <v>23792249.305560812</v>
      </c>
      <c r="L623" s="24">
        <f t="shared" si="105"/>
        <v>23792249.305560812</v>
      </c>
      <c r="M623" s="24">
        <f t="shared" si="106"/>
        <v>0</v>
      </c>
      <c r="N623" s="24">
        <f>IF(M623&lt;=0,0,IF($E$2-A623&lt;12,(M623-E623)*Dashboard!$B$18,IF($Q$2+A623&gt;=$R$2,MAX(0,M623-E623*POWER(1+$C$2,$E$2-A623))*MAX(Dashboard!$C$18,Dashboard!$B$18),IF($S$2&lt;$R$2,(M623-E623)*0.5*Dashboard!$B$18,(E623*POWER(1+$A$2,$R$2-($Q$2+A623))-E623)*0.5*Dashboard!$B$18+MAX(0,M623-E623*POWER(1+$A$2,$R$2-($Q$2+A623))*POWER(1+$C$2,$S$2-$R$2))*MAX(Dashboard!$C$18,Dashboard!$B$18)))))</f>
        <v>0</v>
      </c>
    </row>
    <row r="624" spans="1:14" x14ac:dyDescent="0.2">
      <c r="A624" s="22">
        <f t="shared" si="107"/>
        <v>619</v>
      </c>
      <c r="B624" s="23">
        <f t="shared" si="108"/>
        <v>69.63812785388167</v>
      </c>
      <c r="C624" t="str">
        <f t="shared" si="99"/>
        <v>69 y 7.66 m</v>
      </c>
      <c r="D624" s="24">
        <f>IF(A624&gt;=$E$2,IF(A624&lt;$E$2+$H$2,$P$2,0),IF(B624&lt;Dashboard!$I$6,0,IF(A624&gt;=$F$2,Dashboard!$C$22*POWER(1+$C$2,A624-$F$2),Dashboard!$C$22)))</f>
        <v>0</v>
      </c>
      <c r="E624" s="24">
        <f>IF(A624&gt;=$F$2,0,IF(A624=0,Dashboard!$G$10,IF(B624&lt;Dashboard!$I$6,IF($J$2&lt;=Dashboard!$H$10,Dashboard!$H$10,MAX(Dashboard!$H$10,MIN($J$2,Dashboard!$H$10*POWER($J$2/Dashboard!$H$10,A624/$D$2)))),$I$2-D624-Dashboard!$I$10-Dashboard!$J$10-Dashboard!$F$10*$I$2)))</f>
        <v>0</v>
      </c>
      <c r="F624" s="24">
        <f t="shared" si="100"/>
        <v>10271.491417355861</v>
      </c>
      <c r="G624" s="24">
        <f t="shared" si="101"/>
        <v>13835.43611220507</v>
      </c>
      <c r="H624" s="24">
        <f t="shared" si="102"/>
        <v>0</v>
      </c>
      <c r="I624" s="24">
        <f t="shared" si="103"/>
        <v>-13835.43611220507</v>
      </c>
      <c r="J624" s="25">
        <f t="shared" si="104"/>
        <v>7.9741404289037643E-3</v>
      </c>
      <c r="K624" s="24">
        <f t="shared" si="109"/>
        <v>23968026.280820183</v>
      </c>
      <c r="L624" s="24">
        <f t="shared" si="105"/>
        <v>23968026.280820183</v>
      </c>
      <c r="M624" s="24">
        <f t="shared" si="106"/>
        <v>0</v>
      </c>
      <c r="N624" s="24">
        <f>IF(M624&lt;=0,0,IF($E$2-A624&lt;12,(M624-E624)*Dashboard!$B$18,IF($Q$2+A624&gt;=$R$2,MAX(0,M624-E624*POWER(1+$C$2,$E$2-A624))*MAX(Dashboard!$C$18,Dashboard!$B$18),IF($S$2&lt;$R$2,(M624-E624)*0.5*Dashboard!$B$18,(E624*POWER(1+$A$2,$R$2-($Q$2+A624))-E624)*0.5*Dashboard!$B$18+MAX(0,M624-E624*POWER(1+$A$2,$R$2-($Q$2+A624))*POWER(1+$C$2,$S$2-$R$2))*MAX(Dashboard!$C$18,Dashboard!$B$18)))))</f>
        <v>0</v>
      </c>
    </row>
    <row r="625" spans="1:14" x14ac:dyDescent="0.2">
      <c r="A625" s="22">
        <f t="shared" si="107"/>
        <v>620</v>
      </c>
      <c r="B625" s="23">
        <f t="shared" si="108"/>
        <v>69.721461187214999</v>
      </c>
      <c r="C625" t="str">
        <f t="shared" si="99"/>
        <v>69 y 8.66 m</v>
      </c>
      <c r="D625" s="24">
        <f>IF(A625&gt;=$E$2,IF(A625&lt;$E$2+$H$2,$P$2,0),IF(B625&lt;Dashboard!$I$6,0,IF(A625&gt;=$F$2,Dashboard!$C$22*POWER(1+$C$2,A625-$F$2),Dashboard!$C$22)))</f>
        <v>0</v>
      </c>
      <c r="E625" s="24">
        <f>IF(A625&gt;=$F$2,0,IF(A625=0,Dashboard!$G$10,IF(B625&lt;Dashboard!$I$6,IF($J$2&lt;=Dashboard!$H$10,Dashboard!$H$10,MAX(Dashboard!$H$10,MIN($J$2,Dashboard!$H$10*POWER($J$2/Dashboard!$H$10,A625/$D$2)))),$I$2-D625-Dashboard!$I$10-Dashboard!$J$10-Dashboard!$F$10*$I$2)))</f>
        <v>0</v>
      </c>
      <c r="F625" s="24">
        <f t="shared" si="100"/>
        <v>10292.64900792271</v>
      </c>
      <c r="G625" s="24">
        <f t="shared" si="101"/>
        <v>13869.019589295307</v>
      </c>
      <c r="H625" s="24">
        <f t="shared" si="102"/>
        <v>0</v>
      </c>
      <c r="I625" s="24">
        <f t="shared" si="103"/>
        <v>-13869.019589295307</v>
      </c>
      <c r="J625" s="25">
        <f t="shared" si="104"/>
        <v>7.9741404289037643E-3</v>
      </c>
      <c r="K625" s="24">
        <f t="shared" si="109"/>
        <v>24145171.075087991</v>
      </c>
      <c r="L625" s="24">
        <f t="shared" si="105"/>
        <v>24145171.075087991</v>
      </c>
      <c r="M625" s="24">
        <f t="shared" si="106"/>
        <v>0</v>
      </c>
      <c r="N625" s="24">
        <f>IF(M625&lt;=0,0,IF($E$2-A625&lt;12,(M625-E625)*Dashboard!$B$18,IF($Q$2+A625&gt;=$R$2,MAX(0,M625-E625*POWER(1+$C$2,$E$2-A625))*MAX(Dashboard!$C$18,Dashboard!$B$18),IF($S$2&lt;$R$2,(M625-E625)*0.5*Dashboard!$B$18,(E625*POWER(1+$A$2,$R$2-($Q$2+A625))-E625)*0.5*Dashboard!$B$18+MAX(0,M625-E625*POWER(1+$A$2,$R$2-($Q$2+A625))*POWER(1+$C$2,$S$2-$R$2))*MAX(Dashboard!$C$18,Dashboard!$B$18)))))</f>
        <v>0</v>
      </c>
    </row>
    <row r="626" spans="1:14" x14ac:dyDescent="0.2">
      <c r="A626" s="22">
        <f t="shared" si="107"/>
        <v>621</v>
      </c>
      <c r="B626" s="23">
        <f t="shared" si="108"/>
        <v>69.804794520548327</v>
      </c>
      <c r="C626" t="str">
        <f t="shared" si="99"/>
        <v>69 y 9.66 m</v>
      </c>
      <c r="D626" s="24">
        <f>IF(A626&gt;=$E$2,IF(A626&lt;$E$2+$H$2,$P$2,0),IF(B626&lt;Dashboard!$I$6,0,IF(A626&gt;=$F$2,Dashboard!$C$22*POWER(1+$C$2,A626-$F$2),Dashboard!$C$22)))</f>
        <v>0</v>
      </c>
      <c r="E626" s="24">
        <f>IF(A626&gt;=$F$2,0,IF(A626=0,Dashboard!$G$10,IF(B626&lt;Dashboard!$I$6,IF($J$2&lt;=Dashboard!$H$10,Dashboard!$H$10,MAX(Dashboard!$H$10,MIN($J$2,Dashboard!$H$10*POWER($J$2/Dashboard!$H$10,A626/$D$2)))),$I$2-D626-Dashboard!$I$10-Dashboard!$J$10-Dashboard!$F$10*$I$2)))</f>
        <v>0</v>
      </c>
      <c r="F626" s="24">
        <f t="shared" si="100"/>
        <v>10313.850179661991</v>
      </c>
      <c r="G626" s="24">
        <f t="shared" si="101"/>
        <v>13902.672242849723</v>
      </c>
      <c r="H626" s="24">
        <f t="shared" si="102"/>
        <v>0</v>
      </c>
      <c r="I626" s="24">
        <f t="shared" si="103"/>
        <v>-13902.672242849723</v>
      </c>
      <c r="J626" s="25">
        <f t="shared" si="104"/>
        <v>7.9741404289037643E-3</v>
      </c>
      <c r="K626" s="24">
        <f t="shared" si="109"/>
        <v>24323694.525816996</v>
      </c>
      <c r="L626" s="24">
        <f t="shared" si="105"/>
        <v>24323694.525816996</v>
      </c>
      <c r="M626" s="24">
        <f t="shared" si="106"/>
        <v>0</v>
      </c>
      <c r="N626" s="24">
        <f>IF(M626&lt;=0,0,IF($E$2-A626&lt;12,(M626-E626)*Dashboard!$B$18,IF($Q$2+A626&gt;=$R$2,MAX(0,M626-E626*POWER(1+$C$2,$E$2-A626))*MAX(Dashboard!$C$18,Dashboard!$B$18),IF($S$2&lt;$R$2,(M626-E626)*0.5*Dashboard!$B$18,(E626*POWER(1+$A$2,$R$2-($Q$2+A626))-E626)*0.5*Dashboard!$B$18+MAX(0,M626-E626*POWER(1+$A$2,$R$2-($Q$2+A626))*POWER(1+$C$2,$S$2-$R$2))*MAX(Dashboard!$C$18,Dashboard!$B$18)))))</f>
        <v>0</v>
      </c>
    </row>
    <row r="627" spans="1:14" x14ac:dyDescent="0.2">
      <c r="A627" s="22">
        <f t="shared" si="107"/>
        <v>622</v>
      </c>
      <c r="B627" s="23">
        <f t="shared" si="108"/>
        <v>69.888127853881656</v>
      </c>
      <c r="C627" t="str">
        <f t="shared" si="99"/>
        <v>69 y 10.66 m</v>
      </c>
      <c r="D627" s="24">
        <f>IF(A627&gt;=$E$2,IF(A627&lt;$E$2+$H$2,$P$2,0),IF(B627&lt;Dashboard!$I$6,0,IF(A627&gt;=$F$2,Dashboard!$C$22*POWER(1+$C$2,A627-$F$2),Dashboard!$C$22)))</f>
        <v>0</v>
      </c>
      <c r="E627" s="24">
        <f>IF(A627&gt;=$F$2,0,IF(A627=0,Dashboard!$G$10,IF(B627&lt;Dashboard!$I$6,IF($J$2&lt;=Dashboard!$H$10,Dashboard!$H$10,MAX(Dashboard!$H$10,MIN($J$2,Dashboard!$H$10*POWER($J$2/Dashboard!$H$10,A627/$D$2)))),$I$2-D627-Dashboard!$I$10-Dashboard!$J$10-Dashboard!$F$10*$I$2)))</f>
        <v>0</v>
      </c>
      <c r="F627" s="24">
        <f t="shared" si="100"/>
        <v>10335.095022343781</v>
      </c>
      <c r="G627" s="24">
        <f t="shared" si="101"/>
        <v>13936.394215360497</v>
      </c>
      <c r="H627" s="24">
        <f t="shared" si="102"/>
        <v>0</v>
      </c>
      <c r="I627" s="24">
        <f t="shared" si="103"/>
        <v>-13936.394215360497</v>
      </c>
      <c r="J627" s="25">
        <f t="shared" si="104"/>
        <v>7.9741404289037643E-3</v>
      </c>
      <c r="K627" s="24">
        <f t="shared" si="109"/>
        <v>24503607.556735713</v>
      </c>
      <c r="L627" s="24">
        <f t="shared" si="105"/>
        <v>24503607.556735713</v>
      </c>
      <c r="M627" s="24">
        <f t="shared" si="106"/>
        <v>0</v>
      </c>
      <c r="N627" s="24">
        <f>IF(M627&lt;=0,0,IF($E$2-A627&lt;12,(M627-E627)*Dashboard!$B$18,IF($Q$2+A627&gt;=$R$2,MAX(0,M627-E627*POWER(1+$C$2,$E$2-A627))*MAX(Dashboard!$C$18,Dashboard!$B$18),IF($S$2&lt;$R$2,(M627-E627)*0.5*Dashboard!$B$18,(E627*POWER(1+$A$2,$R$2-($Q$2+A627))-E627)*0.5*Dashboard!$B$18+MAX(0,M627-E627*POWER(1+$A$2,$R$2-($Q$2+A627))*POWER(1+$C$2,$S$2-$R$2))*MAX(Dashboard!$C$18,Dashboard!$B$18)))))</f>
        <v>0</v>
      </c>
    </row>
    <row r="628" spans="1:14" x14ac:dyDescent="0.2">
      <c r="A628" s="22">
        <f t="shared" si="107"/>
        <v>623</v>
      </c>
      <c r="B628" s="23">
        <f t="shared" si="108"/>
        <v>69.971461187214985</v>
      </c>
      <c r="C628" t="str">
        <f t="shared" si="99"/>
        <v>69 y 11.66 m</v>
      </c>
      <c r="D628" s="24">
        <f>IF(A628&gt;=$E$2,IF(A628&lt;$E$2+$H$2,$P$2,0),IF(B628&lt;Dashboard!$I$6,0,IF(A628&gt;=$F$2,Dashboard!$C$22*POWER(1+$C$2,A628-$F$2),Dashboard!$C$22)))</f>
        <v>0</v>
      </c>
      <c r="E628" s="24">
        <f>IF(A628&gt;=$F$2,0,IF(A628=0,Dashboard!$G$10,IF(B628&lt;Dashboard!$I$6,IF($J$2&lt;=Dashboard!$H$10,Dashboard!$H$10,MAX(Dashboard!$H$10,MIN($J$2,Dashboard!$H$10*POWER($J$2/Dashboard!$H$10,A628/$D$2)))),$I$2-D628-Dashboard!$I$10-Dashboard!$J$10-Dashboard!$F$10*$I$2)))</f>
        <v>0</v>
      </c>
      <c r="F628" s="24">
        <f t="shared" si="100"/>
        <v>10356.383625923076</v>
      </c>
      <c r="G628" s="24">
        <f t="shared" si="101"/>
        <v>13970.185649613348</v>
      </c>
      <c r="H628" s="24">
        <f t="shared" si="102"/>
        <v>0</v>
      </c>
      <c r="I628" s="24">
        <f t="shared" si="103"/>
        <v>-13970.185649613348</v>
      </c>
      <c r="J628" s="25">
        <f t="shared" si="104"/>
        <v>7.9741404289037643E-3</v>
      </c>
      <c r="K628" s="24">
        <f t="shared" si="109"/>
        <v>24684921.178536069</v>
      </c>
      <c r="L628" s="24">
        <f t="shared" si="105"/>
        <v>24684921.178536069</v>
      </c>
      <c r="M628" s="24">
        <f t="shared" si="106"/>
        <v>0</v>
      </c>
      <c r="N628" s="24">
        <f>IF(M628&lt;=0,0,IF($E$2-A628&lt;12,(M628-E628)*Dashboard!$B$18,IF($Q$2+A628&gt;=$R$2,MAX(0,M628-E628*POWER(1+$C$2,$E$2-A628))*MAX(Dashboard!$C$18,Dashboard!$B$18),IF($S$2&lt;$R$2,(M628-E628)*0.5*Dashboard!$B$18,(E628*POWER(1+$A$2,$R$2-($Q$2+A628))-E628)*0.5*Dashboard!$B$18+MAX(0,M628-E628*POWER(1+$A$2,$R$2-($Q$2+A628))*POWER(1+$C$2,$S$2-$R$2))*MAX(Dashboard!$C$18,Dashboard!$B$18)))))</f>
        <v>0</v>
      </c>
    </row>
    <row r="629" spans="1:14" x14ac:dyDescent="0.2">
      <c r="A629" s="22">
        <f t="shared" si="107"/>
        <v>624</v>
      </c>
      <c r="B629" s="23">
        <f t="shared" si="108"/>
        <v>70.054794520548313</v>
      </c>
      <c r="C629" t="str">
        <f t="shared" si="99"/>
        <v>70 y 0.66 m</v>
      </c>
      <c r="D629" s="24">
        <f>IF(A629&gt;=$E$2,IF(A629&lt;$E$2+$H$2,$P$2,0),IF(B629&lt;Dashboard!$I$6,0,IF(A629&gt;=$F$2,Dashboard!$C$22*POWER(1+$C$2,A629-$F$2),Dashboard!$C$22)))</f>
        <v>0</v>
      </c>
      <c r="E629" s="24">
        <f>IF(A629&gt;=$F$2,0,IF(A629=0,Dashboard!$G$10,IF(B629&lt;Dashboard!$I$6,IF($J$2&lt;=Dashboard!$H$10,Dashboard!$H$10,MAX(Dashboard!$H$10,MIN($J$2,Dashboard!$H$10*POWER($J$2/Dashboard!$H$10,A629/$D$2)))),$I$2-D629-Dashboard!$I$10-Dashboard!$J$10-Dashboard!$F$10*$I$2)))</f>
        <v>0</v>
      </c>
      <c r="F629" s="24">
        <f t="shared" si="100"/>
        <v>10377.716080540158</v>
      </c>
      <c r="G629" s="24">
        <f t="shared" si="101"/>
        <v>14004.046688688082</v>
      </c>
      <c r="H629" s="24">
        <f t="shared" si="102"/>
        <v>0</v>
      </c>
      <c r="I629" s="24">
        <f t="shared" si="103"/>
        <v>-14004.046688688082</v>
      </c>
      <c r="J629" s="25">
        <f t="shared" si="104"/>
        <v>7.9741404289037643E-3</v>
      </c>
      <c r="K629" s="24">
        <f t="shared" si="109"/>
        <v>24867646.489566579</v>
      </c>
      <c r="L629" s="24">
        <f t="shared" si="105"/>
        <v>24867646.489566579</v>
      </c>
      <c r="M629" s="24">
        <f t="shared" si="106"/>
        <v>0</v>
      </c>
      <c r="N629" s="24">
        <f>IF(M629&lt;=0,0,IF($E$2-A629&lt;12,(M629-E629)*Dashboard!$B$18,IF($Q$2+A629&gt;=$R$2,MAX(0,M629-E629*POWER(1+$C$2,$E$2-A629))*MAX(Dashboard!$C$18,Dashboard!$B$18),IF($S$2&lt;$R$2,(M629-E629)*0.5*Dashboard!$B$18,(E629*POWER(1+$A$2,$R$2-($Q$2+A629))-E629)*0.5*Dashboard!$B$18+MAX(0,M629-E629*POWER(1+$A$2,$R$2-($Q$2+A629))*POWER(1+$C$2,$S$2-$R$2))*MAX(Dashboard!$C$18,Dashboard!$B$18)))))</f>
        <v>0</v>
      </c>
    </row>
    <row r="630" spans="1:14" x14ac:dyDescent="0.2">
      <c r="A630" s="22">
        <f t="shared" si="107"/>
        <v>625</v>
      </c>
      <c r="B630" s="23">
        <f t="shared" si="108"/>
        <v>70.138127853881642</v>
      </c>
      <c r="C630" t="str">
        <f t="shared" si="99"/>
        <v>70 y 1.66 m</v>
      </c>
      <c r="D630" s="24">
        <f>IF(A630&gt;=$E$2,IF(A630&lt;$E$2+$H$2,$P$2,0),IF(B630&lt;Dashboard!$I$6,0,IF(A630&gt;=$F$2,Dashboard!$C$22*POWER(1+$C$2,A630-$F$2),Dashboard!$C$22)))</f>
        <v>0</v>
      </c>
      <c r="E630" s="24">
        <f>IF(A630&gt;=$F$2,0,IF(A630=0,Dashboard!$G$10,IF(B630&lt;Dashboard!$I$6,IF($J$2&lt;=Dashboard!$H$10,Dashboard!$H$10,MAX(Dashboard!$H$10,MIN($J$2,Dashboard!$H$10*POWER($J$2/Dashboard!$H$10,A630/$D$2)))),$I$2-D630-Dashboard!$I$10-Dashboard!$J$10-Dashboard!$F$10*$I$2)))</f>
        <v>0</v>
      </c>
      <c r="F630" s="24">
        <f t="shared" si="100"/>
        <v>10399.092476520986</v>
      </c>
      <c r="G630" s="24">
        <f t="shared" si="101"/>
        <v>14037.977475959235</v>
      </c>
      <c r="H630" s="24">
        <f t="shared" si="102"/>
        <v>0</v>
      </c>
      <c r="I630" s="24">
        <f t="shared" si="103"/>
        <v>-14037.977475959235</v>
      </c>
      <c r="J630" s="25">
        <f t="shared" si="104"/>
        <v>7.9741404289037643E-3</v>
      </c>
      <c r="K630" s="24">
        <f t="shared" si="109"/>
        <v>25051794.676531028</v>
      </c>
      <c r="L630" s="24">
        <f t="shared" si="105"/>
        <v>25051794.676531028</v>
      </c>
      <c r="M630" s="24">
        <f t="shared" si="106"/>
        <v>0</v>
      </c>
      <c r="N630" s="24">
        <f>IF(M630&lt;=0,0,IF($E$2-A630&lt;12,(M630-E630)*Dashboard!$B$18,IF($Q$2+A630&gt;=$R$2,MAX(0,M630-E630*POWER(1+$C$2,$E$2-A630))*MAX(Dashboard!$C$18,Dashboard!$B$18),IF($S$2&lt;$R$2,(M630-E630)*0.5*Dashboard!$B$18,(E630*POWER(1+$A$2,$R$2-($Q$2+A630))-E630)*0.5*Dashboard!$B$18+MAX(0,M630-E630*POWER(1+$A$2,$R$2-($Q$2+A630))*POWER(1+$C$2,$S$2-$R$2))*MAX(Dashboard!$C$18,Dashboard!$B$18)))))</f>
        <v>0</v>
      </c>
    </row>
    <row r="631" spans="1:14" x14ac:dyDescent="0.2">
      <c r="A631" s="22">
        <f t="shared" si="107"/>
        <v>626</v>
      </c>
      <c r="B631" s="23">
        <f t="shared" si="108"/>
        <v>70.22146118721497</v>
      </c>
      <c r="C631" t="str">
        <f t="shared" si="99"/>
        <v>70 y 2.66 m</v>
      </c>
      <c r="D631" s="24">
        <f>IF(A631&gt;=$E$2,IF(A631&lt;$E$2+$H$2,$P$2,0),IF(B631&lt;Dashboard!$I$6,0,IF(A631&gt;=$F$2,Dashboard!$C$22*POWER(1+$C$2,A631-$F$2),Dashboard!$C$22)))</f>
        <v>0</v>
      </c>
      <c r="E631" s="24">
        <f>IF(A631&gt;=$F$2,0,IF(A631=0,Dashboard!$G$10,IF(B631&lt;Dashboard!$I$6,IF($J$2&lt;=Dashboard!$H$10,Dashboard!$H$10,MAX(Dashboard!$H$10,MIN($J$2,Dashboard!$H$10*POWER($J$2/Dashboard!$H$10,A631/$D$2)))),$I$2-D631-Dashboard!$I$10-Dashboard!$J$10-Dashboard!$F$10*$I$2)))</f>
        <v>0</v>
      </c>
      <c r="F631" s="24">
        <f t="shared" si="100"/>
        <v>10420.512904377571</v>
      </c>
      <c r="G631" s="24">
        <f t="shared" si="101"/>
        <v>14071.978155096673</v>
      </c>
      <c r="H631" s="24">
        <f t="shared" si="102"/>
        <v>0</v>
      </c>
      <c r="I631" s="24">
        <f t="shared" si="103"/>
        <v>-14071.978155096673</v>
      </c>
      <c r="J631" s="25">
        <f t="shared" si="104"/>
        <v>7.9741404289037643E-3</v>
      </c>
      <c r="K631" s="24">
        <f t="shared" si="109"/>
        <v>25237377.015192732</v>
      </c>
      <c r="L631" s="24">
        <f t="shared" si="105"/>
        <v>25237377.015192732</v>
      </c>
      <c r="M631" s="24">
        <f t="shared" si="106"/>
        <v>0</v>
      </c>
      <c r="N631" s="24">
        <f>IF(M631&lt;=0,0,IF($E$2-A631&lt;12,(M631-E631)*Dashboard!$B$18,IF($Q$2+A631&gt;=$R$2,MAX(0,M631-E631*POWER(1+$C$2,$E$2-A631))*MAX(Dashboard!$C$18,Dashboard!$B$18),IF($S$2&lt;$R$2,(M631-E631)*0.5*Dashboard!$B$18,(E631*POWER(1+$A$2,$R$2-($Q$2+A631))-E631)*0.5*Dashboard!$B$18+MAX(0,M631-E631*POWER(1+$A$2,$R$2-($Q$2+A631))*POWER(1+$C$2,$S$2-$R$2))*MAX(Dashboard!$C$18,Dashboard!$B$18)))))</f>
        <v>0</v>
      </c>
    </row>
    <row r="632" spans="1:14" x14ac:dyDescent="0.2">
      <c r="A632" s="22">
        <f t="shared" si="107"/>
        <v>627</v>
      </c>
      <c r="B632" s="23">
        <f t="shared" si="108"/>
        <v>70.304794520548299</v>
      </c>
      <c r="C632" t="str">
        <f t="shared" si="99"/>
        <v>70 y 3.66 m</v>
      </c>
      <c r="D632" s="24">
        <f>IF(A632&gt;=$E$2,IF(A632&lt;$E$2+$H$2,$P$2,0),IF(B632&lt;Dashboard!$I$6,0,IF(A632&gt;=$F$2,Dashboard!$C$22*POWER(1+$C$2,A632-$F$2),Dashboard!$C$22)))</f>
        <v>0</v>
      </c>
      <c r="E632" s="24">
        <f>IF(A632&gt;=$F$2,0,IF(A632=0,Dashboard!$G$10,IF(B632&lt;Dashboard!$I$6,IF($J$2&lt;=Dashboard!$H$10,Dashboard!$H$10,MAX(Dashboard!$H$10,MIN($J$2,Dashboard!$H$10*POWER($J$2/Dashboard!$H$10,A632/$D$2)))),$I$2-D632-Dashboard!$I$10-Dashboard!$J$10-Dashboard!$F$10*$I$2)))</f>
        <v>0</v>
      </c>
      <c r="F632" s="24">
        <f t="shared" si="100"/>
        <v>10441.977454808375</v>
      </c>
      <c r="G632" s="24">
        <f t="shared" si="101"/>
        <v>14106.048870066204</v>
      </c>
      <c r="H632" s="24">
        <f t="shared" si="102"/>
        <v>0</v>
      </c>
      <c r="I632" s="24">
        <f t="shared" si="103"/>
        <v>-14106.048870066204</v>
      </c>
      <c r="J632" s="25">
        <f t="shared" si="104"/>
        <v>7.9741404289037643E-3</v>
      </c>
      <c r="K632" s="24">
        <f t="shared" si="109"/>
        <v>25424404.871084411</v>
      </c>
      <c r="L632" s="24">
        <f t="shared" si="105"/>
        <v>25424404.871084411</v>
      </c>
      <c r="M632" s="24">
        <f t="shared" si="106"/>
        <v>0</v>
      </c>
      <c r="N632" s="24">
        <f>IF(M632&lt;=0,0,IF($E$2-A632&lt;12,(M632-E632)*Dashboard!$B$18,IF($Q$2+A632&gt;=$R$2,MAX(0,M632-E632*POWER(1+$C$2,$E$2-A632))*MAX(Dashboard!$C$18,Dashboard!$B$18),IF($S$2&lt;$R$2,(M632-E632)*0.5*Dashboard!$B$18,(E632*POWER(1+$A$2,$R$2-($Q$2+A632))-E632)*0.5*Dashboard!$B$18+MAX(0,M632-E632*POWER(1+$A$2,$R$2-($Q$2+A632))*POWER(1+$C$2,$S$2-$R$2))*MAX(Dashboard!$C$18,Dashboard!$B$18)))))</f>
        <v>0</v>
      </c>
    </row>
    <row r="633" spans="1:14" x14ac:dyDescent="0.2">
      <c r="A633" s="22">
        <f t="shared" si="107"/>
        <v>628</v>
      </c>
      <c r="B633" s="23">
        <f t="shared" si="108"/>
        <v>70.388127853881628</v>
      </c>
      <c r="C633" t="str">
        <f t="shared" si="99"/>
        <v>70 y 4.66 m</v>
      </c>
      <c r="D633" s="24">
        <f>IF(A633&gt;=$E$2,IF(A633&lt;$E$2+$H$2,$P$2,0),IF(B633&lt;Dashboard!$I$6,0,IF(A633&gt;=$F$2,Dashboard!$C$22*POWER(1+$C$2,A633-$F$2),Dashboard!$C$22)))</f>
        <v>0</v>
      </c>
      <c r="E633" s="24">
        <f>IF(A633&gt;=$F$2,0,IF(A633=0,Dashboard!$G$10,IF(B633&lt;Dashboard!$I$6,IF($J$2&lt;=Dashboard!$H$10,Dashboard!$H$10,MAX(Dashboard!$H$10,MIN($J$2,Dashboard!$H$10*POWER($J$2/Dashboard!$H$10,A633/$D$2)))),$I$2-D633-Dashboard!$I$10-Dashboard!$J$10-Dashboard!$F$10*$I$2)))</f>
        <v>0</v>
      </c>
      <c r="F633" s="24">
        <f t="shared" si="100"/>
        <v>10463.486218698667</v>
      </c>
      <c r="G633" s="24">
        <f t="shared" si="101"/>
        <v>14140.189765130161</v>
      </c>
      <c r="H633" s="24">
        <f t="shared" si="102"/>
        <v>0</v>
      </c>
      <c r="I633" s="24">
        <f t="shared" si="103"/>
        <v>-14140.189765130161</v>
      </c>
      <c r="J633" s="25">
        <f t="shared" si="104"/>
        <v>7.9741404289037643E-3</v>
      </c>
      <c r="K633" s="24">
        <f t="shared" si="109"/>
        <v>25612889.700223736</v>
      </c>
      <c r="L633" s="24">
        <f t="shared" si="105"/>
        <v>25612889.700223736</v>
      </c>
      <c r="M633" s="24">
        <f t="shared" si="106"/>
        <v>0</v>
      </c>
      <c r="N633" s="24">
        <f>IF(M633&lt;=0,0,IF($E$2-A633&lt;12,(M633-E633)*Dashboard!$B$18,IF($Q$2+A633&gt;=$R$2,MAX(0,M633-E633*POWER(1+$C$2,$E$2-A633))*MAX(Dashboard!$C$18,Dashboard!$B$18),IF($S$2&lt;$R$2,(M633-E633)*0.5*Dashboard!$B$18,(E633*POWER(1+$A$2,$R$2-($Q$2+A633))-E633)*0.5*Dashboard!$B$18+MAX(0,M633-E633*POWER(1+$A$2,$R$2-($Q$2+A633))*POWER(1+$C$2,$S$2-$R$2))*MAX(Dashboard!$C$18,Dashboard!$B$18)))))</f>
        <v>0</v>
      </c>
    </row>
    <row r="634" spans="1:14" x14ac:dyDescent="0.2">
      <c r="A634" s="22">
        <f t="shared" si="107"/>
        <v>629</v>
      </c>
      <c r="B634" s="23">
        <f t="shared" si="108"/>
        <v>70.471461187214956</v>
      </c>
      <c r="C634" t="str">
        <f t="shared" si="99"/>
        <v>70 y 5.66 m</v>
      </c>
      <c r="D634" s="24">
        <f>IF(A634&gt;=$E$2,IF(A634&lt;$E$2+$H$2,$P$2,0),IF(B634&lt;Dashboard!$I$6,0,IF(A634&gt;=$F$2,Dashboard!$C$22*POWER(1+$C$2,A634-$F$2),Dashboard!$C$22)))</f>
        <v>0</v>
      </c>
      <c r="E634" s="24">
        <f>IF(A634&gt;=$F$2,0,IF(A634=0,Dashboard!$G$10,IF(B634&lt;Dashboard!$I$6,IF($J$2&lt;=Dashboard!$H$10,Dashboard!$H$10,MAX(Dashboard!$H$10,MIN($J$2,Dashboard!$H$10*POWER($J$2/Dashboard!$H$10,A634/$D$2)))),$I$2-D634-Dashboard!$I$10-Dashboard!$J$10-Dashboard!$F$10*$I$2)))</f>
        <v>0</v>
      </c>
      <c r="F634" s="24">
        <f t="shared" si="100"/>
        <v>10485.039287120942</v>
      </c>
      <c r="G634" s="24">
        <f t="shared" si="101"/>
        <v>14174.400984848058</v>
      </c>
      <c r="H634" s="24">
        <f t="shared" si="102"/>
        <v>0</v>
      </c>
      <c r="I634" s="24">
        <f t="shared" si="103"/>
        <v>-14174.400984848058</v>
      </c>
      <c r="J634" s="25">
        <f t="shared" si="104"/>
        <v>7.9741404289037643E-3</v>
      </c>
      <c r="K634" s="24">
        <f t="shared" si="109"/>
        <v>25802843.049834546</v>
      </c>
      <c r="L634" s="24">
        <f t="shared" si="105"/>
        <v>25802843.049834546</v>
      </c>
      <c r="M634" s="24">
        <f t="shared" si="106"/>
        <v>0</v>
      </c>
      <c r="N634" s="24">
        <f>IF(M634&lt;=0,0,IF($E$2-A634&lt;12,(M634-E634)*Dashboard!$B$18,IF($Q$2+A634&gt;=$R$2,MAX(0,M634-E634*POWER(1+$C$2,$E$2-A634))*MAX(Dashboard!$C$18,Dashboard!$B$18),IF($S$2&lt;$R$2,(M634-E634)*0.5*Dashboard!$B$18,(E634*POWER(1+$A$2,$R$2-($Q$2+A634))-E634)*0.5*Dashboard!$B$18+MAX(0,M634-E634*POWER(1+$A$2,$R$2-($Q$2+A634))*POWER(1+$C$2,$S$2-$R$2))*MAX(Dashboard!$C$18,Dashboard!$B$18)))))</f>
        <v>0</v>
      </c>
    </row>
    <row r="635" spans="1:14" x14ac:dyDescent="0.2">
      <c r="A635" s="22">
        <f t="shared" si="107"/>
        <v>630</v>
      </c>
      <c r="B635" s="23">
        <f t="shared" si="108"/>
        <v>70.554794520548285</v>
      </c>
      <c r="C635" t="str">
        <f t="shared" si="99"/>
        <v>70 y 6.66 m</v>
      </c>
      <c r="D635" s="24">
        <f>IF(A635&gt;=$E$2,IF(A635&lt;$E$2+$H$2,$P$2,0),IF(B635&lt;Dashboard!$I$6,0,IF(A635&gt;=$F$2,Dashboard!$C$22*POWER(1+$C$2,A635-$F$2),Dashboard!$C$22)))</f>
        <v>0</v>
      </c>
      <c r="E635" s="24">
        <f>IF(A635&gt;=$F$2,0,IF(A635=0,Dashboard!$G$10,IF(B635&lt;Dashboard!$I$6,IF($J$2&lt;=Dashboard!$H$10,Dashboard!$H$10,MAX(Dashboard!$H$10,MIN($J$2,Dashboard!$H$10*POWER($J$2/Dashboard!$H$10,A635/$D$2)))),$I$2-D635-Dashboard!$I$10-Dashboard!$J$10-Dashboard!$F$10*$I$2)))</f>
        <v>0</v>
      </c>
      <c r="F635" s="24">
        <f t="shared" si="100"/>
        <v>10506.636751335282</v>
      </c>
      <c r="G635" s="24">
        <f t="shared" si="101"/>
        <v>14208.682674077167</v>
      </c>
      <c r="H635" s="24">
        <f t="shared" si="102"/>
        <v>0</v>
      </c>
      <c r="I635" s="24">
        <f t="shared" si="103"/>
        <v>-14208.682674077167</v>
      </c>
      <c r="J635" s="25">
        <f t="shared" si="104"/>
        <v>7.9741404289037643E-3</v>
      </c>
      <c r="K635" s="24">
        <f t="shared" si="109"/>
        <v>25994276.559073862</v>
      </c>
      <c r="L635" s="24">
        <f t="shared" si="105"/>
        <v>25994276.559073862</v>
      </c>
      <c r="M635" s="24">
        <f t="shared" si="106"/>
        <v>0</v>
      </c>
      <c r="N635" s="24">
        <f>IF(M635&lt;=0,0,IF($E$2-A635&lt;12,(M635-E635)*Dashboard!$B$18,IF($Q$2+A635&gt;=$R$2,MAX(0,M635-E635*POWER(1+$C$2,$E$2-A635))*MAX(Dashboard!$C$18,Dashboard!$B$18),IF($S$2&lt;$R$2,(M635-E635)*0.5*Dashboard!$B$18,(E635*POWER(1+$A$2,$R$2-($Q$2+A635))-E635)*0.5*Dashboard!$B$18+MAX(0,M635-E635*POWER(1+$A$2,$R$2-($Q$2+A635))*POWER(1+$C$2,$S$2-$R$2))*MAX(Dashboard!$C$18,Dashboard!$B$18)))))</f>
        <v>0</v>
      </c>
    </row>
    <row r="636" spans="1:14" x14ac:dyDescent="0.2">
      <c r="A636" s="22">
        <f t="shared" si="107"/>
        <v>631</v>
      </c>
      <c r="B636" s="23">
        <f t="shared" si="108"/>
        <v>70.638127853881613</v>
      </c>
      <c r="C636" t="str">
        <f t="shared" si="99"/>
        <v>70 y 7.66 m</v>
      </c>
      <c r="D636" s="24">
        <f>IF(A636&gt;=$E$2,IF(A636&lt;$E$2+$H$2,$P$2,0),IF(B636&lt;Dashboard!$I$6,0,IF(A636&gt;=$F$2,Dashboard!$C$22*POWER(1+$C$2,A636-$F$2),Dashboard!$C$22)))</f>
        <v>0</v>
      </c>
      <c r="E636" s="24">
        <f>IF(A636&gt;=$F$2,0,IF(A636=0,Dashboard!$G$10,IF(B636&lt;Dashboard!$I$6,IF($J$2&lt;=Dashboard!$H$10,Dashboard!$H$10,MAX(Dashboard!$H$10,MIN($J$2,Dashboard!$H$10*POWER($J$2/Dashboard!$H$10,A636/$D$2)))),$I$2-D636-Dashboard!$I$10-Dashboard!$J$10-Dashboard!$F$10*$I$2)))</f>
        <v>0</v>
      </c>
      <c r="F636" s="24">
        <f t="shared" si="100"/>
        <v>10528.278702789745</v>
      </c>
      <c r="G636" s="24">
        <f t="shared" si="101"/>
        <v>14243.03497797314</v>
      </c>
      <c r="H636" s="24">
        <f t="shared" si="102"/>
        <v>0</v>
      </c>
      <c r="I636" s="24">
        <f t="shared" si="103"/>
        <v>-14243.03497797314</v>
      </c>
      <c r="J636" s="25">
        <f t="shared" si="104"/>
        <v>7.9741404289037643E-3</v>
      </c>
      <c r="K636" s="24">
        <f t="shared" si="109"/>
        <v>26187201.959764656</v>
      </c>
      <c r="L636" s="24">
        <f t="shared" si="105"/>
        <v>26187201.959764656</v>
      </c>
      <c r="M636" s="24">
        <f t="shared" si="106"/>
        <v>0</v>
      </c>
      <c r="N636" s="24">
        <f>IF(M636&lt;=0,0,IF($E$2-A636&lt;12,(M636-E636)*Dashboard!$B$18,IF($Q$2+A636&gt;=$R$2,MAX(0,M636-E636*POWER(1+$C$2,$E$2-A636))*MAX(Dashboard!$C$18,Dashboard!$B$18),IF($S$2&lt;$R$2,(M636-E636)*0.5*Dashboard!$B$18,(E636*POWER(1+$A$2,$R$2-($Q$2+A636))-E636)*0.5*Dashboard!$B$18+MAX(0,M636-E636*POWER(1+$A$2,$R$2-($Q$2+A636))*POWER(1+$C$2,$S$2-$R$2))*MAX(Dashboard!$C$18,Dashboard!$B$18)))))</f>
        <v>0</v>
      </c>
    </row>
    <row r="637" spans="1:14" x14ac:dyDescent="0.2">
      <c r="A637" s="22">
        <f t="shared" si="107"/>
        <v>632</v>
      </c>
      <c r="B637" s="23">
        <f t="shared" si="108"/>
        <v>70.721461187214942</v>
      </c>
      <c r="C637" t="str">
        <f t="shared" si="99"/>
        <v>70 y 8.66 m</v>
      </c>
      <c r="D637" s="24">
        <f>IF(A637&gt;=$E$2,IF(A637&lt;$E$2+$H$2,$P$2,0),IF(B637&lt;Dashboard!$I$6,0,IF(A637&gt;=$F$2,Dashboard!$C$22*POWER(1+$C$2,A637-$F$2),Dashboard!$C$22)))</f>
        <v>0</v>
      </c>
      <c r="E637" s="24">
        <f>IF(A637&gt;=$F$2,0,IF(A637=0,Dashboard!$G$10,IF(B637&lt;Dashboard!$I$6,IF($J$2&lt;=Dashboard!$H$10,Dashboard!$H$10,MAX(Dashboard!$H$10,MIN($J$2,Dashboard!$H$10*POWER($J$2/Dashboard!$H$10,A637/$D$2)))),$I$2-D637-Dashboard!$I$10-Dashboard!$J$10-Dashboard!$F$10*$I$2)))</f>
        <v>0</v>
      </c>
      <c r="F637" s="24">
        <f t="shared" si="100"/>
        <v>10549.965233120764</v>
      </c>
      <c r="G637" s="24">
        <f t="shared" si="101"/>
        <v>14277.458041990632</v>
      </c>
      <c r="H637" s="24">
        <f t="shared" si="102"/>
        <v>0</v>
      </c>
      <c r="I637" s="24">
        <f t="shared" si="103"/>
        <v>-14277.458041990632</v>
      </c>
      <c r="J637" s="25">
        <f t="shared" si="104"/>
        <v>7.9741404289037643E-3</v>
      </c>
      <c r="K637" s="24">
        <f t="shared" si="109"/>
        <v>26381631.077134497</v>
      </c>
      <c r="L637" s="24">
        <f t="shared" si="105"/>
        <v>26381631.077134497</v>
      </c>
      <c r="M637" s="24">
        <f t="shared" si="106"/>
        <v>0</v>
      </c>
      <c r="N637" s="24">
        <f>IF(M637&lt;=0,0,IF($E$2-A637&lt;12,(M637-E637)*Dashboard!$B$18,IF($Q$2+A637&gt;=$R$2,MAX(0,M637-E637*POWER(1+$C$2,$E$2-A637))*MAX(Dashboard!$C$18,Dashboard!$B$18),IF($S$2&lt;$R$2,(M637-E637)*0.5*Dashboard!$B$18,(E637*POWER(1+$A$2,$R$2-($Q$2+A637))-E637)*0.5*Dashboard!$B$18+MAX(0,M637-E637*POWER(1+$A$2,$R$2-($Q$2+A637))*POWER(1+$C$2,$S$2-$R$2))*MAX(Dashboard!$C$18,Dashboard!$B$18)))))</f>
        <v>0</v>
      </c>
    </row>
    <row r="638" spans="1:14" x14ac:dyDescent="0.2">
      <c r="A638" s="22">
        <f t="shared" si="107"/>
        <v>633</v>
      </c>
      <c r="B638" s="23">
        <f t="shared" si="108"/>
        <v>70.80479452054827</v>
      </c>
      <c r="C638" t="str">
        <f t="shared" si="99"/>
        <v>70 y 9.66 m</v>
      </c>
      <c r="D638" s="24">
        <f>IF(A638&gt;=$E$2,IF(A638&lt;$E$2+$H$2,$P$2,0),IF(B638&lt;Dashboard!$I$6,0,IF(A638&gt;=$F$2,Dashboard!$C$22*POWER(1+$C$2,A638-$F$2),Dashboard!$C$22)))</f>
        <v>0</v>
      </c>
      <c r="E638" s="24">
        <f>IF(A638&gt;=$F$2,0,IF(A638=0,Dashboard!$G$10,IF(B638&lt;Dashboard!$I$6,IF($J$2&lt;=Dashboard!$H$10,Dashboard!$H$10,MAX(Dashboard!$H$10,MIN($J$2,Dashboard!$H$10*POWER($J$2/Dashboard!$H$10,A638/$D$2)))),$I$2-D638-Dashboard!$I$10-Dashboard!$J$10-Dashboard!$F$10*$I$2)))</f>
        <v>0</v>
      </c>
      <c r="F638" s="24">
        <f t="shared" si="100"/>
        <v>10571.696434153524</v>
      </c>
      <c r="G638" s="24">
        <f t="shared" si="101"/>
        <v>14311.952011883899</v>
      </c>
      <c r="H638" s="24">
        <f t="shared" si="102"/>
        <v>0</v>
      </c>
      <c r="I638" s="24">
        <f t="shared" si="103"/>
        <v>-14311.952011883899</v>
      </c>
      <c r="J638" s="25">
        <f t="shared" si="104"/>
        <v>7.9741404289037643E-3</v>
      </c>
      <c r="K638" s="24">
        <f t="shared" si="109"/>
        <v>26577575.830560062</v>
      </c>
      <c r="L638" s="24">
        <f t="shared" si="105"/>
        <v>26577575.830560062</v>
      </c>
      <c r="M638" s="24">
        <f t="shared" si="106"/>
        <v>0</v>
      </c>
      <c r="N638" s="24">
        <f>IF(M638&lt;=0,0,IF($E$2-A638&lt;12,(M638-E638)*Dashboard!$B$18,IF($Q$2+A638&gt;=$R$2,MAX(0,M638-E638*POWER(1+$C$2,$E$2-A638))*MAX(Dashboard!$C$18,Dashboard!$B$18),IF($S$2&lt;$R$2,(M638-E638)*0.5*Dashboard!$B$18,(E638*POWER(1+$A$2,$R$2-($Q$2+A638))-E638)*0.5*Dashboard!$B$18+MAX(0,M638-E638*POWER(1+$A$2,$R$2-($Q$2+A638))*POWER(1+$C$2,$S$2-$R$2))*MAX(Dashboard!$C$18,Dashboard!$B$18)))))</f>
        <v>0</v>
      </c>
    </row>
    <row r="639" spans="1:14" x14ac:dyDescent="0.2">
      <c r="A639" s="22">
        <f t="shared" si="107"/>
        <v>634</v>
      </c>
      <c r="B639" s="23">
        <f t="shared" si="108"/>
        <v>70.888127853881599</v>
      </c>
      <c r="C639" t="str">
        <f t="shared" si="99"/>
        <v>70 y 10.66 m</v>
      </c>
      <c r="D639" s="24">
        <f>IF(A639&gt;=$E$2,IF(A639&lt;$E$2+$H$2,$P$2,0),IF(B639&lt;Dashboard!$I$6,0,IF(A639&gt;=$F$2,Dashboard!$C$22*POWER(1+$C$2,A639-$F$2),Dashboard!$C$22)))</f>
        <v>0</v>
      </c>
      <c r="E639" s="24">
        <f>IF(A639&gt;=$F$2,0,IF(A639=0,Dashboard!$G$10,IF(B639&lt;Dashboard!$I$6,IF($J$2&lt;=Dashboard!$H$10,Dashboard!$H$10,MAX(Dashboard!$H$10,MIN($J$2,Dashboard!$H$10*POWER($J$2/Dashboard!$H$10,A639/$D$2)))),$I$2-D639-Dashboard!$I$10-Dashboard!$J$10-Dashboard!$F$10*$I$2)))</f>
        <v>0</v>
      </c>
      <c r="F639" s="24">
        <f t="shared" si="100"/>
        <v>10593.472397902362</v>
      </c>
      <c r="G639" s="24">
        <f t="shared" si="101"/>
        <v>14346.517033707452</v>
      </c>
      <c r="H639" s="24">
        <f t="shared" si="102"/>
        <v>0</v>
      </c>
      <c r="I639" s="24">
        <f t="shared" si="103"/>
        <v>-14346.517033707452</v>
      </c>
      <c r="J639" s="25">
        <f t="shared" si="104"/>
        <v>7.9741404289037643E-3</v>
      </c>
      <c r="K639" s="24">
        <f t="shared" si="109"/>
        <v>26775048.234317586</v>
      </c>
      <c r="L639" s="24">
        <f t="shared" si="105"/>
        <v>26775048.234317586</v>
      </c>
      <c r="M639" s="24">
        <f t="shared" si="106"/>
        <v>0</v>
      </c>
      <c r="N639" s="24">
        <f>IF(M639&lt;=0,0,IF($E$2-A639&lt;12,(M639-E639)*Dashboard!$B$18,IF($Q$2+A639&gt;=$R$2,MAX(0,M639-E639*POWER(1+$C$2,$E$2-A639))*MAX(Dashboard!$C$18,Dashboard!$B$18),IF($S$2&lt;$R$2,(M639-E639)*0.5*Dashboard!$B$18,(E639*POWER(1+$A$2,$R$2-($Q$2+A639))-E639)*0.5*Dashboard!$B$18+MAX(0,M639-E639*POWER(1+$A$2,$R$2-($Q$2+A639))*POWER(1+$C$2,$S$2-$R$2))*MAX(Dashboard!$C$18,Dashboard!$B$18)))))</f>
        <v>0</v>
      </c>
    </row>
    <row r="640" spans="1:14" x14ac:dyDescent="0.2">
      <c r="A640" s="22">
        <f t="shared" si="107"/>
        <v>635</v>
      </c>
      <c r="B640" s="23">
        <f t="shared" si="108"/>
        <v>70.971461187214928</v>
      </c>
      <c r="C640" t="str">
        <f t="shared" si="99"/>
        <v>70 y 11.66 m</v>
      </c>
      <c r="D640" s="24">
        <f>IF(A640&gt;=$E$2,IF(A640&lt;$E$2+$H$2,$P$2,0),IF(B640&lt;Dashboard!$I$6,0,IF(A640&gt;=$F$2,Dashboard!$C$22*POWER(1+$C$2,A640-$F$2),Dashboard!$C$22)))</f>
        <v>0</v>
      </c>
      <c r="E640" s="24">
        <f>IF(A640&gt;=$F$2,0,IF(A640=0,Dashboard!$G$10,IF(B640&lt;Dashboard!$I$6,IF($J$2&lt;=Dashboard!$H$10,Dashboard!$H$10,MAX(Dashboard!$H$10,MIN($J$2,Dashboard!$H$10*POWER($J$2/Dashboard!$H$10,A640/$D$2)))),$I$2-D640-Dashboard!$I$10-Dashboard!$J$10-Dashboard!$F$10*$I$2)))</f>
        <v>0</v>
      </c>
      <c r="F640" s="24">
        <f t="shared" si="100"/>
        <v>10615.293216571141</v>
      </c>
      <c r="G640" s="24">
        <f t="shared" si="101"/>
        <v>14381.153253816627</v>
      </c>
      <c r="H640" s="24">
        <f t="shared" si="102"/>
        <v>0</v>
      </c>
      <c r="I640" s="24">
        <f t="shared" si="103"/>
        <v>-14381.153253816627</v>
      </c>
      <c r="J640" s="25">
        <f t="shared" si="104"/>
        <v>7.9741404289037643E-3</v>
      </c>
      <c r="K640" s="24">
        <f t="shared" si="109"/>
        <v>26974060.398339316</v>
      </c>
      <c r="L640" s="24">
        <f t="shared" si="105"/>
        <v>26974060.398339316</v>
      </c>
      <c r="M640" s="24">
        <f t="shared" si="106"/>
        <v>0</v>
      </c>
      <c r="N640" s="24">
        <f>IF(M640&lt;=0,0,IF($E$2-A640&lt;12,(M640-E640)*Dashboard!$B$18,IF($Q$2+A640&gt;=$R$2,MAX(0,M640-E640*POWER(1+$C$2,$E$2-A640))*MAX(Dashboard!$C$18,Dashboard!$B$18),IF($S$2&lt;$R$2,(M640-E640)*0.5*Dashboard!$B$18,(E640*POWER(1+$A$2,$R$2-($Q$2+A640))-E640)*0.5*Dashboard!$B$18+MAX(0,M640-E640*POWER(1+$A$2,$R$2-($Q$2+A640))*POWER(1+$C$2,$S$2-$R$2))*MAX(Dashboard!$C$18,Dashboard!$B$18)))))</f>
        <v>0</v>
      </c>
    </row>
    <row r="641" spans="1:14" x14ac:dyDescent="0.2">
      <c r="A641" s="22">
        <f t="shared" si="107"/>
        <v>636</v>
      </c>
      <c r="B641" s="23">
        <f t="shared" si="108"/>
        <v>71.054794520548256</v>
      </c>
      <c r="C641" t="str">
        <f t="shared" si="99"/>
        <v>71 y 0.66 m</v>
      </c>
      <c r="D641" s="24">
        <f>IF(A641&gt;=$E$2,IF(A641&lt;$E$2+$H$2,$P$2,0),IF(B641&lt;Dashboard!$I$6,0,IF(A641&gt;=$F$2,Dashboard!$C$22*POWER(1+$C$2,A641-$F$2),Dashboard!$C$22)))</f>
        <v>0</v>
      </c>
      <c r="E641" s="24">
        <f>IF(A641&gt;=$F$2,0,IF(A641=0,Dashboard!$G$10,IF(B641&lt;Dashboard!$I$6,IF($J$2&lt;=Dashboard!$H$10,Dashboard!$H$10,MAX(Dashboard!$H$10,MIN($J$2,Dashboard!$H$10*POWER($J$2/Dashboard!$H$10,A641/$D$2)))),$I$2-D641-Dashboard!$I$10-Dashboard!$J$10-Dashboard!$F$10*$I$2)))</f>
        <v>0</v>
      </c>
      <c r="F641" s="24">
        <f t="shared" si="100"/>
        <v>10637.158982553647</v>
      </c>
      <c r="G641" s="24">
        <f t="shared" si="101"/>
        <v>14415.860818868221</v>
      </c>
      <c r="H641" s="24">
        <f t="shared" si="102"/>
        <v>0</v>
      </c>
      <c r="I641" s="24">
        <f t="shared" si="103"/>
        <v>-14415.860818868221</v>
      </c>
      <c r="J641" s="25">
        <f t="shared" si="104"/>
        <v>7.9741404289037643E-3</v>
      </c>
      <c r="K641" s="24">
        <f t="shared" si="109"/>
        <v>27174624.528975967</v>
      </c>
      <c r="L641" s="24">
        <f t="shared" si="105"/>
        <v>27174624.528975967</v>
      </c>
      <c r="M641" s="24">
        <f t="shared" si="106"/>
        <v>0</v>
      </c>
      <c r="N641" s="24">
        <f>IF(M641&lt;=0,0,IF($E$2-A641&lt;12,(M641-E641)*Dashboard!$B$18,IF($Q$2+A641&gt;=$R$2,MAX(0,M641-E641*POWER(1+$C$2,$E$2-A641))*MAX(Dashboard!$C$18,Dashboard!$B$18),IF($S$2&lt;$R$2,(M641-E641)*0.5*Dashboard!$B$18,(E641*POWER(1+$A$2,$R$2-($Q$2+A641))-E641)*0.5*Dashboard!$B$18+MAX(0,M641-E641*POWER(1+$A$2,$R$2-($Q$2+A641))*POWER(1+$C$2,$S$2-$R$2))*MAX(Dashboard!$C$18,Dashboard!$B$18)))))</f>
        <v>0</v>
      </c>
    </row>
    <row r="642" spans="1:14" x14ac:dyDescent="0.2">
      <c r="A642" s="22">
        <f t="shared" si="107"/>
        <v>637</v>
      </c>
      <c r="B642" s="23">
        <f t="shared" si="108"/>
        <v>71.138127853881585</v>
      </c>
      <c r="C642" t="str">
        <f t="shared" si="99"/>
        <v>71 y 1.66 m</v>
      </c>
      <c r="D642" s="24">
        <f>IF(A642&gt;=$E$2,IF(A642&lt;$E$2+$H$2,$P$2,0),IF(B642&lt;Dashboard!$I$6,0,IF(A642&gt;=$F$2,Dashboard!$C$22*POWER(1+$C$2,A642-$F$2),Dashboard!$C$22)))</f>
        <v>0</v>
      </c>
      <c r="E642" s="24">
        <f>IF(A642&gt;=$F$2,0,IF(A642=0,Dashboard!$G$10,IF(B642&lt;Dashboard!$I$6,IF($J$2&lt;=Dashboard!$H$10,Dashboard!$H$10,MAX(Dashboard!$H$10,MIN($J$2,Dashboard!$H$10*POWER($J$2/Dashboard!$H$10,A642/$D$2)))),$I$2-D642-Dashboard!$I$10-Dashboard!$J$10-Dashboard!$F$10*$I$2)))</f>
        <v>0</v>
      </c>
      <c r="F642" s="24">
        <f t="shared" si="100"/>
        <v>10659.069788433993</v>
      </c>
      <c r="G642" s="24">
        <f t="shared" si="101"/>
        <v>14450.639875821153</v>
      </c>
      <c r="H642" s="24">
        <f t="shared" si="102"/>
        <v>0</v>
      </c>
      <c r="I642" s="24">
        <f t="shared" si="103"/>
        <v>-14450.639875821153</v>
      </c>
      <c r="J642" s="25">
        <f t="shared" si="104"/>
        <v>7.9741404289037643E-3</v>
      </c>
      <c r="K642" s="24">
        <f t="shared" si="109"/>
        <v>27376752.929765277</v>
      </c>
      <c r="L642" s="24">
        <f t="shared" si="105"/>
        <v>27376752.929765277</v>
      </c>
      <c r="M642" s="24">
        <f t="shared" si="106"/>
        <v>0</v>
      </c>
      <c r="N642" s="24">
        <f>IF(M642&lt;=0,0,IF($E$2-A642&lt;12,(M642-E642)*Dashboard!$B$18,IF($Q$2+A642&gt;=$R$2,MAX(0,M642-E642*POWER(1+$C$2,$E$2-A642))*MAX(Dashboard!$C$18,Dashboard!$B$18),IF($S$2&lt;$R$2,(M642-E642)*0.5*Dashboard!$B$18,(E642*POWER(1+$A$2,$R$2-($Q$2+A642))-E642)*0.5*Dashboard!$B$18+MAX(0,M642-E642*POWER(1+$A$2,$R$2-($Q$2+A642))*POWER(1+$C$2,$S$2-$R$2))*MAX(Dashboard!$C$18,Dashboard!$B$18)))))</f>
        <v>0</v>
      </c>
    </row>
    <row r="643" spans="1:14" x14ac:dyDescent="0.2">
      <c r="A643" s="22">
        <f t="shared" si="107"/>
        <v>638</v>
      </c>
      <c r="B643" s="23">
        <f t="shared" si="108"/>
        <v>71.221461187214913</v>
      </c>
      <c r="C643" t="str">
        <f t="shared" si="99"/>
        <v>71 y 2.66 m</v>
      </c>
      <c r="D643" s="24">
        <f>IF(A643&gt;=$E$2,IF(A643&lt;$E$2+$H$2,$P$2,0),IF(B643&lt;Dashboard!$I$6,0,IF(A643&gt;=$F$2,Dashboard!$C$22*POWER(1+$C$2,A643-$F$2),Dashboard!$C$22)))</f>
        <v>0</v>
      </c>
      <c r="E643" s="24">
        <f>IF(A643&gt;=$F$2,0,IF(A643=0,Dashboard!$G$10,IF(B643&lt;Dashboard!$I$6,IF($J$2&lt;=Dashboard!$H$10,Dashboard!$H$10,MAX(Dashboard!$H$10,MIN($J$2,Dashboard!$H$10*POWER($J$2/Dashboard!$H$10,A643/$D$2)))),$I$2-D643-Dashboard!$I$10-Dashboard!$J$10-Dashboard!$F$10*$I$2)))</f>
        <v>0</v>
      </c>
      <c r="F643" s="24">
        <f t="shared" si="100"/>
        <v>10681.025726986998</v>
      </c>
      <c r="G643" s="24">
        <f t="shared" si="101"/>
        <v>14485.490571937034</v>
      </c>
      <c r="H643" s="24">
        <f t="shared" si="102"/>
        <v>0</v>
      </c>
      <c r="I643" s="24">
        <f t="shared" si="103"/>
        <v>-14485.490571937034</v>
      </c>
      <c r="J643" s="25">
        <f t="shared" si="104"/>
        <v>7.9741404289037643E-3</v>
      </c>
      <c r="K643" s="24">
        <f t="shared" si="109"/>
        <v>27580458.002206687</v>
      </c>
      <c r="L643" s="24">
        <f t="shared" si="105"/>
        <v>27580458.002206687</v>
      </c>
      <c r="M643" s="24">
        <f t="shared" si="106"/>
        <v>0</v>
      </c>
      <c r="N643" s="24">
        <f>IF(M643&lt;=0,0,IF($E$2-A643&lt;12,(M643-E643)*Dashboard!$B$18,IF($Q$2+A643&gt;=$R$2,MAX(0,M643-E643*POWER(1+$C$2,$E$2-A643))*MAX(Dashboard!$C$18,Dashboard!$B$18),IF($S$2&lt;$R$2,(M643-E643)*0.5*Dashboard!$B$18,(E643*POWER(1+$A$2,$R$2-($Q$2+A643))-E643)*0.5*Dashboard!$B$18+MAX(0,M643-E643*POWER(1+$A$2,$R$2-($Q$2+A643))*POWER(1+$C$2,$S$2-$R$2))*MAX(Dashboard!$C$18,Dashboard!$B$18)))))</f>
        <v>0</v>
      </c>
    </row>
    <row r="644" spans="1:14" x14ac:dyDescent="0.2">
      <c r="A644" s="22">
        <f t="shared" si="107"/>
        <v>639</v>
      </c>
      <c r="B644" s="23">
        <f t="shared" si="108"/>
        <v>71.304794520548242</v>
      </c>
      <c r="C644" t="str">
        <f t="shared" si="99"/>
        <v>71 y 3.66 m</v>
      </c>
      <c r="D644" s="24">
        <f>IF(A644&gt;=$E$2,IF(A644&lt;$E$2+$H$2,$P$2,0),IF(B644&lt;Dashboard!$I$6,0,IF(A644&gt;=$F$2,Dashboard!$C$22*POWER(1+$C$2,A644-$F$2),Dashboard!$C$22)))</f>
        <v>0</v>
      </c>
      <c r="E644" s="24">
        <f>IF(A644&gt;=$F$2,0,IF(A644=0,Dashboard!$G$10,IF(B644&lt;Dashboard!$I$6,IF($J$2&lt;=Dashboard!$H$10,Dashboard!$H$10,MAX(Dashboard!$H$10,MIN($J$2,Dashboard!$H$10*POWER($J$2/Dashboard!$H$10,A644/$D$2)))),$I$2-D644-Dashboard!$I$10-Dashboard!$J$10-Dashboard!$F$10*$I$2)))</f>
        <v>0</v>
      </c>
      <c r="F644" s="24">
        <f t="shared" si="100"/>
        <v>10703.026891178568</v>
      </c>
      <c r="G644" s="24">
        <f t="shared" si="101"/>
        <v>14520.413054780796</v>
      </c>
      <c r="H644" s="24">
        <f t="shared" si="102"/>
        <v>0</v>
      </c>
      <c r="I644" s="24">
        <f t="shared" si="103"/>
        <v>-14520.413054780796</v>
      </c>
      <c r="J644" s="25">
        <f t="shared" si="104"/>
        <v>7.9741404289037643E-3</v>
      </c>
      <c r="K644" s="24">
        <f t="shared" si="109"/>
        <v>27785752.2465422</v>
      </c>
      <c r="L644" s="24">
        <f t="shared" si="105"/>
        <v>27785752.2465422</v>
      </c>
      <c r="M644" s="24">
        <f t="shared" si="106"/>
        <v>0</v>
      </c>
      <c r="N644" s="24">
        <f>IF(M644&lt;=0,0,IF($E$2-A644&lt;12,(M644-E644)*Dashboard!$B$18,IF($Q$2+A644&gt;=$R$2,MAX(0,M644-E644*POWER(1+$C$2,$E$2-A644))*MAX(Dashboard!$C$18,Dashboard!$B$18),IF($S$2&lt;$R$2,(M644-E644)*0.5*Dashboard!$B$18,(E644*POWER(1+$A$2,$R$2-($Q$2+A644))-E644)*0.5*Dashboard!$B$18+MAX(0,M644-E644*POWER(1+$A$2,$R$2-($Q$2+A644))*POWER(1+$C$2,$S$2-$R$2))*MAX(Dashboard!$C$18,Dashboard!$B$18)))))</f>
        <v>0</v>
      </c>
    </row>
    <row r="645" spans="1:14" x14ac:dyDescent="0.2">
      <c r="A645" s="22">
        <f t="shared" si="107"/>
        <v>640</v>
      </c>
      <c r="B645" s="23">
        <f t="shared" si="108"/>
        <v>71.388127853881571</v>
      </c>
      <c r="C645" t="str">
        <f t="shared" ref="C645:C708" si="110">INT(B645)&amp;" y "&amp;ROUND((B645-INT(B645))*12,2)&amp;" m"</f>
        <v>71 y 4.66 m</v>
      </c>
      <c r="D645" s="24">
        <f>IF(A645&gt;=$E$2,IF(A645&lt;$E$2+$H$2,$P$2,0),IF(B645&lt;Dashboard!$I$6,0,IF(A645&gt;=$F$2,Dashboard!$C$22*POWER(1+$C$2,A645-$F$2),Dashboard!$C$22)))</f>
        <v>0</v>
      </c>
      <c r="E645" s="24">
        <f>IF(A645&gt;=$F$2,0,IF(A645=0,Dashboard!$G$10,IF(B645&lt;Dashboard!$I$6,IF($J$2&lt;=Dashboard!$H$10,Dashboard!$H$10,MAX(Dashboard!$H$10,MIN($J$2,Dashboard!$H$10*POWER($J$2/Dashboard!$H$10,A645/$D$2)))),$I$2-D645-Dashboard!$I$10-Dashboard!$J$10-Dashboard!$F$10*$I$2)))</f>
        <v>0</v>
      </c>
      <c r="F645" s="24">
        <f t="shared" ref="F645:F688" si="111">IF(A645&gt;=$F$2,$X$2*POWER(1+$C$2,A645-$F$2)+D645,0)</f>
        <v>10725.073374166119</v>
      </c>
      <c r="G645" s="24">
        <f t="shared" ref="G645:G708" si="112">IF(F645&lt;=0,0,IF(F645*12&lt;=18200,F645,IF(F645*12&lt;=40712,(18200+(F645*12-18200)/0.84)/12,IF(F645*12&lt;=103712,(45000+(F645*12-40712)/0.7)/12,IF(F645*12&lt;=138362,(135000+(F645*12-103712)/0.63)/12,(190000+(F645*12-138362)/0.55)/12)))))</f>
        <v>14555.407472221354</v>
      </c>
      <c r="H645" s="24">
        <f t="shared" ref="H645:H688" si="113">IF(A645=$E$2,$W$2,0)</f>
        <v>0</v>
      </c>
      <c r="I645" s="24">
        <f t="shared" ref="I645:I708" si="114">E645-G645-H645</f>
        <v>-14555.407472221354</v>
      </c>
      <c r="J645" s="25">
        <f t="shared" ref="J645:J688" si="115">IF(A645&gt;=$F$2,$B$2,$A$2)</f>
        <v>7.9741404289037643E-3</v>
      </c>
      <c r="K645" s="24">
        <f t="shared" si="109"/>
        <v>27992648.262543451</v>
      </c>
      <c r="L645" s="24">
        <f t="shared" ref="L645:L708" si="116">IF(A645&gt;=$F$2,K645,"")</f>
        <v>27992648.262543451</v>
      </c>
      <c r="M645" s="24">
        <f t="shared" ref="M645:M688" si="117">IF(AND(A645&lt;$E$2,E645&gt;0),E645*POWER(1+$A$2,$E$2-A645),0)</f>
        <v>0</v>
      </c>
      <c r="N645" s="24">
        <f>IF(M645&lt;=0,0,IF($E$2-A645&lt;12,(M645-E645)*Dashboard!$B$18,IF($Q$2+A645&gt;=$R$2,MAX(0,M645-E645*POWER(1+$C$2,$E$2-A645))*MAX(Dashboard!$C$18,Dashboard!$B$18),IF($S$2&lt;$R$2,(M645-E645)*0.5*Dashboard!$B$18,(E645*POWER(1+$A$2,$R$2-($Q$2+A645))-E645)*0.5*Dashboard!$B$18+MAX(0,M645-E645*POWER(1+$A$2,$R$2-($Q$2+A645))*POWER(1+$C$2,$S$2-$R$2))*MAX(Dashboard!$C$18,Dashboard!$B$18)))))</f>
        <v>0</v>
      </c>
    </row>
    <row r="646" spans="1:14" x14ac:dyDescent="0.2">
      <c r="A646" s="22">
        <f t="shared" ref="A646:A688" si="118">A645+1</f>
        <v>641</v>
      </c>
      <c r="B646" s="23">
        <f t="shared" ref="B646:B688" si="119">B645+1/12</f>
        <v>71.471461187214899</v>
      </c>
      <c r="C646" t="str">
        <f t="shared" si="110"/>
        <v>71 y 5.66 m</v>
      </c>
      <c r="D646" s="24">
        <f>IF(A646&gt;=$E$2,IF(A646&lt;$E$2+$H$2,$P$2,0),IF(B646&lt;Dashboard!$I$6,0,IF(A646&gt;=$F$2,Dashboard!$C$22*POWER(1+$C$2,A646-$F$2),Dashboard!$C$22)))</f>
        <v>0</v>
      </c>
      <c r="E646" s="24">
        <f>IF(A646&gt;=$F$2,0,IF(A646=0,Dashboard!$G$10,IF(B646&lt;Dashboard!$I$6,IF($J$2&lt;=Dashboard!$H$10,Dashboard!$H$10,MAX(Dashboard!$H$10,MIN($J$2,Dashboard!$H$10*POWER($J$2/Dashboard!$H$10,A646/$D$2)))),$I$2-D646-Dashboard!$I$10-Dashboard!$J$10-Dashboard!$F$10*$I$2)))</f>
        <v>0</v>
      </c>
      <c r="F646" s="24">
        <f t="shared" si="111"/>
        <v>10747.16526929895</v>
      </c>
      <c r="G646" s="24">
        <f t="shared" si="112"/>
        <v>14590.473972432193</v>
      </c>
      <c r="H646" s="24">
        <f t="shared" si="113"/>
        <v>0</v>
      </c>
      <c r="I646" s="24">
        <f t="shared" si="114"/>
        <v>-14590.473972432193</v>
      </c>
      <c r="J646" s="25">
        <f t="shared" si="115"/>
        <v>7.9741404289037643E-3</v>
      </c>
      <c r="K646" s="24">
        <f t="shared" ref="K646:K709" si="120">(K645+I646)*(1+J646)</f>
        <v>28201158.750305068</v>
      </c>
      <c r="L646" s="24">
        <f t="shared" si="116"/>
        <v>28201158.750305068</v>
      </c>
      <c r="M646" s="24">
        <f t="shared" si="117"/>
        <v>0</v>
      </c>
      <c r="N646" s="24">
        <f>IF(M646&lt;=0,0,IF($E$2-A646&lt;12,(M646-E646)*Dashboard!$B$18,IF($Q$2+A646&gt;=$R$2,MAX(0,M646-E646*POWER(1+$C$2,$E$2-A646))*MAX(Dashboard!$C$18,Dashboard!$B$18),IF($S$2&lt;$R$2,(M646-E646)*0.5*Dashboard!$B$18,(E646*POWER(1+$A$2,$R$2-($Q$2+A646))-E646)*0.5*Dashboard!$B$18+MAX(0,M646-E646*POWER(1+$A$2,$R$2-($Q$2+A646))*POWER(1+$C$2,$S$2-$R$2))*MAX(Dashboard!$C$18,Dashboard!$B$18)))))</f>
        <v>0</v>
      </c>
    </row>
    <row r="647" spans="1:14" x14ac:dyDescent="0.2">
      <c r="A647" s="22">
        <f t="shared" si="118"/>
        <v>642</v>
      </c>
      <c r="B647" s="23">
        <f t="shared" si="119"/>
        <v>71.554794520548228</v>
      </c>
      <c r="C647" t="str">
        <f t="shared" si="110"/>
        <v>71 y 6.66 m</v>
      </c>
      <c r="D647" s="24">
        <f>IF(A647&gt;=$E$2,IF(A647&lt;$E$2+$H$2,$P$2,0),IF(B647&lt;Dashboard!$I$6,0,IF(A647&gt;=$F$2,Dashboard!$C$22*POWER(1+$C$2,A647-$F$2),Dashboard!$C$22)))</f>
        <v>0</v>
      </c>
      <c r="E647" s="24">
        <f>IF(A647&gt;=$F$2,0,IF(A647=0,Dashboard!$G$10,IF(B647&lt;Dashboard!$I$6,IF($J$2&lt;=Dashboard!$H$10,Dashboard!$H$10,MAX(Dashboard!$H$10,MIN($J$2,Dashboard!$H$10*POWER($J$2/Dashboard!$H$10,A647/$D$2)))),$I$2-D647-Dashboard!$I$10-Dashboard!$J$10-Dashboard!$F$10*$I$2)))</f>
        <v>0</v>
      </c>
      <c r="F647" s="24">
        <f t="shared" si="111"/>
        <v>10769.302670118646</v>
      </c>
      <c r="G647" s="24">
        <f t="shared" si="112"/>
        <v>14625.612703892031</v>
      </c>
      <c r="H647" s="24">
        <f t="shared" si="113"/>
        <v>0</v>
      </c>
      <c r="I647" s="24">
        <f t="shared" si="114"/>
        <v>-14625.612703892031</v>
      </c>
      <c r="J647" s="25">
        <f t="shared" si="115"/>
        <v>7.9741404289037643E-3</v>
      </c>
      <c r="K647" s="24">
        <f t="shared" si="120"/>
        <v>28411296.511044357</v>
      </c>
      <c r="L647" s="24">
        <f t="shared" si="116"/>
        <v>28411296.511044357</v>
      </c>
      <c r="M647" s="24">
        <f t="shared" si="117"/>
        <v>0</v>
      </c>
      <c r="N647" s="24">
        <f>IF(M647&lt;=0,0,IF($E$2-A647&lt;12,(M647-E647)*Dashboard!$B$18,IF($Q$2+A647&gt;=$R$2,MAX(0,M647-E647*POWER(1+$C$2,$E$2-A647))*MAX(Dashboard!$C$18,Dashboard!$B$18),IF($S$2&lt;$R$2,(M647-E647)*0.5*Dashboard!$B$18,(E647*POWER(1+$A$2,$R$2-($Q$2+A647))-E647)*0.5*Dashboard!$B$18+MAX(0,M647-E647*POWER(1+$A$2,$R$2-($Q$2+A647))*POWER(1+$C$2,$S$2-$R$2))*MAX(Dashboard!$C$18,Dashboard!$B$18)))))</f>
        <v>0</v>
      </c>
    </row>
    <row r="648" spans="1:14" x14ac:dyDescent="0.2">
      <c r="A648" s="22">
        <f t="shared" si="118"/>
        <v>643</v>
      </c>
      <c r="B648" s="23">
        <f t="shared" si="119"/>
        <v>71.638127853881556</v>
      </c>
      <c r="C648" t="str">
        <f t="shared" si="110"/>
        <v>71 y 7.66 m</v>
      </c>
      <c r="D648" s="24">
        <f>IF(A648&gt;=$E$2,IF(A648&lt;$E$2+$H$2,$P$2,0),IF(B648&lt;Dashboard!$I$6,0,IF(A648&gt;=$F$2,Dashboard!$C$22*POWER(1+$C$2,A648-$F$2),Dashboard!$C$22)))</f>
        <v>0</v>
      </c>
      <c r="E648" s="24">
        <f>IF(A648&gt;=$F$2,0,IF(A648=0,Dashboard!$G$10,IF(B648&lt;Dashboard!$I$6,IF($J$2&lt;=Dashboard!$H$10,Dashboard!$H$10,MAX(Dashboard!$H$10,MIN($J$2,Dashboard!$H$10*POWER($J$2/Dashboard!$H$10,A648/$D$2)))),$I$2-D648-Dashboard!$I$10-Dashboard!$J$10-Dashboard!$F$10*$I$2)))</f>
        <v>0</v>
      </c>
      <c r="F648" s="24">
        <f t="shared" si="111"/>
        <v>10791.485670359472</v>
      </c>
      <c r="G648" s="24">
        <f t="shared" si="112"/>
        <v>14660.823815385405</v>
      </c>
      <c r="H648" s="24">
        <f t="shared" si="113"/>
        <v>0</v>
      </c>
      <c r="I648" s="24">
        <f t="shared" si="114"/>
        <v>-14660.823815385405</v>
      </c>
      <c r="J648" s="25">
        <f t="shared" si="115"/>
        <v>7.9741404289037643E-3</v>
      </c>
      <c r="K648" s="24">
        <f t="shared" si="120"/>
        <v>28623074.447907355</v>
      </c>
      <c r="L648" s="24">
        <f t="shared" si="116"/>
        <v>28623074.447907355</v>
      </c>
      <c r="M648" s="24">
        <f t="shared" si="117"/>
        <v>0</v>
      </c>
      <c r="N648" s="24">
        <f>IF(M648&lt;=0,0,IF($E$2-A648&lt;12,(M648-E648)*Dashboard!$B$18,IF($Q$2+A648&gt;=$R$2,MAX(0,M648-E648*POWER(1+$C$2,$E$2-A648))*MAX(Dashboard!$C$18,Dashboard!$B$18),IF($S$2&lt;$R$2,(M648-E648)*0.5*Dashboard!$B$18,(E648*POWER(1+$A$2,$R$2-($Q$2+A648))-E648)*0.5*Dashboard!$B$18+MAX(0,M648-E648*POWER(1+$A$2,$R$2-($Q$2+A648))*POWER(1+$C$2,$S$2-$R$2))*MAX(Dashboard!$C$18,Dashboard!$B$18)))))</f>
        <v>0</v>
      </c>
    </row>
    <row r="649" spans="1:14" x14ac:dyDescent="0.2">
      <c r="A649" s="22">
        <f t="shared" si="118"/>
        <v>644</v>
      </c>
      <c r="B649" s="23">
        <f t="shared" si="119"/>
        <v>71.721461187214885</v>
      </c>
      <c r="C649" t="str">
        <f t="shared" si="110"/>
        <v>71 y 8.66 m</v>
      </c>
      <c r="D649" s="24">
        <f>IF(A649&gt;=$E$2,IF(A649&lt;$E$2+$H$2,$P$2,0),IF(B649&lt;Dashboard!$I$6,0,IF(A649&gt;=$F$2,Dashboard!$C$22*POWER(1+$C$2,A649-$F$2),Dashboard!$C$22)))</f>
        <v>0</v>
      </c>
      <c r="E649" s="24">
        <f>IF(A649&gt;=$F$2,0,IF(A649=0,Dashboard!$G$10,IF(B649&lt;Dashboard!$I$6,IF($J$2&lt;=Dashboard!$H$10,Dashboard!$H$10,MAX(Dashboard!$H$10,MIN($J$2,Dashboard!$H$10*POWER($J$2/Dashboard!$H$10,A649/$D$2)))),$I$2-D649-Dashboard!$I$10-Dashboard!$J$10-Dashboard!$F$10*$I$2)))</f>
        <v>0</v>
      </c>
      <c r="F649" s="24">
        <f t="shared" si="111"/>
        <v>10813.714363948766</v>
      </c>
      <c r="G649" s="24">
        <f t="shared" si="112"/>
        <v>14696.107456003332</v>
      </c>
      <c r="H649" s="24">
        <f t="shared" si="113"/>
        <v>0</v>
      </c>
      <c r="I649" s="24">
        <f t="shared" si="114"/>
        <v>-14696.107456003332</v>
      </c>
      <c r="J649" s="25">
        <f t="shared" si="115"/>
        <v>7.9741404289037643E-3</v>
      </c>
      <c r="K649" s="24">
        <f t="shared" si="120"/>
        <v>28836505.56678132</v>
      </c>
      <c r="L649" s="24">
        <f t="shared" si="116"/>
        <v>28836505.56678132</v>
      </c>
      <c r="M649" s="24">
        <f t="shared" si="117"/>
        <v>0</v>
      </c>
      <c r="N649" s="24">
        <f>IF(M649&lt;=0,0,IF($E$2-A649&lt;12,(M649-E649)*Dashboard!$B$18,IF($Q$2+A649&gt;=$R$2,MAX(0,M649-E649*POWER(1+$C$2,$E$2-A649))*MAX(Dashboard!$C$18,Dashboard!$B$18),IF($S$2&lt;$R$2,(M649-E649)*0.5*Dashboard!$B$18,(E649*POWER(1+$A$2,$R$2-($Q$2+A649))-E649)*0.5*Dashboard!$B$18+MAX(0,M649-E649*POWER(1+$A$2,$R$2-($Q$2+A649))*POWER(1+$C$2,$S$2-$R$2))*MAX(Dashboard!$C$18,Dashboard!$B$18)))))</f>
        <v>0</v>
      </c>
    </row>
    <row r="650" spans="1:14" x14ac:dyDescent="0.2">
      <c r="A650" s="22">
        <f t="shared" si="118"/>
        <v>645</v>
      </c>
      <c r="B650" s="23">
        <f t="shared" si="119"/>
        <v>71.804794520548214</v>
      </c>
      <c r="C650" t="str">
        <f t="shared" si="110"/>
        <v>71 y 9.66 m</v>
      </c>
      <c r="D650" s="24">
        <f>IF(A650&gt;=$E$2,IF(A650&lt;$E$2+$H$2,$P$2,0),IF(B650&lt;Dashboard!$I$6,0,IF(A650&gt;=$F$2,Dashboard!$C$22*POWER(1+$C$2,A650-$F$2),Dashboard!$C$22)))</f>
        <v>0</v>
      </c>
      <c r="E650" s="24">
        <f>IF(A650&gt;=$F$2,0,IF(A650=0,Dashboard!$G$10,IF(B650&lt;Dashboard!$I$6,IF($J$2&lt;=Dashboard!$H$10,Dashboard!$H$10,MAX(Dashboard!$H$10,MIN($J$2,Dashboard!$H$10*POWER($J$2/Dashboard!$H$10,A650/$D$2)))),$I$2-D650-Dashboard!$I$10-Dashboard!$J$10-Dashboard!$F$10*$I$2)))</f>
        <v>0</v>
      </c>
      <c r="F650" s="24">
        <f t="shared" si="111"/>
        <v>10835.988845007347</v>
      </c>
      <c r="G650" s="24">
        <f t="shared" si="112"/>
        <v>14731.463775143935</v>
      </c>
      <c r="H650" s="24">
        <f t="shared" si="113"/>
        <v>0</v>
      </c>
      <c r="I650" s="24">
        <f t="shared" si="114"/>
        <v>-14731.463775143935</v>
      </c>
      <c r="J650" s="25">
        <f t="shared" si="115"/>
        <v>7.9741404289037643E-3</v>
      </c>
      <c r="K650" s="24">
        <f t="shared" si="120"/>
        <v>29051602.97711369</v>
      </c>
      <c r="L650" s="24">
        <f t="shared" si="116"/>
        <v>29051602.97711369</v>
      </c>
      <c r="M650" s="24">
        <f t="shared" si="117"/>
        <v>0</v>
      </c>
      <c r="N650" s="24">
        <f>IF(M650&lt;=0,0,IF($E$2-A650&lt;12,(M650-E650)*Dashboard!$B$18,IF($Q$2+A650&gt;=$R$2,MAX(0,M650-E650*POWER(1+$C$2,$E$2-A650))*MAX(Dashboard!$C$18,Dashboard!$B$18),IF($S$2&lt;$R$2,(M650-E650)*0.5*Dashboard!$B$18,(E650*POWER(1+$A$2,$R$2-($Q$2+A650))-E650)*0.5*Dashboard!$B$18+MAX(0,M650-E650*POWER(1+$A$2,$R$2-($Q$2+A650))*POWER(1+$C$2,$S$2-$R$2))*MAX(Dashboard!$C$18,Dashboard!$B$18)))))</f>
        <v>0</v>
      </c>
    </row>
    <row r="651" spans="1:14" x14ac:dyDescent="0.2">
      <c r="A651" s="22">
        <f t="shared" si="118"/>
        <v>646</v>
      </c>
      <c r="B651" s="23">
        <f t="shared" si="119"/>
        <v>71.888127853881542</v>
      </c>
      <c r="C651" t="str">
        <f t="shared" si="110"/>
        <v>71 y 10.66 m</v>
      </c>
      <c r="D651" s="24">
        <f>IF(A651&gt;=$E$2,IF(A651&lt;$E$2+$H$2,$P$2,0),IF(B651&lt;Dashboard!$I$6,0,IF(A651&gt;=$F$2,Dashboard!$C$22*POWER(1+$C$2,A651-$F$2),Dashboard!$C$22)))</f>
        <v>0</v>
      </c>
      <c r="E651" s="24">
        <f>IF(A651&gt;=$F$2,0,IF(A651=0,Dashboard!$G$10,IF(B651&lt;Dashboard!$I$6,IF($J$2&lt;=Dashboard!$H$10,Dashboard!$H$10,MAX(Dashboard!$H$10,MIN($J$2,Dashboard!$H$10*POWER($J$2/Dashboard!$H$10,A651/$D$2)))),$I$2-D651-Dashboard!$I$10-Dashboard!$J$10-Dashboard!$F$10*$I$2)))</f>
        <v>0</v>
      </c>
      <c r="F651" s="24">
        <f t="shared" si="111"/>
        <v>10858.309207849907</v>
      </c>
      <c r="G651" s="24">
        <f t="shared" si="112"/>
        <v>14766.89292251308</v>
      </c>
      <c r="H651" s="24">
        <f t="shared" si="113"/>
        <v>0</v>
      </c>
      <c r="I651" s="24">
        <f t="shared" si="114"/>
        <v>-14766.89292251308</v>
      </c>
      <c r="J651" s="25">
        <f t="shared" si="115"/>
        <v>7.9741404289037643E-3</v>
      </c>
      <c r="K651" s="24">
        <f t="shared" si="120"/>
        <v>29268379.892737579</v>
      </c>
      <c r="L651" s="24">
        <f t="shared" si="116"/>
        <v>29268379.892737579</v>
      </c>
      <c r="M651" s="24">
        <f t="shared" si="117"/>
        <v>0</v>
      </c>
      <c r="N651" s="24">
        <f>IF(M651&lt;=0,0,IF($E$2-A651&lt;12,(M651-E651)*Dashboard!$B$18,IF($Q$2+A651&gt;=$R$2,MAX(0,M651-E651*POWER(1+$C$2,$E$2-A651))*MAX(Dashboard!$C$18,Dashboard!$B$18),IF($S$2&lt;$R$2,(M651-E651)*0.5*Dashboard!$B$18,(E651*POWER(1+$A$2,$R$2-($Q$2+A651))-E651)*0.5*Dashboard!$B$18+MAX(0,M651-E651*POWER(1+$A$2,$R$2-($Q$2+A651))*POWER(1+$C$2,$S$2-$R$2))*MAX(Dashboard!$C$18,Dashboard!$B$18)))))</f>
        <v>0</v>
      </c>
    </row>
    <row r="652" spans="1:14" x14ac:dyDescent="0.2">
      <c r="A652" s="22">
        <f t="shared" si="118"/>
        <v>647</v>
      </c>
      <c r="B652" s="23">
        <f t="shared" si="119"/>
        <v>71.971461187214871</v>
      </c>
      <c r="C652" t="str">
        <f t="shared" si="110"/>
        <v>71 y 11.66 m</v>
      </c>
      <c r="D652" s="24">
        <f>IF(A652&gt;=$E$2,IF(A652&lt;$E$2+$H$2,$P$2,0),IF(B652&lt;Dashboard!$I$6,0,IF(A652&gt;=$F$2,Dashboard!$C$22*POWER(1+$C$2,A652-$F$2),Dashboard!$C$22)))</f>
        <v>0</v>
      </c>
      <c r="E652" s="24">
        <f>IF(A652&gt;=$F$2,0,IF(A652=0,Dashboard!$G$10,IF(B652&lt;Dashboard!$I$6,IF($J$2&lt;=Dashboard!$H$10,Dashboard!$H$10,MAX(Dashboard!$H$10,MIN($J$2,Dashboard!$H$10*POWER($J$2/Dashboard!$H$10,A652/$D$2)))),$I$2-D652-Dashboard!$I$10-Dashboard!$J$10-Dashboard!$F$10*$I$2)))</f>
        <v>0</v>
      </c>
      <c r="F652" s="24">
        <f t="shared" si="111"/>
        <v>10880.675546985402</v>
      </c>
      <c r="G652" s="24">
        <f t="shared" si="112"/>
        <v>14802.395048124976</v>
      </c>
      <c r="H652" s="24">
        <f t="shared" si="113"/>
        <v>0</v>
      </c>
      <c r="I652" s="24">
        <f t="shared" si="114"/>
        <v>-14802.395048124976</v>
      </c>
      <c r="J652" s="25">
        <f t="shared" si="115"/>
        <v>7.9741404289037643E-3</v>
      </c>
      <c r="K652" s="24">
        <f t="shared" si="120"/>
        <v>29486849.632703848</v>
      </c>
      <c r="L652" s="24">
        <f t="shared" si="116"/>
        <v>29486849.632703848</v>
      </c>
      <c r="M652" s="24">
        <f t="shared" si="117"/>
        <v>0</v>
      </c>
      <c r="N652" s="24">
        <f>IF(M652&lt;=0,0,IF($E$2-A652&lt;12,(M652-E652)*Dashboard!$B$18,IF($Q$2+A652&gt;=$R$2,MAX(0,M652-E652*POWER(1+$C$2,$E$2-A652))*MAX(Dashboard!$C$18,Dashboard!$B$18),IF($S$2&lt;$R$2,(M652-E652)*0.5*Dashboard!$B$18,(E652*POWER(1+$A$2,$R$2-($Q$2+A652))-E652)*0.5*Dashboard!$B$18+MAX(0,M652-E652*POWER(1+$A$2,$R$2-($Q$2+A652))*POWER(1+$C$2,$S$2-$R$2))*MAX(Dashboard!$C$18,Dashboard!$B$18)))))</f>
        <v>0</v>
      </c>
    </row>
    <row r="653" spans="1:14" x14ac:dyDescent="0.2">
      <c r="A653" s="22">
        <f t="shared" si="118"/>
        <v>648</v>
      </c>
      <c r="B653" s="23">
        <f t="shared" si="119"/>
        <v>72.054794520548199</v>
      </c>
      <c r="C653" t="str">
        <f t="shared" si="110"/>
        <v>72 y 0.66 m</v>
      </c>
      <c r="D653" s="24">
        <f>IF(A653&gt;=$E$2,IF(A653&lt;$E$2+$H$2,$P$2,0),IF(B653&lt;Dashboard!$I$6,0,IF(A653&gt;=$F$2,Dashboard!$C$22*POWER(1+$C$2,A653-$F$2),Dashboard!$C$22)))</f>
        <v>0</v>
      </c>
      <c r="E653" s="24">
        <f>IF(A653&gt;=$F$2,0,IF(A653=0,Dashboard!$G$10,IF(B653&lt;Dashboard!$I$6,IF($J$2&lt;=Dashboard!$H$10,Dashboard!$H$10,MAX(Dashboard!$H$10,MIN($J$2,Dashboard!$H$10*POWER($J$2/Dashboard!$H$10,A653/$D$2)))),$I$2-D653-Dashboard!$I$10-Dashboard!$J$10-Dashboard!$F$10*$I$2)))</f>
        <v>0</v>
      </c>
      <c r="F653" s="24">
        <f t="shared" si="111"/>
        <v>10903.087957117474</v>
      </c>
      <c r="G653" s="24">
        <f t="shared" si="112"/>
        <v>14837.970302302869</v>
      </c>
      <c r="H653" s="24">
        <f t="shared" si="113"/>
        <v>0</v>
      </c>
      <c r="I653" s="24">
        <f t="shared" si="114"/>
        <v>-14837.970302302869</v>
      </c>
      <c r="J653" s="25">
        <f t="shared" si="115"/>
        <v>7.9741404289037643E-3</v>
      </c>
      <c r="K653" s="24">
        <f t="shared" si="120"/>
        <v>29707025.622119825</v>
      </c>
      <c r="L653" s="24">
        <f t="shared" si="116"/>
        <v>29707025.622119825</v>
      </c>
      <c r="M653" s="24">
        <f t="shared" si="117"/>
        <v>0</v>
      </c>
      <c r="N653" s="24">
        <f>IF(M653&lt;=0,0,IF($E$2-A653&lt;12,(M653-E653)*Dashboard!$B$18,IF($Q$2+A653&gt;=$R$2,MAX(0,M653-E653*POWER(1+$C$2,$E$2-A653))*MAX(Dashboard!$C$18,Dashboard!$B$18),IF($S$2&lt;$R$2,(M653-E653)*0.5*Dashboard!$B$18,(E653*POWER(1+$A$2,$R$2-($Q$2+A653))-E653)*0.5*Dashboard!$B$18+MAX(0,M653-E653*POWER(1+$A$2,$R$2-($Q$2+A653))*POWER(1+$C$2,$S$2-$R$2))*MAX(Dashboard!$C$18,Dashboard!$B$18)))))</f>
        <v>0</v>
      </c>
    </row>
    <row r="654" spans="1:14" x14ac:dyDescent="0.2">
      <c r="A654" s="22">
        <f t="shared" si="118"/>
        <v>649</v>
      </c>
      <c r="B654" s="23">
        <f t="shared" si="119"/>
        <v>72.138127853881528</v>
      </c>
      <c r="C654" t="str">
        <f t="shared" si="110"/>
        <v>72 y 1.66 m</v>
      </c>
      <c r="D654" s="24">
        <f>IF(A654&gt;=$E$2,IF(A654&lt;$E$2+$H$2,$P$2,0),IF(B654&lt;Dashboard!$I$6,0,IF(A654&gt;=$F$2,Dashboard!$C$22*POWER(1+$C$2,A654-$F$2),Dashboard!$C$22)))</f>
        <v>0</v>
      </c>
      <c r="E654" s="24">
        <f>IF(A654&gt;=$F$2,0,IF(A654=0,Dashboard!$G$10,IF(B654&lt;Dashboard!$I$6,IF($J$2&lt;=Dashboard!$H$10,Dashboard!$H$10,MAX(Dashboard!$H$10,MIN($J$2,Dashboard!$H$10*POWER($J$2/Dashboard!$H$10,A654/$D$2)))),$I$2-D654-Dashboard!$I$10-Dashboard!$J$10-Dashboard!$F$10*$I$2)))</f>
        <v>0</v>
      </c>
      <c r="F654" s="24">
        <f t="shared" si="111"/>
        <v>10925.54653314483</v>
      </c>
      <c r="G654" s="24">
        <f t="shared" si="112"/>
        <v>14873.618835679626</v>
      </c>
      <c r="H654" s="24">
        <f t="shared" si="113"/>
        <v>0</v>
      </c>
      <c r="I654" s="24">
        <f t="shared" si="114"/>
        <v>-14873.618835679626</v>
      </c>
      <c r="J654" s="25">
        <f t="shared" si="115"/>
        <v>7.9741404289037643E-3</v>
      </c>
      <c r="K654" s="24">
        <f t="shared" si="120"/>
        <v>29928921.392994691</v>
      </c>
      <c r="L654" s="24">
        <f t="shared" si="116"/>
        <v>29928921.392994691</v>
      </c>
      <c r="M654" s="24">
        <f t="shared" si="117"/>
        <v>0</v>
      </c>
      <c r="N654" s="24">
        <f>IF(M654&lt;=0,0,IF($E$2-A654&lt;12,(M654-E654)*Dashboard!$B$18,IF($Q$2+A654&gt;=$R$2,MAX(0,M654-E654*POWER(1+$C$2,$E$2-A654))*MAX(Dashboard!$C$18,Dashboard!$B$18),IF($S$2&lt;$R$2,(M654-E654)*0.5*Dashboard!$B$18,(E654*POWER(1+$A$2,$R$2-($Q$2+A654))-E654)*0.5*Dashboard!$B$18+MAX(0,M654-E654*POWER(1+$A$2,$R$2-($Q$2+A654))*POWER(1+$C$2,$S$2-$R$2))*MAX(Dashboard!$C$18,Dashboard!$B$18)))))</f>
        <v>0</v>
      </c>
    </row>
    <row r="655" spans="1:14" x14ac:dyDescent="0.2">
      <c r="A655" s="22">
        <f t="shared" si="118"/>
        <v>650</v>
      </c>
      <c r="B655" s="23">
        <f t="shared" si="119"/>
        <v>72.221461187214857</v>
      </c>
      <c r="C655" t="str">
        <f t="shared" si="110"/>
        <v>72 y 2.66 m</v>
      </c>
      <c r="D655" s="24">
        <f>IF(A655&gt;=$E$2,IF(A655&lt;$E$2+$H$2,$P$2,0),IF(B655&lt;Dashboard!$I$6,0,IF(A655&gt;=$F$2,Dashboard!$C$22*POWER(1+$C$2,A655-$F$2),Dashboard!$C$22)))</f>
        <v>0</v>
      </c>
      <c r="E655" s="24">
        <f>IF(A655&gt;=$F$2,0,IF(A655=0,Dashboard!$G$10,IF(B655&lt;Dashboard!$I$6,IF($J$2&lt;=Dashboard!$H$10,Dashboard!$H$10,MAX(Dashboard!$H$10,MIN($J$2,Dashboard!$H$10*POWER($J$2/Dashboard!$H$10,A655/$D$2)))),$I$2-D655-Dashboard!$I$10-Dashboard!$J$10-Dashboard!$F$10*$I$2)))</f>
        <v>0</v>
      </c>
      <c r="F655" s="24">
        <f t="shared" si="111"/>
        <v>10948.051370161656</v>
      </c>
      <c r="G655" s="24">
        <f t="shared" si="112"/>
        <v>14909.340799198397</v>
      </c>
      <c r="H655" s="24">
        <f t="shared" si="113"/>
        <v>0</v>
      </c>
      <c r="I655" s="24">
        <f t="shared" si="114"/>
        <v>-14909.340799198397</v>
      </c>
      <c r="J655" s="25">
        <f t="shared" si="115"/>
        <v>7.9741404289037643E-3</v>
      </c>
      <c r="K655" s="24">
        <f t="shared" si="120"/>
        <v>30152550.585091621</v>
      </c>
      <c r="L655" s="24">
        <f t="shared" si="116"/>
        <v>30152550.585091621</v>
      </c>
      <c r="M655" s="24">
        <f t="shared" si="117"/>
        <v>0</v>
      </c>
      <c r="N655" s="24">
        <f>IF(M655&lt;=0,0,IF($E$2-A655&lt;12,(M655-E655)*Dashboard!$B$18,IF($Q$2+A655&gt;=$R$2,MAX(0,M655-E655*POWER(1+$C$2,$E$2-A655))*MAX(Dashboard!$C$18,Dashboard!$B$18),IF($S$2&lt;$R$2,(M655-E655)*0.5*Dashboard!$B$18,(E655*POWER(1+$A$2,$R$2-($Q$2+A655))-E655)*0.5*Dashboard!$B$18+MAX(0,M655-E655*POWER(1+$A$2,$R$2-($Q$2+A655))*POWER(1+$C$2,$S$2-$R$2))*MAX(Dashboard!$C$18,Dashboard!$B$18)))))</f>
        <v>0</v>
      </c>
    </row>
    <row r="656" spans="1:14" x14ac:dyDescent="0.2">
      <c r="A656" s="22">
        <f t="shared" si="118"/>
        <v>651</v>
      </c>
      <c r="B656" s="23">
        <f t="shared" si="119"/>
        <v>72.304794520548185</v>
      </c>
      <c r="C656" t="str">
        <f t="shared" si="110"/>
        <v>72 y 3.66 m</v>
      </c>
      <c r="D656" s="24">
        <f>IF(A656&gt;=$E$2,IF(A656&lt;$E$2+$H$2,$P$2,0),IF(B656&lt;Dashboard!$I$6,0,IF(A656&gt;=$F$2,Dashboard!$C$22*POWER(1+$C$2,A656-$F$2),Dashboard!$C$22)))</f>
        <v>0</v>
      </c>
      <c r="E656" s="24">
        <f>IF(A656&gt;=$F$2,0,IF(A656=0,Dashboard!$G$10,IF(B656&lt;Dashboard!$I$6,IF($J$2&lt;=Dashboard!$H$10,Dashboard!$H$10,MAX(Dashboard!$H$10,MIN($J$2,Dashboard!$H$10*POWER($J$2/Dashboard!$H$10,A656/$D$2)))),$I$2-D656-Dashboard!$I$10-Dashboard!$J$10-Dashboard!$F$10*$I$2)))</f>
        <v>0</v>
      </c>
      <c r="F656" s="24">
        <f t="shared" si="111"/>
        <v>10970.602563458016</v>
      </c>
      <c r="G656" s="24">
        <f t="shared" si="112"/>
        <v>14945.136344113254</v>
      </c>
      <c r="H656" s="24">
        <f t="shared" si="113"/>
        <v>0</v>
      </c>
      <c r="I656" s="24">
        <f t="shared" si="114"/>
        <v>-14945.136344113254</v>
      </c>
      <c r="J656" s="25">
        <f t="shared" si="115"/>
        <v>7.9741404289037643E-3</v>
      </c>
      <c r="K656" s="24">
        <f t="shared" si="120"/>
        <v>30377926.946786717</v>
      </c>
      <c r="L656" s="24">
        <f t="shared" si="116"/>
        <v>30377926.946786717</v>
      </c>
      <c r="M656" s="24">
        <f t="shared" si="117"/>
        <v>0</v>
      </c>
      <c r="N656" s="24">
        <f>IF(M656&lt;=0,0,IF($E$2-A656&lt;12,(M656-E656)*Dashboard!$B$18,IF($Q$2+A656&gt;=$R$2,MAX(0,M656-E656*POWER(1+$C$2,$E$2-A656))*MAX(Dashboard!$C$18,Dashboard!$B$18),IF($S$2&lt;$R$2,(M656-E656)*0.5*Dashboard!$B$18,(E656*POWER(1+$A$2,$R$2-($Q$2+A656))-E656)*0.5*Dashboard!$B$18+MAX(0,M656-E656*POWER(1+$A$2,$R$2-($Q$2+A656))*POWER(1+$C$2,$S$2-$R$2))*MAX(Dashboard!$C$18,Dashboard!$B$18)))))</f>
        <v>0</v>
      </c>
    </row>
    <row r="657" spans="1:14" x14ac:dyDescent="0.2">
      <c r="A657" s="22">
        <f t="shared" si="118"/>
        <v>652</v>
      </c>
      <c r="B657" s="23">
        <f t="shared" si="119"/>
        <v>72.388127853881514</v>
      </c>
      <c r="C657" t="str">
        <f t="shared" si="110"/>
        <v>72 y 4.66 m</v>
      </c>
      <c r="D657" s="24">
        <f>IF(A657&gt;=$E$2,IF(A657&lt;$E$2+$H$2,$P$2,0),IF(B657&lt;Dashboard!$I$6,0,IF(A657&gt;=$F$2,Dashboard!$C$22*POWER(1+$C$2,A657-$F$2),Dashboard!$C$22)))</f>
        <v>0</v>
      </c>
      <c r="E657" s="24">
        <f>IF(A657&gt;=$F$2,0,IF(A657=0,Dashboard!$G$10,IF(B657&lt;Dashboard!$I$6,IF($J$2&lt;=Dashboard!$H$10,Dashboard!$H$10,MAX(Dashboard!$H$10,MIN($J$2,Dashboard!$H$10*POWER($J$2/Dashboard!$H$10,A657/$D$2)))),$I$2-D657-Dashboard!$I$10-Dashboard!$J$10-Dashboard!$F$10*$I$2)))</f>
        <v>0</v>
      </c>
      <c r="F657" s="24">
        <f t="shared" si="111"/>
        <v>10993.200208520255</v>
      </c>
      <c r="G657" s="24">
        <f t="shared" si="112"/>
        <v>14981.005621989823</v>
      </c>
      <c r="H657" s="24">
        <f t="shared" si="113"/>
        <v>0</v>
      </c>
      <c r="I657" s="24">
        <f t="shared" si="114"/>
        <v>-14981.005621989823</v>
      </c>
      <c r="J657" s="25">
        <f t="shared" si="115"/>
        <v>7.9741404289037643E-3</v>
      </c>
      <c r="K657" s="24">
        <f t="shared" si="120"/>
        <v>30605064.335934788</v>
      </c>
      <c r="L657" s="24">
        <f t="shared" si="116"/>
        <v>30605064.335934788</v>
      </c>
      <c r="M657" s="24">
        <f t="shared" si="117"/>
        <v>0</v>
      </c>
      <c r="N657" s="24">
        <f>IF(M657&lt;=0,0,IF($E$2-A657&lt;12,(M657-E657)*Dashboard!$B$18,IF($Q$2+A657&gt;=$R$2,MAX(0,M657-E657*POWER(1+$C$2,$E$2-A657))*MAX(Dashboard!$C$18,Dashboard!$B$18),IF($S$2&lt;$R$2,(M657-E657)*0.5*Dashboard!$B$18,(E657*POWER(1+$A$2,$R$2-($Q$2+A657))-E657)*0.5*Dashboard!$B$18+MAX(0,M657-E657*POWER(1+$A$2,$R$2-($Q$2+A657))*POWER(1+$C$2,$S$2-$R$2))*MAX(Dashboard!$C$18,Dashboard!$B$18)))))</f>
        <v>0</v>
      </c>
    </row>
    <row r="658" spans="1:14" x14ac:dyDescent="0.2">
      <c r="A658" s="22">
        <f t="shared" si="118"/>
        <v>653</v>
      </c>
      <c r="B658" s="23">
        <f t="shared" si="119"/>
        <v>72.471461187214842</v>
      </c>
      <c r="C658" t="str">
        <f t="shared" si="110"/>
        <v>72 y 5.66 m</v>
      </c>
      <c r="D658" s="24">
        <f>IF(A658&gt;=$E$2,IF(A658&lt;$E$2+$H$2,$P$2,0),IF(B658&lt;Dashboard!$I$6,0,IF(A658&gt;=$F$2,Dashboard!$C$22*POWER(1+$C$2,A658-$F$2),Dashboard!$C$22)))</f>
        <v>0</v>
      </c>
      <c r="E658" s="24">
        <f>IF(A658&gt;=$F$2,0,IF(A658=0,Dashboard!$G$10,IF(B658&lt;Dashboard!$I$6,IF($J$2&lt;=Dashboard!$H$10,Dashboard!$H$10,MAX(Dashboard!$H$10,MIN($J$2,Dashboard!$H$10*POWER($J$2/Dashboard!$H$10,A658/$D$2)))),$I$2-D658-Dashboard!$I$10-Dashboard!$J$10-Dashboard!$F$10*$I$2)))</f>
        <v>0</v>
      </c>
      <c r="F658" s="24">
        <f t="shared" si="111"/>
        <v>11015.844401031409</v>
      </c>
      <c r="G658" s="24">
        <f t="shared" si="112"/>
        <v>15016.948784705937</v>
      </c>
      <c r="H658" s="24">
        <f t="shared" si="113"/>
        <v>0</v>
      </c>
      <c r="I658" s="24">
        <f t="shared" si="114"/>
        <v>-15016.948784705937</v>
      </c>
      <c r="J658" s="25">
        <f t="shared" si="115"/>
        <v>7.9741404289037643E-3</v>
      </c>
      <c r="K658" s="24">
        <f t="shared" si="120"/>
        <v>30833976.720742039</v>
      </c>
      <c r="L658" s="24">
        <f t="shared" si="116"/>
        <v>30833976.720742039</v>
      </c>
      <c r="M658" s="24">
        <f t="shared" si="117"/>
        <v>0</v>
      </c>
      <c r="N658" s="24">
        <f>IF(M658&lt;=0,0,IF($E$2-A658&lt;12,(M658-E658)*Dashboard!$B$18,IF($Q$2+A658&gt;=$R$2,MAX(0,M658-E658*POWER(1+$C$2,$E$2-A658))*MAX(Dashboard!$C$18,Dashboard!$B$18),IF($S$2&lt;$R$2,(M658-E658)*0.5*Dashboard!$B$18,(E658*POWER(1+$A$2,$R$2-($Q$2+A658))-E658)*0.5*Dashboard!$B$18+MAX(0,M658-E658*POWER(1+$A$2,$R$2-($Q$2+A658))*POWER(1+$C$2,$S$2-$R$2))*MAX(Dashboard!$C$18,Dashboard!$B$18)))))</f>
        <v>0</v>
      </c>
    </row>
    <row r="659" spans="1:14" x14ac:dyDescent="0.2">
      <c r="A659" s="22">
        <f t="shared" si="118"/>
        <v>654</v>
      </c>
      <c r="B659" s="23">
        <f t="shared" si="119"/>
        <v>72.554794520548171</v>
      </c>
      <c r="C659" t="str">
        <f t="shared" si="110"/>
        <v>72 y 6.66 m</v>
      </c>
      <c r="D659" s="24">
        <f>IF(A659&gt;=$E$2,IF(A659&lt;$E$2+$H$2,$P$2,0),IF(B659&lt;Dashboard!$I$6,0,IF(A659&gt;=$F$2,Dashboard!$C$22*POWER(1+$C$2,A659-$F$2),Dashboard!$C$22)))</f>
        <v>0</v>
      </c>
      <c r="E659" s="24">
        <f>IF(A659&gt;=$F$2,0,IF(A659=0,Dashboard!$G$10,IF(B659&lt;Dashboard!$I$6,IF($J$2&lt;=Dashboard!$H$10,Dashboard!$H$10,MAX(Dashboard!$H$10,MIN($J$2,Dashboard!$H$10*POWER($J$2/Dashboard!$H$10,A659/$D$2)))),$I$2-D659-Dashboard!$I$10-Dashboard!$J$10-Dashboard!$F$10*$I$2)))</f>
        <v>0</v>
      </c>
      <c r="F659" s="24">
        <f t="shared" si="111"/>
        <v>11038.535236871599</v>
      </c>
      <c r="G659" s="24">
        <f t="shared" si="112"/>
        <v>15052.965984452276</v>
      </c>
      <c r="H659" s="24">
        <f t="shared" si="113"/>
        <v>0</v>
      </c>
      <c r="I659" s="24">
        <f t="shared" si="114"/>
        <v>-15052.965984452276</v>
      </c>
      <c r="J659" s="25">
        <f t="shared" si="115"/>
        <v>7.9741404289037643E-3</v>
      </c>
      <c r="K659" s="24">
        <f t="shared" si="120"/>
        <v>31064678.180645701</v>
      </c>
      <c r="L659" s="24">
        <f t="shared" si="116"/>
        <v>31064678.180645701</v>
      </c>
      <c r="M659" s="24">
        <f t="shared" si="117"/>
        <v>0</v>
      </c>
      <c r="N659" s="24">
        <f>IF(M659&lt;=0,0,IF($E$2-A659&lt;12,(M659-E659)*Dashboard!$B$18,IF($Q$2+A659&gt;=$R$2,MAX(0,M659-E659*POWER(1+$C$2,$E$2-A659))*MAX(Dashboard!$C$18,Dashboard!$B$18),IF($S$2&lt;$R$2,(M659-E659)*0.5*Dashboard!$B$18,(E659*POWER(1+$A$2,$R$2-($Q$2+A659))-E659)*0.5*Dashboard!$B$18+MAX(0,M659-E659*POWER(1+$A$2,$R$2-($Q$2+A659))*POWER(1+$C$2,$S$2-$R$2))*MAX(Dashboard!$C$18,Dashboard!$B$18)))))</f>
        <v>0</v>
      </c>
    </row>
    <row r="660" spans="1:14" x14ac:dyDescent="0.2">
      <c r="A660" s="22">
        <f t="shared" si="118"/>
        <v>655</v>
      </c>
      <c r="B660" s="23">
        <f t="shared" si="119"/>
        <v>72.6381278538815</v>
      </c>
      <c r="C660" t="str">
        <f t="shared" si="110"/>
        <v>72 y 7.66 m</v>
      </c>
      <c r="D660" s="24">
        <f>IF(A660&gt;=$E$2,IF(A660&lt;$E$2+$H$2,$P$2,0),IF(B660&lt;Dashboard!$I$6,0,IF(A660&gt;=$F$2,Dashboard!$C$22*POWER(1+$C$2,A660-$F$2),Dashboard!$C$22)))</f>
        <v>0</v>
      </c>
      <c r="E660" s="24">
        <f>IF(A660&gt;=$F$2,0,IF(A660=0,Dashboard!$G$10,IF(B660&lt;Dashboard!$I$6,IF($J$2&lt;=Dashboard!$H$10,Dashboard!$H$10,MAX(Dashboard!$H$10,MIN($J$2,Dashboard!$H$10*POWER($J$2/Dashboard!$H$10,A660/$D$2)))),$I$2-D660-Dashboard!$I$10-Dashboard!$J$10-Dashboard!$F$10*$I$2)))</f>
        <v>0</v>
      </c>
      <c r="F660" s="24">
        <f t="shared" si="111"/>
        <v>11061.272812118443</v>
      </c>
      <c r="G660" s="24">
        <f t="shared" si="112"/>
        <v>15089.057373732978</v>
      </c>
      <c r="H660" s="24">
        <f t="shared" si="113"/>
        <v>0</v>
      </c>
      <c r="I660" s="24">
        <f t="shared" si="114"/>
        <v>-15089.057373732978</v>
      </c>
      <c r="J660" s="25">
        <f t="shared" si="115"/>
        <v>7.9741404289037643E-3</v>
      </c>
      <c r="K660" s="24">
        <f t="shared" si="120"/>
        <v>31297182.907200702</v>
      </c>
      <c r="L660" s="24">
        <f t="shared" si="116"/>
        <v>31297182.907200702</v>
      </c>
      <c r="M660" s="24">
        <f t="shared" si="117"/>
        <v>0</v>
      </c>
      <c r="N660" s="24">
        <f>IF(M660&lt;=0,0,IF($E$2-A660&lt;12,(M660-E660)*Dashboard!$B$18,IF($Q$2+A660&gt;=$R$2,MAX(0,M660-E660*POWER(1+$C$2,$E$2-A660))*MAX(Dashboard!$C$18,Dashboard!$B$18),IF($S$2&lt;$R$2,(M660-E660)*0.5*Dashboard!$B$18,(E660*POWER(1+$A$2,$R$2-($Q$2+A660))-E660)*0.5*Dashboard!$B$18+MAX(0,M660-E660*POWER(1+$A$2,$R$2-($Q$2+A660))*POWER(1+$C$2,$S$2-$R$2))*MAX(Dashboard!$C$18,Dashboard!$B$18)))))</f>
        <v>0</v>
      </c>
    </row>
    <row r="661" spans="1:14" x14ac:dyDescent="0.2">
      <c r="A661" s="22">
        <f t="shared" si="118"/>
        <v>656</v>
      </c>
      <c r="B661" s="23">
        <f t="shared" si="119"/>
        <v>72.721461187214828</v>
      </c>
      <c r="C661" t="str">
        <f t="shared" si="110"/>
        <v>72 y 8.66 m</v>
      </c>
      <c r="D661" s="24">
        <f>IF(A661&gt;=$E$2,IF(A661&lt;$E$2+$H$2,$P$2,0),IF(B661&lt;Dashboard!$I$6,0,IF(A661&gt;=$F$2,Dashboard!$C$22*POWER(1+$C$2,A661-$F$2),Dashboard!$C$22)))</f>
        <v>0</v>
      </c>
      <c r="E661" s="24">
        <f>IF(A661&gt;=$F$2,0,IF(A661=0,Dashboard!$G$10,IF(B661&lt;Dashboard!$I$6,IF($J$2&lt;=Dashboard!$H$10,Dashboard!$H$10,MAX(Dashboard!$H$10,MIN($J$2,Dashboard!$H$10*POWER($J$2/Dashboard!$H$10,A661/$D$2)))),$I$2-D661-Dashboard!$I$10-Dashboard!$J$10-Dashboard!$F$10*$I$2)))</f>
        <v>0</v>
      </c>
      <c r="F661" s="24">
        <f t="shared" si="111"/>
        <v>11084.05722304747</v>
      </c>
      <c r="G661" s="24">
        <f t="shared" si="112"/>
        <v>15125.223105366355</v>
      </c>
      <c r="H661" s="24">
        <f t="shared" si="113"/>
        <v>0</v>
      </c>
      <c r="I661" s="24">
        <f t="shared" si="114"/>
        <v>-15125.223105366355</v>
      </c>
      <c r="J661" s="25">
        <f t="shared" si="115"/>
        <v>7.9741404289037643E-3</v>
      </c>
      <c r="K661" s="24">
        <f t="shared" si="120"/>
        <v>31531505.204973377</v>
      </c>
      <c r="L661" s="24">
        <f t="shared" si="116"/>
        <v>31531505.204973377</v>
      </c>
      <c r="M661" s="24">
        <f t="shared" si="117"/>
        <v>0</v>
      </c>
      <c r="N661" s="24">
        <f>IF(M661&lt;=0,0,IF($E$2-A661&lt;12,(M661-E661)*Dashboard!$B$18,IF($Q$2+A661&gt;=$R$2,MAX(0,M661-E661*POWER(1+$C$2,$E$2-A661))*MAX(Dashboard!$C$18,Dashboard!$B$18),IF($S$2&lt;$R$2,(M661-E661)*0.5*Dashboard!$B$18,(E661*POWER(1+$A$2,$R$2-($Q$2+A661))-E661)*0.5*Dashboard!$B$18+MAX(0,M661-E661*POWER(1+$A$2,$R$2-($Q$2+A661))*POWER(1+$C$2,$S$2-$R$2))*MAX(Dashboard!$C$18,Dashboard!$B$18)))))</f>
        <v>0</v>
      </c>
    </row>
    <row r="662" spans="1:14" x14ac:dyDescent="0.2">
      <c r="A662" s="22">
        <f t="shared" si="118"/>
        <v>657</v>
      </c>
      <c r="B662" s="23">
        <f t="shared" si="119"/>
        <v>72.804794520548157</v>
      </c>
      <c r="C662" t="str">
        <f t="shared" si="110"/>
        <v>72 y 9.66 m</v>
      </c>
      <c r="D662" s="24">
        <f>IF(A662&gt;=$E$2,IF(A662&lt;$E$2+$H$2,$P$2,0),IF(B662&lt;Dashboard!$I$6,0,IF(A662&gt;=$F$2,Dashboard!$C$22*POWER(1+$C$2,A662-$F$2),Dashboard!$C$22)))</f>
        <v>0</v>
      </c>
      <c r="E662" s="24">
        <f>IF(A662&gt;=$F$2,0,IF(A662=0,Dashboard!$G$10,IF(B662&lt;Dashboard!$I$6,IF($J$2&lt;=Dashboard!$H$10,Dashboard!$H$10,MAX(Dashboard!$H$10,MIN($J$2,Dashboard!$H$10*POWER($J$2/Dashboard!$H$10,A662/$D$2)))),$I$2-D662-Dashboard!$I$10-Dashboard!$J$10-Dashboard!$F$10*$I$2)))</f>
        <v>0</v>
      </c>
      <c r="F662" s="24">
        <f t="shared" si="111"/>
        <v>11106.888566132515</v>
      </c>
      <c r="G662" s="24">
        <f t="shared" si="112"/>
        <v>15161.463332485471</v>
      </c>
      <c r="H662" s="24">
        <f t="shared" si="113"/>
        <v>0</v>
      </c>
      <c r="I662" s="24">
        <f t="shared" si="114"/>
        <v>-15161.463332485471</v>
      </c>
      <c r="J662" s="25">
        <f t="shared" si="115"/>
        <v>7.9741404289037643E-3</v>
      </c>
      <c r="K662" s="24">
        <f t="shared" si="120"/>
        <v>31767659.49244234</v>
      </c>
      <c r="L662" s="24">
        <f t="shared" si="116"/>
        <v>31767659.49244234</v>
      </c>
      <c r="M662" s="24">
        <f t="shared" si="117"/>
        <v>0</v>
      </c>
      <c r="N662" s="24">
        <f>IF(M662&lt;=0,0,IF($E$2-A662&lt;12,(M662-E662)*Dashboard!$B$18,IF($Q$2+A662&gt;=$R$2,MAX(0,M662-E662*POWER(1+$C$2,$E$2-A662))*MAX(Dashboard!$C$18,Dashboard!$B$18),IF($S$2&lt;$R$2,(M662-E662)*0.5*Dashboard!$B$18,(E662*POWER(1+$A$2,$R$2-($Q$2+A662))-E662)*0.5*Dashboard!$B$18+MAX(0,M662-E662*POWER(1+$A$2,$R$2-($Q$2+A662))*POWER(1+$C$2,$S$2-$R$2))*MAX(Dashboard!$C$18,Dashboard!$B$18)))))</f>
        <v>0</v>
      </c>
    </row>
    <row r="663" spans="1:14" x14ac:dyDescent="0.2">
      <c r="A663" s="22">
        <f t="shared" si="118"/>
        <v>658</v>
      </c>
      <c r="B663" s="23">
        <f t="shared" si="119"/>
        <v>72.888127853881485</v>
      </c>
      <c r="C663" t="str">
        <f t="shared" si="110"/>
        <v>72 y 10.66 m</v>
      </c>
      <c r="D663" s="24">
        <f>IF(A663&gt;=$E$2,IF(A663&lt;$E$2+$H$2,$P$2,0),IF(B663&lt;Dashboard!$I$6,0,IF(A663&gt;=$F$2,Dashboard!$C$22*POWER(1+$C$2,A663-$F$2),Dashboard!$C$22)))</f>
        <v>0</v>
      </c>
      <c r="E663" s="24">
        <f>IF(A663&gt;=$F$2,0,IF(A663=0,Dashboard!$G$10,IF(B663&lt;Dashboard!$I$6,IF($J$2&lt;=Dashboard!$H$10,Dashboard!$H$10,MAX(Dashboard!$H$10,MIN($J$2,Dashboard!$H$10*POWER($J$2/Dashboard!$H$10,A663/$D$2)))),$I$2-D663-Dashboard!$I$10-Dashboard!$J$10-Dashboard!$F$10*$I$2)))</f>
        <v>0</v>
      </c>
      <c r="F663" s="24">
        <f t="shared" si="111"/>
        <v>11129.766938046136</v>
      </c>
      <c r="G663" s="24">
        <f t="shared" si="112"/>
        <v>15197.778208538839</v>
      </c>
      <c r="H663" s="24">
        <f t="shared" si="113"/>
        <v>0</v>
      </c>
      <c r="I663" s="24">
        <f t="shared" si="114"/>
        <v>-15197.778208538839</v>
      </c>
      <c r="J663" s="25">
        <f t="shared" si="115"/>
        <v>7.9741404289037643E-3</v>
      </c>
      <c r="K663" s="24">
        <f t="shared" si="120"/>
        <v>32005660.302906491</v>
      </c>
      <c r="L663" s="24">
        <f t="shared" si="116"/>
        <v>32005660.302906491</v>
      </c>
      <c r="M663" s="24">
        <f t="shared" si="117"/>
        <v>0</v>
      </c>
      <c r="N663" s="24">
        <f>IF(M663&lt;=0,0,IF($E$2-A663&lt;12,(M663-E663)*Dashboard!$B$18,IF($Q$2+A663&gt;=$R$2,MAX(0,M663-E663*POWER(1+$C$2,$E$2-A663))*MAX(Dashboard!$C$18,Dashboard!$B$18),IF($S$2&lt;$R$2,(M663-E663)*0.5*Dashboard!$B$18,(E663*POWER(1+$A$2,$R$2-($Q$2+A663))-E663)*0.5*Dashboard!$B$18+MAX(0,M663-E663*POWER(1+$A$2,$R$2-($Q$2+A663))*POWER(1+$C$2,$S$2-$R$2))*MAX(Dashboard!$C$18,Dashboard!$B$18)))))</f>
        <v>0</v>
      </c>
    </row>
    <row r="664" spans="1:14" x14ac:dyDescent="0.2">
      <c r="A664" s="22">
        <f t="shared" si="118"/>
        <v>659</v>
      </c>
      <c r="B664" s="23">
        <f t="shared" si="119"/>
        <v>72.971461187214814</v>
      </c>
      <c r="C664" t="str">
        <f t="shared" si="110"/>
        <v>72 y 11.66 m</v>
      </c>
      <c r="D664" s="24">
        <f>IF(A664&gt;=$E$2,IF(A664&lt;$E$2+$H$2,$P$2,0),IF(B664&lt;Dashboard!$I$6,0,IF(A664&gt;=$F$2,Dashboard!$C$22*POWER(1+$C$2,A664-$F$2),Dashboard!$C$22)))</f>
        <v>0</v>
      </c>
      <c r="E664" s="24">
        <f>IF(A664&gt;=$F$2,0,IF(A664=0,Dashboard!$G$10,IF(B664&lt;Dashboard!$I$6,IF($J$2&lt;=Dashboard!$H$10,Dashboard!$H$10,MAX(Dashboard!$H$10,MIN($J$2,Dashboard!$H$10*POWER($J$2/Dashboard!$H$10,A664/$D$2)))),$I$2-D664-Dashboard!$I$10-Dashboard!$J$10-Dashboard!$F$10*$I$2)))</f>
        <v>0</v>
      </c>
      <c r="F664" s="24">
        <f t="shared" si="111"/>
        <v>11152.692435660021</v>
      </c>
      <c r="G664" s="24">
        <f t="shared" si="112"/>
        <v>15234.16788729104</v>
      </c>
      <c r="H664" s="24">
        <f t="shared" si="113"/>
        <v>0</v>
      </c>
      <c r="I664" s="24">
        <f t="shared" si="114"/>
        <v>-15234.16788729104</v>
      </c>
      <c r="J664" s="25">
        <f t="shared" si="115"/>
        <v>7.9741404289037643E-3</v>
      </c>
      <c r="K664" s="24">
        <f t="shared" si="120"/>
        <v>32245522.285400312</v>
      </c>
      <c r="L664" s="24">
        <f t="shared" si="116"/>
        <v>32245522.285400312</v>
      </c>
      <c r="M664" s="24">
        <f t="shared" si="117"/>
        <v>0</v>
      </c>
      <c r="N664" s="24">
        <f>IF(M664&lt;=0,0,IF($E$2-A664&lt;12,(M664-E664)*Dashboard!$B$18,IF($Q$2+A664&gt;=$R$2,MAX(0,M664-E664*POWER(1+$C$2,$E$2-A664))*MAX(Dashboard!$C$18,Dashboard!$B$18),IF($S$2&lt;$R$2,(M664-E664)*0.5*Dashboard!$B$18,(E664*POWER(1+$A$2,$R$2-($Q$2+A664))-E664)*0.5*Dashboard!$B$18+MAX(0,M664-E664*POWER(1+$A$2,$R$2-($Q$2+A664))*POWER(1+$C$2,$S$2-$R$2))*MAX(Dashboard!$C$18,Dashboard!$B$18)))))</f>
        <v>0</v>
      </c>
    </row>
    <row r="665" spans="1:14" x14ac:dyDescent="0.2">
      <c r="A665" s="22">
        <f t="shared" si="118"/>
        <v>660</v>
      </c>
      <c r="B665" s="23">
        <f t="shared" si="119"/>
        <v>73.054794520548143</v>
      </c>
      <c r="C665" t="str">
        <f t="shared" si="110"/>
        <v>73 y 0.66 m</v>
      </c>
      <c r="D665" s="24">
        <f>IF(A665&gt;=$E$2,IF(A665&lt;$E$2+$H$2,$P$2,0),IF(B665&lt;Dashboard!$I$6,0,IF(A665&gt;=$F$2,Dashboard!$C$22*POWER(1+$C$2,A665-$F$2),Dashboard!$C$22)))</f>
        <v>0</v>
      </c>
      <c r="E665" s="24">
        <f>IF(A665&gt;=$F$2,0,IF(A665=0,Dashboard!$G$10,IF(B665&lt;Dashboard!$I$6,IF($J$2&lt;=Dashboard!$H$10,Dashboard!$H$10,MAX(Dashboard!$H$10,MIN($J$2,Dashboard!$H$10*POWER($J$2/Dashboard!$H$10,A665/$D$2)))),$I$2-D665-Dashboard!$I$10-Dashboard!$J$10-Dashboard!$F$10*$I$2)))</f>
        <v>0</v>
      </c>
      <c r="F665" s="24">
        <f t="shared" si="111"/>
        <v>11175.665156045394</v>
      </c>
      <c r="G665" s="24">
        <f t="shared" si="112"/>
        <v>15270.632522823378</v>
      </c>
      <c r="H665" s="24">
        <f t="shared" si="113"/>
        <v>0</v>
      </c>
      <c r="I665" s="24">
        <f t="shared" si="114"/>
        <v>-15270.632522823378</v>
      </c>
      <c r="J665" s="25">
        <f t="shared" si="115"/>
        <v>7.9741404289037643E-3</v>
      </c>
      <c r="K665" s="24">
        <f t="shared" si="120"/>
        <v>32487260.205616441</v>
      </c>
      <c r="L665" s="24">
        <f t="shared" si="116"/>
        <v>32487260.205616441</v>
      </c>
      <c r="M665" s="24">
        <f t="shared" si="117"/>
        <v>0</v>
      </c>
      <c r="N665" s="24">
        <f>IF(M665&lt;=0,0,IF($E$2-A665&lt;12,(M665-E665)*Dashboard!$B$18,IF($Q$2+A665&gt;=$R$2,MAX(0,M665-E665*POWER(1+$C$2,$E$2-A665))*MAX(Dashboard!$C$18,Dashboard!$B$18),IF($S$2&lt;$R$2,(M665-E665)*0.5*Dashboard!$B$18,(E665*POWER(1+$A$2,$R$2-($Q$2+A665))-E665)*0.5*Dashboard!$B$18+MAX(0,M665-E665*POWER(1+$A$2,$R$2-($Q$2+A665))*POWER(1+$C$2,$S$2-$R$2))*MAX(Dashboard!$C$18,Dashboard!$B$18)))))</f>
        <v>0</v>
      </c>
    </row>
    <row r="666" spans="1:14" x14ac:dyDescent="0.2">
      <c r="A666" s="22">
        <f t="shared" si="118"/>
        <v>661</v>
      </c>
      <c r="B666" s="23">
        <f t="shared" si="119"/>
        <v>73.138127853881471</v>
      </c>
      <c r="C666" t="str">
        <f t="shared" si="110"/>
        <v>73 y 1.66 m</v>
      </c>
      <c r="D666" s="24">
        <f>IF(A666&gt;=$E$2,IF(A666&lt;$E$2+$H$2,$P$2,0),IF(B666&lt;Dashboard!$I$6,0,IF(A666&gt;=$F$2,Dashboard!$C$22*POWER(1+$C$2,A666-$F$2),Dashboard!$C$22)))</f>
        <v>0</v>
      </c>
      <c r="E666" s="24">
        <f>IF(A666&gt;=$F$2,0,IF(A666=0,Dashboard!$G$10,IF(B666&lt;Dashboard!$I$6,IF($J$2&lt;=Dashboard!$H$10,Dashboard!$H$10,MAX(Dashboard!$H$10,MIN($J$2,Dashboard!$H$10*POWER($J$2/Dashboard!$H$10,A666/$D$2)))),$I$2-D666-Dashboard!$I$10-Dashboard!$J$10-Dashboard!$F$10*$I$2)))</f>
        <v>0</v>
      </c>
      <c r="F666" s="24">
        <f t="shared" si="111"/>
        <v>11198.685196473434</v>
      </c>
      <c r="G666" s="24">
        <f t="shared" si="112"/>
        <v>15307.172269534551</v>
      </c>
      <c r="H666" s="24">
        <f t="shared" si="113"/>
        <v>0</v>
      </c>
      <c r="I666" s="24">
        <f t="shared" si="114"/>
        <v>-15307.172269534551</v>
      </c>
      <c r="J666" s="25">
        <f t="shared" si="115"/>
        <v>7.9741404289037643E-3</v>
      </c>
      <c r="K666" s="24">
        <f t="shared" si="120"/>
        <v>32730888.946835581</v>
      </c>
      <c r="L666" s="24">
        <f t="shared" si="116"/>
        <v>32730888.946835581</v>
      </c>
      <c r="M666" s="24">
        <f t="shared" si="117"/>
        <v>0</v>
      </c>
      <c r="N666" s="24">
        <f>IF(M666&lt;=0,0,IF($E$2-A666&lt;12,(M666-E666)*Dashboard!$B$18,IF($Q$2+A666&gt;=$R$2,MAX(0,M666-E666*POWER(1+$C$2,$E$2-A666))*MAX(Dashboard!$C$18,Dashboard!$B$18),IF($S$2&lt;$R$2,(M666-E666)*0.5*Dashboard!$B$18,(E666*POWER(1+$A$2,$R$2-($Q$2+A666))-E666)*0.5*Dashboard!$B$18+MAX(0,M666-E666*POWER(1+$A$2,$R$2-($Q$2+A666))*POWER(1+$C$2,$S$2-$R$2))*MAX(Dashboard!$C$18,Dashboard!$B$18)))))</f>
        <v>0</v>
      </c>
    </row>
    <row r="667" spans="1:14" x14ac:dyDescent="0.2">
      <c r="A667" s="22">
        <f t="shared" si="118"/>
        <v>662</v>
      </c>
      <c r="B667" s="23">
        <f t="shared" si="119"/>
        <v>73.2214611872148</v>
      </c>
      <c r="C667" t="str">
        <f t="shared" si="110"/>
        <v>73 y 2.66 m</v>
      </c>
      <c r="D667" s="24">
        <f>IF(A667&gt;=$E$2,IF(A667&lt;$E$2+$H$2,$P$2,0),IF(B667&lt;Dashboard!$I$6,0,IF(A667&gt;=$F$2,Dashboard!$C$22*POWER(1+$C$2,A667-$F$2),Dashboard!$C$22)))</f>
        <v>0</v>
      </c>
      <c r="E667" s="24">
        <f>IF(A667&gt;=$F$2,0,IF(A667=0,Dashboard!$G$10,IF(B667&lt;Dashboard!$I$6,IF($J$2&lt;=Dashboard!$H$10,Dashboard!$H$10,MAX(Dashboard!$H$10,MIN($J$2,Dashboard!$H$10*POWER($J$2/Dashboard!$H$10,A667/$D$2)))),$I$2-D667-Dashboard!$I$10-Dashboard!$J$10-Dashboard!$F$10*$I$2)))</f>
        <v>0</v>
      </c>
      <c r="F667" s="24">
        <f t="shared" si="111"/>
        <v>11221.752654415683</v>
      </c>
      <c r="G667" s="24">
        <f t="shared" si="112"/>
        <v>15343.787282141295</v>
      </c>
      <c r="H667" s="24">
        <f t="shared" si="113"/>
        <v>0</v>
      </c>
      <c r="I667" s="24">
        <f t="shared" si="114"/>
        <v>-15343.787282141295</v>
      </c>
      <c r="J667" s="25">
        <f t="shared" si="115"/>
        <v>7.9741404289037643E-3</v>
      </c>
      <c r="K667" s="24">
        <f t="shared" si="120"/>
        <v>32976423.510863859</v>
      </c>
      <c r="L667" s="24">
        <f t="shared" si="116"/>
        <v>32976423.510863859</v>
      </c>
      <c r="M667" s="24">
        <f t="shared" si="117"/>
        <v>0</v>
      </c>
      <c r="N667" s="24">
        <f>IF(M667&lt;=0,0,IF($E$2-A667&lt;12,(M667-E667)*Dashboard!$B$18,IF($Q$2+A667&gt;=$R$2,MAX(0,M667-E667*POWER(1+$C$2,$E$2-A667))*MAX(Dashboard!$C$18,Dashboard!$B$18),IF($S$2&lt;$R$2,(M667-E667)*0.5*Dashboard!$B$18,(E667*POWER(1+$A$2,$R$2-($Q$2+A667))-E667)*0.5*Dashboard!$B$18+MAX(0,M667-E667*POWER(1+$A$2,$R$2-($Q$2+A667))*POWER(1+$C$2,$S$2-$R$2))*MAX(Dashboard!$C$18,Dashboard!$B$18)))))</f>
        <v>0</v>
      </c>
    </row>
    <row r="668" spans="1:14" x14ac:dyDescent="0.2">
      <c r="A668" s="22">
        <f t="shared" si="118"/>
        <v>663</v>
      </c>
      <c r="B668" s="23">
        <f t="shared" si="119"/>
        <v>73.304794520548128</v>
      </c>
      <c r="C668" t="str">
        <f t="shared" si="110"/>
        <v>73 y 3.66 m</v>
      </c>
      <c r="D668" s="24">
        <f>IF(A668&gt;=$E$2,IF(A668&lt;$E$2+$H$2,$P$2,0),IF(B668&lt;Dashboard!$I$6,0,IF(A668&gt;=$F$2,Dashboard!$C$22*POWER(1+$C$2,A668-$F$2),Dashboard!$C$22)))</f>
        <v>0</v>
      </c>
      <c r="E668" s="24">
        <f>IF(A668&gt;=$F$2,0,IF(A668=0,Dashboard!$G$10,IF(B668&lt;Dashboard!$I$6,IF($J$2&lt;=Dashboard!$H$10,Dashboard!$H$10,MAX(Dashboard!$H$10,MIN($J$2,Dashboard!$H$10*POWER($J$2/Dashboard!$H$10,A668/$D$2)))),$I$2-D668-Dashboard!$I$10-Dashboard!$J$10-Dashboard!$F$10*$I$2)))</f>
        <v>0</v>
      </c>
      <c r="F668" s="24">
        <f t="shared" si="111"/>
        <v>11244.86762754445</v>
      </c>
      <c r="G668" s="24">
        <f t="shared" si="112"/>
        <v>15380.477715679022</v>
      </c>
      <c r="H668" s="24">
        <f t="shared" si="113"/>
        <v>0</v>
      </c>
      <c r="I668" s="24">
        <f t="shared" si="114"/>
        <v>-15380.477715679022</v>
      </c>
      <c r="J668" s="25">
        <f t="shared" si="115"/>
        <v>7.9741404289037643E-3</v>
      </c>
      <c r="K668" s="24">
        <f t="shared" si="120"/>
        <v>33223879.018977646</v>
      </c>
      <c r="L668" s="24">
        <f t="shared" si="116"/>
        <v>33223879.018977646</v>
      </c>
      <c r="M668" s="24">
        <f t="shared" si="117"/>
        <v>0</v>
      </c>
      <c r="N668" s="24">
        <f>IF(M668&lt;=0,0,IF($E$2-A668&lt;12,(M668-E668)*Dashboard!$B$18,IF($Q$2+A668&gt;=$R$2,MAX(0,M668-E668*POWER(1+$C$2,$E$2-A668))*MAX(Dashboard!$C$18,Dashboard!$B$18),IF($S$2&lt;$R$2,(M668-E668)*0.5*Dashboard!$B$18,(E668*POWER(1+$A$2,$R$2-($Q$2+A668))-E668)*0.5*Dashboard!$B$18+MAX(0,M668-E668*POWER(1+$A$2,$R$2-($Q$2+A668))*POWER(1+$C$2,$S$2-$R$2))*MAX(Dashboard!$C$18,Dashboard!$B$18)))))</f>
        <v>0</v>
      </c>
    </row>
    <row r="669" spans="1:14" x14ac:dyDescent="0.2">
      <c r="A669" s="22">
        <f t="shared" si="118"/>
        <v>664</v>
      </c>
      <c r="B669" s="23">
        <f t="shared" si="119"/>
        <v>73.388127853881457</v>
      </c>
      <c r="C669" t="str">
        <f t="shared" si="110"/>
        <v>73 y 4.66 m</v>
      </c>
      <c r="D669" s="24">
        <f>IF(A669&gt;=$E$2,IF(A669&lt;$E$2+$H$2,$P$2,0),IF(B669&lt;Dashboard!$I$6,0,IF(A669&gt;=$F$2,Dashboard!$C$22*POWER(1+$C$2,A669-$F$2),Dashboard!$C$22)))</f>
        <v>0</v>
      </c>
      <c r="E669" s="24">
        <f>IF(A669&gt;=$F$2,0,IF(A669=0,Dashboard!$G$10,IF(B669&lt;Dashboard!$I$6,IF($J$2&lt;=Dashboard!$H$10,Dashboard!$H$10,MAX(Dashboard!$H$10,MIN($J$2,Dashboard!$H$10*POWER($J$2/Dashboard!$H$10,A669/$D$2)))),$I$2-D669-Dashboard!$I$10-Dashboard!$J$10-Dashboard!$F$10*$I$2)))</f>
        <v>0</v>
      </c>
      <c r="F669" s="24">
        <f t="shared" si="111"/>
        <v>11268.030213733249</v>
      </c>
      <c r="G669" s="24">
        <f t="shared" si="112"/>
        <v>15417.243725502514</v>
      </c>
      <c r="H669" s="24">
        <f t="shared" si="113"/>
        <v>0</v>
      </c>
      <c r="I669" s="24">
        <f t="shared" si="114"/>
        <v>-15417.243725502514</v>
      </c>
      <c r="J669" s="25">
        <f t="shared" si="115"/>
        <v>7.9741404289037643E-3</v>
      </c>
      <c r="K669" s="24">
        <f t="shared" si="120"/>
        <v>33473270.712875888</v>
      </c>
      <c r="L669" s="24">
        <f t="shared" si="116"/>
        <v>33473270.712875888</v>
      </c>
      <c r="M669" s="24">
        <f t="shared" si="117"/>
        <v>0</v>
      </c>
      <c r="N669" s="24">
        <f>IF(M669&lt;=0,0,IF($E$2-A669&lt;12,(M669-E669)*Dashboard!$B$18,IF($Q$2+A669&gt;=$R$2,MAX(0,M669-E669*POWER(1+$C$2,$E$2-A669))*MAX(Dashboard!$C$18,Dashboard!$B$18),IF($S$2&lt;$R$2,(M669-E669)*0.5*Dashboard!$B$18,(E669*POWER(1+$A$2,$R$2-($Q$2+A669))-E669)*0.5*Dashboard!$B$18+MAX(0,M669-E669*POWER(1+$A$2,$R$2-($Q$2+A669))*POWER(1+$C$2,$S$2-$R$2))*MAX(Dashboard!$C$18,Dashboard!$B$18)))))</f>
        <v>0</v>
      </c>
    </row>
    <row r="670" spans="1:14" x14ac:dyDescent="0.2">
      <c r="A670" s="22">
        <f t="shared" si="118"/>
        <v>665</v>
      </c>
      <c r="B670" s="23">
        <f t="shared" si="119"/>
        <v>73.471461187214786</v>
      </c>
      <c r="C670" t="str">
        <f t="shared" si="110"/>
        <v>73 y 5.66 m</v>
      </c>
      <c r="D670" s="24">
        <f>IF(A670&gt;=$E$2,IF(A670&lt;$E$2+$H$2,$P$2,0),IF(B670&lt;Dashboard!$I$6,0,IF(A670&gt;=$F$2,Dashboard!$C$22*POWER(1+$C$2,A670-$F$2),Dashboard!$C$22)))</f>
        <v>0</v>
      </c>
      <c r="E670" s="24">
        <f>IF(A670&gt;=$F$2,0,IF(A670=0,Dashboard!$G$10,IF(B670&lt;Dashboard!$I$6,IF($J$2&lt;=Dashboard!$H$10,Dashboard!$H$10,MAX(Dashboard!$H$10,MIN($J$2,Dashboard!$H$10*POWER($J$2/Dashboard!$H$10,A670/$D$2)))),$I$2-D670-Dashboard!$I$10-Dashboard!$J$10-Dashboard!$F$10*$I$2)))</f>
        <v>0</v>
      </c>
      <c r="F670" s="24">
        <f t="shared" si="111"/>
        <v>11291.24051105718</v>
      </c>
      <c r="G670" s="24">
        <f t="shared" si="112"/>
        <v>15454.08546728653</v>
      </c>
      <c r="H670" s="24">
        <f t="shared" si="113"/>
        <v>0</v>
      </c>
      <c r="I670" s="24">
        <f t="shared" si="114"/>
        <v>-15454.08546728653</v>
      </c>
      <c r="J670" s="25">
        <f t="shared" si="115"/>
        <v>7.9741404289037643E-3</v>
      </c>
      <c r="K670" s="24">
        <f t="shared" si="120"/>
        <v>33724613.95564007</v>
      </c>
      <c r="L670" s="24">
        <f t="shared" si="116"/>
        <v>33724613.95564007</v>
      </c>
      <c r="M670" s="24">
        <f t="shared" si="117"/>
        <v>0</v>
      </c>
      <c r="N670" s="24">
        <f>IF(M670&lt;=0,0,IF($E$2-A670&lt;12,(M670-E670)*Dashboard!$B$18,IF($Q$2+A670&gt;=$R$2,MAX(0,M670-E670*POWER(1+$C$2,$E$2-A670))*MAX(Dashboard!$C$18,Dashboard!$B$18),IF($S$2&lt;$R$2,(M670-E670)*0.5*Dashboard!$B$18,(E670*POWER(1+$A$2,$R$2-($Q$2+A670))-E670)*0.5*Dashboard!$B$18+MAX(0,M670-E670*POWER(1+$A$2,$R$2-($Q$2+A670))*POWER(1+$C$2,$S$2-$R$2))*MAX(Dashboard!$C$18,Dashboard!$B$18)))))</f>
        <v>0</v>
      </c>
    </row>
    <row r="671" spans="1:14" x14ac:dyDescent="0.2">
      <c r="A671" s="22">
        <f t="shared" si="118"/>
        <v>666</v>
      </c>
      <c r="B671" s="23">
        <f t="shared" si="119"/>
        <v>73.554794520548114</v>
      </c>
      <c r="C671" t="str">
        <f t="shared" si="110"/>
        <v>73 y 6.66 m</v>
      </c>
      <c r="D671" s="24">
        <f>IF(A671&gt;=$E$2,IF(A671&lt;$E$2+$H$2,$P$2,0),IF(B671&lt;Dashboard!$I$6,0,IF(A671&gt;=$F$2,Dashboard!$C$22*POWER(1+$C$2,A671-$F$2),Dashboard!$C$22)))</f>
        <v>0</v>
      </c>
      <c r="E671" s="24">
        <f>IF(A671&gt;=$F$2,0,IF(A671=0,Dashboard!$G$10,IF(B671&lt;Dashboard!$I$6,IF($J$2&lt;=Dashboard!$H$10,Dashboard!$H$10,MAX(Dashboard!$H$10,MIN($J$2,Dashboard!$H$10*POWER($J$2/Dashboard!$H$10,A671/$D$2)))),$I$2-D671-Dashboard!$I$10-Dashboard!$J$10-Dashboard!$F$10*$I$2)))</f>
        <v>0</v>
      </c>
      <c r="F671" s="24">
        <f t="shared" si="111"/>
        <v>11314.498617793372</v>
      </c>
      <c r="G671" s="24">
        <f t="shared" si="112"/>
        <v>15491.003097026514</v>
      </c>
      <c r="H671" s="24">
        <f t="shared" si="113"/>
        <v>0</v>
      </c>
      <c r="I671" s="24">
        <f t="shared" si="114"/>
        <v>-15491.003097026514</v>
      </c>
      <c r="J671" s="25">
        <f t="shared" si="115"/>
        <v>7.9741404289037643E-3</v>
      </c>
      <c r="K671" s="24">
        <f t="shared" si="120"/>
        <v>33977924.232701801</v>
      </c>
      <c r="L671" s="24">
        <f t="shared" si="116"/>
        <v>33977924.232701801</v>
      </c>
      <c r="M671" s="24">
        <f t="shared" si="117"/>
        <v>0</v>
      </c>
      <c r="N671" s="24">
        <f>IF(M671&lt;=0,0,IF($E$2-A671&lt;12,(M671-E671)*Dashboard!$B$18,IF($Q$2+A671&gt;=$R$2,MAX(0,M671-E671*POWER(1+$C$2,$E$2-A671))*MAX(Dashboard!$C$18,Dashboard!$B$18),IF($S$2&lt;$R$2,(M671-E671)*0.5*Dashboard!$B$18,(E671*POWER(1+$A$2,$R$2-($Q$2+A671))-E671)*0.5*Dashboard!$B$18+MAX(0,M671-E671*POWER(1+$A$2,$R$2-($Q$2+A671))*POWER(1+$C$2,$S$2-$R$2))*MAX(Dashboard!$C$18,Dashboard!$B$18)))))</f>
        <v>0</v>
      </c>
    </row>
    <row r="672" spans="1:14" x14ac:dyDescent="0.2">
      <c r="A672" s="22">
        <f t="shared" si="118"/>
        <v>667</v>
      </c>
      <c r="B672" s="23">
        <f t="shared" si="119"/>
        <v>73.638127853881443</v>
      </c>
      <c r="C672" t="str">
        <f t="shared" si="110"/>
        <v>73 y 7.66 m</v>
      </c>
      <c r="D672" s="24">
        <f>IF(A672&gt;=$E$2,IF(A672&lt;$E$2+$H$2,$P$2,0),IF(B672&lt;Dashboard!$I$6,0,IF(A672&gt;=$F$2,Dashboard!$C$22*POWER(1+$C$2,A672-$F$2),Dashboard!$C$22)))</f>
        <v>0</v>
      </c>
      <c r="E672" s="24">
        <f>IF(A672&gt;=$F$2,0,IF(A672=0,Dashboard!$G$10,IF(B672&lt;Dashboard!$I$6,IF($J$2&lt;=Dashboard!$H$10,Dashboard!$H$10,MAX(Dashboard!$H$10,MIN($J$2,Dashboard!$H$10*POWER($J$2/Dashboard!$H$10,A672/$D$2)))),$I$2-D672-Dashboard!$I$10-Dashboard!$J$10-Dashboard!$F$10*$I$2)))</f>
        <v>0</v>
      </c>
      <c r="F672" s="24">
        <f t="shared" si="111"/>
        <v>11337.80463242139</v>
      </c>
      <c r="G672" s="24">
        <f t="shared" si="112"/>
        <v>15527.996771039243</v>
      </c>
      <c r="H672" s="24">
        <f t="shared" si="113"/>
        <v>0</v>
      </c>
      <c r="I672" s="24">
        <f t="shared" si="114"/>
        <v>-15527.996771039243</v>
      </c>
      <c r="J672" s="25">
        <f t="shared" si="115"/>
        <v>7.9741404289037643E-3</v>
      </c>
      <c r="K672" s="24">
        <f t="shared" si="120"/>
        <v>34233217.152818151</v>
      </c>
      <c r="L672" s="24">
        <f t="shared" si="116"/>
        <v>34233217.152818151</v>
      </c>
      <c r="M672" s="24">
        <f t="shared" si="117"/>
        <v>0</v>
      </c>
      <c r="N672" s="24">
        <f>IF(M672&lt;=0,0,IF($E$2-A672&lt;12,(M672-E672)*Dashboard!$B$18,IF($Q$2+A672&gt;=$R$2,MAX(0,M672-E672*POWER(1+$C$2,$E$2-A672))*MAX(Dashboard!$C$18,Dashboard!$B$18),IF($S$2&lt;$R$2,(M672-E672)*0.5*Dashboard!$B$18,(E672*POWER(1+$A$2,$R$2-($Q$2+A672))-E672)*0.5*Dashboard!$B$18+MAX(0,M672-E672*POWER(1+$A$2,$R$2-($Q$2+A672))*POWER(1+$C$2,$S$2-$R$2))*MAX(Dashboard!$C$18,Dashboard!$B$18)))))</f>
        <v>0</v>
      </c>
    </row>
    <row r="673" spans="1:14" x14ac:dyDescent="0.2">
      <c r="A673" s="22">
        <f t="shared" si="118"/>
        <v>668</v>
      </c>
      <c r="B673" s="23">
        <f t="shared" si="119"/>
        <v>73.721461187214771</v>
      </c>
      <c r="C673" t="str">
        <f t="shared" si="110"/>
        <v>73 y 8.66 m</v>
      </c>
      <c r="D673" s="24">
        <f>IF(A673&gt;=$E$2,IF(A673&lt;$E$2+$H$2,$P$2,0),IF(B673&lt;Dashboard!$I$6,0,IF(A673&gt;=$F$2,Dashboard!$C$22*POWER(1+$C$2,A673-$F$2),Dashboard!$C$22)))</f>
        <v>0</v>
      </c>
      <c r="E673" s="24">
        <f>IF(A673&gt;=$F$2,0,IF(A673=0,Dashboard!$G$10,IF(B673&lt;Dashboard!$I$6,IF($J$2&lt;=Dashboard!$H$10,Dashboard!$H$10,MAX(Dashboard!$H$10,MIN($J$2,Dashboard!$H$10*POWER($J$2/Dashboard!$H$10,A673/$D$2)))),$I$2-D673-Dashboard!$I$10-Dashboard!$J$10-Dashboard!$F$10*$I$2)))</f>
        <v>0</v>
      </c>
      <c r="F673" s="24">
        <f t="shared" si="111"/>
        <v>11361.158653623639</v>
      </c>
      <c r="G673" s="24">
        <f t="shared" si="112"/>
        <v>15565.066645963447</v>
      </c>
      <c r="H673" s="24">
        <f t="shared" si="113"/>
        <v>0</v>
      </c>
      <c r="I673" s="24">
        <f t="shared" si="114"/>
        <v>-15565.066645963447</v>
      </c>
      <c r="J673" s="25">
        <f t="shared" si="115"/>
        <v>7.9741404289037643E-3</v>
      </c>
      <c r="K673" s="24">
        <f t="shared" si="120"/>
        <v>34490508.449054696</v>
      </c>
      <c r="L673" s="24">
        <f t="shared" si="116"/>
        <v>34490508.449054696</v>
      </c>
      <c r="M673" s="24">
        <f t="shared" si="117"/>
        <v>0</v>
      </c>
      <c r="N673" s="24">
        <f>IF(M673&lt;=0,0,IF($E$2-A673&lt;12,(M673-E673)*Dashboard!$B$18,IF($Q$2+A673&gt;=$R$2,MAX(0,M673-E673*POWER(1+$C$2,$E$2-A673))*MAX(Dashboard!$C$18,Dashboard!$B$18),IF($S$2&lt;$R$2,(M673-E673)*0.5*Dashboard!$B$18,(E673*POWER(1+$A$2,$R$2-($Q$2+A673))-E673)*0.5*Dashboard!$B$18+MAX(0,M673-E673*POWER(1+$A$2,$R$2-($Q$2+A673))*POWER(1+$C$2,$S$2-$R$2))*MAX(Dashboard!$C$18,Dashboard!$B$18)))))</f>
        <v>0</v>
      </c>
    </row>
    <row r="674" spans="1:14" x14ac:dyDescent="0.2">
      <c r="A674" s="22">
        <f t="shared" si="118"/>
        <v>669</v>
      </c>
      <c r="B674" s="23">
        <f t="shared" si="119"/>
        <v>73.8047945205481</v>
      </c>
      <c r="C674" t="str">
        <f t="shared" si="110"/>
        <v>73 y 9.66 m</v>
      </c>
      <c r="D674" s="24">
        <f>IF(A674&gt;=$E$2,IF(A674&lt;$E$2+$H$2,$P$2,0),IF(B674&lt;Dashboard!$I$6,0,IF(A674&gt;=$F$2,Dashboard!$C$22*POWER(1+$C$2,A674-$F$2),Dashboard!$C$22)))</f>
        <v>0</v>
      </c>
      <c r="E674" s="24">
        <f>IF(A674&gt;=$F$2,0,IF(A674=0,Dashboard!$G$10,IF(B674&lt;Dashboard!$I$6,IF($J$2&lt;=Dashboard!$H$10,Dashboard!$H$10,MAX(Dashboard!$H$10,MIN($J$2,Dashboard!$H$10*POWER($J$2/Dashboard!$H$10,A674/$D$2)))),$I$2-D674-Dashboard!$I$10-Dashboard!$J$10-Dashboard!$F$10*$I$2)))</f>
        <v>0</v>
      </c>
      <c r="F674" s="24">
        <f t="shared" si="111"/>
        <v>11384.560780285812</v>
      </c>
      <c r="G674" s="24">
        <f t="shared" si="112"/>
        <v>15602.212878760547</v>
      </c>
      <c r="H674" s="24">
        <f t="shared" si="113"/>
        <v>0</v>
      </c>
      <c r="I674" s="24">
        <f t="shared" si="114"/>
        <v>-15602.212878760547</v>
      </c>
      <c r="J674" s="25">
        <f t="shared" si="115"/>
        <v>7.9741404289037643E-3</v>
      </c>
      <c r="K674" s="24">
        <f t="shared" si="120"/>
        <v>34749813.979776487</v>
      </c>
      <c r="L674" s="24">
        <f t="shared" si="116"/>
        <v>34749813.979776487</v>
      </c>
      <c r="M674" s="24">
        <f t="shared" si="117"/>
        <v>0</v>
      </c>
      <c r="N674" s="24">
        <f>IF(M674&lt;=0,0,IF($E$2-A674&lt;12,(M674-E674)*Dashboard!$B$18,IF($Q$2+A674&gt;=$R$2,MAX(0,M674-E674*POWER(1+$C$2,$E$2-A674))*MAX(Dashboard!$C$18,Dashboard!$B$18),IF($S$2&lt;$R$2,(M674-E674)*0.5*Dashboard!$B$18,(E674*POWER(1+$A$2,$R$2-($Q$2+A674))-E674)*0.5*Dashboard!$B$18+MAX(0,M674-E674*POWER(1+$A$2,$R$2-($Q$2+A674))*POWER(1+$C$2,$S$2-$R$2))*MAX(Dashboard!$C$18,Dashboard!$B$18)))))</f>
        <v>0</v>
      </c>
    </row>
    <row r="675" spans="1:14" x14ac:dyDescent="0.2">
      <c r="A675" s="22">
        <f t="shared" si="118"/>
        <v>670</v>
      </c>
      <c r="B675" s="23">
        <f t="shared" si="119"/>
        <v>73.888127853881429</v>
      </c>
      <c r="C675" t="str">
        <f t="shared" si="110"/>
        <v>73 y 10.66 m</v>
      </c>
      <c r="D675" s="24">
        <f>IF(A675&gt;=$E$2,IF(A675&lt;$E$2+$H$2,$P$2,0),IF(B675&lt;Dashboard!$I$6,0,IF(A675&gt;=$F$2,Dashboard!$C$22*POWER(1+$C$2,A675-$F$2),Dashboard!$C$22)))</f>
        <v>0</v>
      </c>
      <c r="E675" s="24">
        <f>IF(A675&gt;=$F$2,0,IF(A675=0,Dashboard!$G$10,IF(B675&lt;Dashboard!$I$6,IF($J$2&lt;=Dashboard!$H$10,Dashboard!$H$10,MAX(Dashboard!$H$10,MIN($J$2,Dashboard!$H$10*POWER($J$2/Dashboard!$H$10,A675/$D$2)))),$I$2-D675-Dashboard!$I$10-Dashboard!$J$10-Dashboard!$F$10*$I$2)))</f>
        <v>0</v>
      </c>
      <c r="F675" s="24">
        <f t="shared" si="111"/>
        <v>11408.011111497275</v>
      </c>
      <c r="G675" s="24">
        <f t="shared" si="112"/>
        <v>15639.435626715253</v>
      </c>
      <c r="H675" s="24">
        <f t="shared" si="113"/>
        <v>0</v>
      </c>
      <c r="I675" s="24">
        <f t="shared" si="114"/>
        <v>-15639.435626715253</v>
      </c>
      <c r="J675" s="25">
        <f t="shared" si="115"/>
        <v>7.9741404289037643E-3</v>
      </c>
      <c r="K675" s="24">
        <f t="shared" si="120"/>
        <v>35011149.729646876</v>
      </c>
      <c r="L675" s="24">
        <f t="shared" si="116"/>
        <v>35011149.729646876</v>
      </c>
      <c r="M675" s="24">
        <f t="shared" si="117"/>
        <v>0</v>
      </c>
      <c r="N675" s="24">
        <f>IF(M675&lt;=0,0,IF($E$2-A675&lt;12,(M675-E675)*Dashboard!$B$18,IF($Q$2+A675&gt;=$R$2,MAX(0,M675-E675*POWER(1+$C$2,$E$2-A675))*MAX(Dashboard!$C$18,Dashboard!$B$18),IF($S$2&lt;$R$2,(M675-E675)*0.5*Dashboard!$B$18,(E675*POWER(1+$A$2,$R$2-($Q$2+A675))-E675)*0.5*Dashboard!$B$18+MAX(0,M675-E675*POWER(1+$A$2,$R$2-($Q$2+A675))*POWER(1+$C$2,$S$2-$R$2))*MAX(Dashboard!$C$18,Dashboard!$B$18)))))</f>
        <v>0</v>
      </c>
    </row>
    <row r="676" spans="1:14" x14ac:dyDescent="0.2">
      <c r="A676" s="22">
        <f t="shared" si="118"/>
        <v>671</v>
      </c>
      <c r="B676" s="23">
        <f t="shared" si="119"/>
        <v>73.971461187214757</v>
      </c>
      <c r="C676" t="str">
        <f t="shared" si="110"/>
        <v>73 y 11.66 m</v>
      </c>
      <c r="D676" s="24">
        <f>IF(A676&gt;=$E$2,IF(A676&lt;$E$2+$H$2,$P$2,0),IF(B676&lt;Dashboard!$I$6,0,IF(A676&gt;=$F$2,Dashboard!$C$22*POWER(1+$C$2,A676-$F$2),Dashboard!$C$22)))</f>
        <v>0</v>
      </c>
      <c r="E676" s="24">
        <f>IF(A676&gt;=$F$2,0,IF(A676=0,Dashboard!$G$10,IF(B676&lt;Dashboard!$I$6,IF($J$2&lt;=Dashboard!$H$10,Dashboard!$H$10,MAX(Dashboard!$H$10,MIN($J$2,Dashboard!$H$10*POWER($J$2/Dashboard!$H$10,A676/$D$2)))),$I$2-D676-Dashboard!$I$10-Dashboard!$J$10-Dashboard!$F$10*$I$2)))</f>
        <v>0</v>
      </c>
      <c r="F676" s="24">
        <f t="shared" si="111"/>
        <v>11431.509746551505</v>
      </c>
      <c r="G676" s="24">
        <f t="shared" si="112"/>
        <v>15676.735047436248</v>
      </c>
      <c r="H676" s="24">
        <f t="shared" si="113"/>
        <v>0</v>
      </c>
      <c r="I676" s="24">
        <f t="shared" si="114"/>
        <v>-15676.735047436248</v>
      </c>
      <c r="J676" s="25">
        <f t="shared" si="115"/>
        <v>7.9741404289037643E-3</v>
      </c>
      <c r="K676" s="24">
        <f t="shared" si="120"/>
        <v>35274531.810634285</v>
      </c>
      <c r="L676" s="24">
        <f t="shared" si="116"/>
        <v>35274531.810634285</v>
      </c>
      <c r="M676" s="24">
        <f t="shared" si="117"/>
        <v>0</v>
      </c>
      <c r="N676" s="24">
        <f>IF(M676&lt;=0,0,IF($E$2-A676&lt;12,(M676-E676)*Dashboard!$B$18,IF($Q$2+A676&gt;=$R$2,MAX(0,M676-E676*POWER(1+$C$2,$E$2-A676))*MAX(Dashboard!$C$18,Dashboard!$B$18),IF($S$2&lt;$R$2,(M676-E676)*0.5*Dashboard!$B$18,(E676*POWER(1+$A$2,$R$2-($Q$2+A676))-E676)*0.5*Dashboard!$B$18+MAX(0,M676-E676*POWER(1+$A$2,$R$2-($Q$2+A676))*POWER(1+$C$2,$S$2-$R$2))*MAX(Dashboard!$C$18,Dashboard!$B$18)))))</f>
        <v>0</v>
      </c>
    </row>
    <row r="677" spans="1:14" x14ac:dyDescent="0.2">
      <c r="A677" s="22">
        <f t="shared" si="118"/>
        <v>672</v>
      </c>
      <c r="B677" s="23">
        <f t="shared" si="119"/>
        <v>74.054794520548086</v>
      </c>
      <c r="C677" t="str">
        <f t="shared" si="110"/>
        <v>74 y 0.66 m</v>
      </c>
      <c r="D677" s="24">
        <f>IF(A677&gt;=$E$2,IF(A677&lt;$E$2+$H$2,$P$2,0),IF(B677&lt;Dashboard!$I$6,0,IF(A677&gt;=$F$2,Dashboard!$C$22*POWER(1+$C$2,A677-$F$2),Dashboard!$C$22)))</f>
        <v>0</v>
      </c>
      <c r="E677" s="24">
        <f>IF(A677&gt;=$F$2,0,IF(A677=0,Dashboard!$G$10,IF(B677&lt;Dashboard!$I$6,IF($J$2&lt;=Dashboard!$H$10,Dashboard!$H$10,MAX(Dashboard!$H$10,MIN($J$2,Dashboard!$H$10*POWER($J$2/Dashboard!$H$10,A677/$D$2)))),$I$2-D677-Dashboard!$I$10-Dashboard!$J$10-Dashboard!$F$10*$I$2)))</f>
        <v>0</v>
      </c>
      <c r="F677" s="24">
        <f t="shared" si="111"/>
        <v>11455.056784946511</v>
      </c>
      <c r="G677" s="24">
        <f t="shared" si="112"/>
        <v>15714.111298856895</v>
      </c>
      <c r="H677" s="24">
        <f t="shared" si="113"/>
        <v>0</v>
      </c>
      <c r="I677" s="24">
        <f t="shared" si="114"/>
        <v>-15714.111298856895</v>
      </c>
      <c r="J677" s="25">
        <f t="shared" si="115"/>
        <v>7.9741404289037643E-3</v>
      </c>
      <c r="K677" s="24">
        <f t="shared" si="120"/>
        <v>35539976.463027045</v>
      </c>
      <c r="L677" s="24">
        <f t="shared" si="116"/>
        <v>35539976.463027045</v>
      </c>
      <c r="M677" s="24">
        <f t="shared" si="117"/>
        <v>0</v>
      </c>
      <c r="N677" s="24">
        <f>IF(M677&lt;=0,0,IF($E$2-A677&lt;12,(M677-E677)*Dashboard!$B$18,IF($Q$2+A677&gt;=$R$2,MAX(0,M677-E677*POWER(1+$C$2,$E$2-A677))*MAX(Dashboard!$C$18,Dashboard!$B$18),IF($S$2&lt;$R$2,(M677-E677)*0.5*Dashboard!$B$18,(E677*POWER(1+$A$2,$R$2-($Q$2+A677))-E677)*0.5*Dashboard!$B$18+MAX(0,M677-E677*POWER(1+$A$2,$R$2-($Q$2+A677))*POWER(1+$C$2,$S$2-$R$2))*MAX(Dashboard!$C$18,Dashboard!$B$18)))))</f>
        <v>0</v>
      </c>
    </row>
    <row r="678" spans="1:14" x14ac:dyDescent="0.2">
      <c r="A678" s="22">
        <f t="shared" si="118"/>
        <v>673</v>
      </c>
      <c r="B678" s="23">
        <f t="shared" si="119"/>
        <v>74.138127853881414</v>
      </c>
      <c r="C678" t="str">
        <f t="shared" si="110"/>
        <v>74 y 1.66 m</v>
      </c>
      <c r="D678" s="24">
        <f>IF(A678&gt;=$E$2,IF(A678&lt;$E$2+$H$2,$P$2,0),IF(B678&lt;Dashboard!$I$6,0,IF(A678&gt;=$F$2,Dashboard!$C$22*POWER(1+$C$2,A678-$F$2),Dashboard!$C$22)))</f>
        <v>0</v>
      </c>
      <c r="E678" s="24">
        <f>IF(A678&gt;=$F$2,0,IF(A678=0,Dashboard!$G$10,IF(B678&lt;Dashboard!$I$6,IF($J$2&lt;=Dashboard!$H$10,Dashboard!$H$10,MAX(Dashboard!$H$10,MIN($J$2,Dashboard!$H$10*POWER($J$2/Dashboard!$H$10,A678/$D$2)))),$I$2-D678-Dashboard!$I$10-Dashboard!$J$10-Dashboard!$F$10*$I$2)))</f>
        <v>0</v>
      </c>
      <c r="F678" s="24">
        <f t="shared" si="111"/>
        <v>11478.652326385254</v>
      </c>
      <c r="G678" s="24">
        <f t="shared" si="112"/>
        <v>15751.564539235851</v>
      </c>
      <c r="H678" s="24">
        <f t="shared" si="113"/>
        <v>0</v>
      </c>
      <c r="I678" s="24">
        <f t="shared" si="114"/>
        <v>-15751.564539235851</v>
      </c>
      <c r="J678" s="25">
        <f t="shared" si="115"/>
        <v>7.9741404289037643E-3</v>
      </c>
      <c r="K678" s="24">
        <f t="shared" si="120"/>
        <v>35807500.056456305</v>
      </c>
      <c r="L678" s="24">
        <f t="shared" si="116"/>
        <v>35807500.056456305</v>
      </c>
      <c r="M678" s="24">
        <f t="shared" si="117"/>
        <v>0</v>
      </c>
      <c r="N678" s="24">
        <f>IF(M678&lt;=0,0,IF($E$2-A678&lt;12,(M678-E678)*Dashboard!$B$18,IF($Q$2+A678&gt;=$R$2,MAX(0,M678-E678*POWER(1+$C$2,$E$2-A678))*MAX(Dashboard!$C$18,Dashboard!$B$18),IF($S$2&lt;$R$2,(M678-E678)*0.5*Dashboard!$B$18,(E678*POWER(1+$A$2,$R$2-($Q$2+A678))-E678)*0.5*Dashboard!$B$18+MAX(0,M678-E678*POWER(1+$A$2,$R$2-($Q$2+A678))*POWER(1+$C$2,$S$2-$R$2))*MAX(Dashboard!$C$18,Dashboard!$B$18)))))</f>
        <v>0</v>
      </c>
    </row>
    <row r="679" spans="1:14" x14ac:dyDescent="0.2">
      <c r="A679" s="22">
        <f t="shared" si="118"/>
        <v>674</v>
      </c>
      <c r="B679" s="23">
        <f t="shared" si="119"/>
        <v>74.221461187214743</v>
      </c>
      <c r="C679" t="str">
        <f t="shared" si="110"/>
        <v>74 y 2.66 m</v>
      </c>
      <c r="D679" s="24">
        <f>IF(A679&gt;=$E$2,IF(A679&lt;$E$2+$H$2,$P$2,0),IF(B679&lt;Dashboard!$I$6,0,IF(A679&gt;=$F$2,Dashboard!$C$22*POWER(1+$C$2,A679-$F$2),Dashboard!$C$22)))</f>
        <v>0</v>
      </c>
      <c r="E679" s="24">
        <f>IF(A679&gt;=$F$2,0,IF(A679=0,Dashboard!$G$10,IF(B679&lt;Dashboard!$I$6,IF($J$2&lt;=Dashboard!$H$10,Dashboard!$H$10,MAX(Dashboard!$H$10,MIN($J$2,Dashboard!$H$10*POWER($J$2/Dashboard!$H$10,A679/$D$2)))),$I$2-D679-Dashboard!$I$10-Dashboard!$J$10-Dashboard!$F$10*$I$2)))</f>
        <v>0</v>
      </c>
      <c r="F679" s="24">
        <f t="shared" si="111"/>
        <v>11502.296470776057</v>
      </c>
      <c r="G679" s="24">
        <f t="shared" si="112"/>
        <v>15789.094927157763</v>
      </c>
      <c r="H679" s="24">
        <f t="shared" si="113"/>
        <v>0</v>
      </c>
      <c r="I679" s="24">
        <f t="shared" si="114"/>
        <v>-15789.094927157763</v>
      </c>
      <c r="J679" s="25">
        <f t="shared" si="115"/>
        <v>7.9741404289037643E-3</v>
      </c>
      <c r="K679" s="24">
        <f t="shared" si="120"/>
        <v>36077119.090927117</v>
      </c>
      <c r="L679" s="24">
        <f t="shared" si="116"/>
        <v>36077119.090927117</v>
      </c>
      <c r="M679" s="24">
        <f t="shared" si="117"/>
        <v>0</v>
      </c>
      <c r="N679" s="24">
        <f>IF(M679&lt;=0,0,IF($E$2-A679&lt;12,(M679-E679)*Dashboard!$B$18,IF($Q$2+A679&gt;=$R$2,MAX(0,M679-E679*POWER(1+$C$2,$E$2-A679))*MAX(Dashboard!$C$18,Dashboard!$B$18),IF($S$2&lt;$R$2,(M679-E679)*0.5*Dashboard!$B$18,(E679*POWER(1+$A$2,$R$2-($Q$2+A679))-E679)*0.5*Dashboard!$B$18+MAX(0,M679-E679*POWER(1+$A$2,$R$2-($Q$2+A679))*POWER(1+$C$2,$S$2-$R$2))*MAX(Dashboard!$C$18,Dashboard!$B$18)))))</f>
        <v>0</v>
      </c>
    </row>
    <row r="680" spans="1:14" x14ac:dyDescent="0.2">
      <c r="A680" s="22">
        <f t="shared" si="118"/>
        <v>675</v>
      </c>
      <c r="B680" s="23">
        <f t="shared" si="119"/>
        <v>74.304794520548072</v>
      </c>
      <c r="C680" t="str">
        <f t="shared" si="110"/>
        <v>74 y 3.66 m</v>
      </c>
      <c r="D680" s="24">
        <f>IF(A680&gt;=$E$2,IF(A680&lt;$E$2+$H$2,$P$2,0),IF(B680&lt;Dashboard!$I$6,0,IF(A680&gt;=$F$2,Dashboard!$C$22*POWER(1+$C$2,A680-$F$2),Dashboard!$C$22)))</f>
        <v>0</v>
      </c>
      <c r="E680" s="24">
        <f>IF(A680&gt;=$F$2,0,IF(A680=0,Dashboard!$G$10,IF(B680&lt;Dashboard!$I$6,IF($J$2&lt;=Dashboard!$H$10,Dashboard!$H$10,MAX(Dashboard!$H$10,MIN($J$2,Dashboard!$H$10*POWER($J$2/Dashboard!$H$10,A680/$D$2)))),$I$2-D680-Dashboard!$I$10-Dashboard!$J$10-Dashboard!$F$10*$I$2)))</f>
        <v>0</v>
      </c>
      <c r="F680" s="24">
        <f t="shared" si="111"/>
        <v>11525.989318233047</v>
      </c>
      <c r="G680" s="24">
        <f t="shared" si="112"/>
        <v>15826.702621533936</v>
      </c>
      <c r="H680" s="24">
        <f t="shared" si="113"/>
        <v>0</v>
      </c>
      <c r="I680" s="24">
        <f t="shared" si="114"/>
        <v>-15826.702621533936</v>
      </c>
      <c r="J680" s="25">
        <f t="shared" si="115"/>
        <v>7.9741404289037643E-3</v>
      </c>
      <c r="K680" s="24">
        <f t="shared" si="120"/>
        <v>36348850.197857693</v>
      </c>
      <c r="L680" s="24">
        <f t="shared" si="116"/>
        <v>36348850.197857693</v>
      </c>
      <c r="M680" s="24">
        <f t="shared" si="117"/>
        <v>0</v>
      </c>
      <c r="N680" s="24">
        <f>IF(M680&lt;=0,0,IF($E$2-A680&lt;12,(M680-E680)*Dashboard!$B$18,IF($Q$2+A680&gt;=$R$2,MAX(0,M680-E680*POWER(1+$C$2,$E$2-A680))*MAX(Dashboard!$C$18,Dashboard!$B$18),IF($S$2&lt;$R$2,(M680-E680)*0.5*Dashboard!$B$18,(E680*POWER(1+$A$2,$R$2-($Q$2+A680))-E680)*0.5*Dashboard!$B$18+MAX(0,M680-E680*POWER(1+$A$2,$R$2-($Q$2+A680))*POWER(1+$C$2,$S$2-$R$2))*MAX(Dashboard!$C$18,Dashboard!$B$18)))))</f>
        <v>0</v>
      </c>
    </row>
    <row r="681" spans="1:14" x14ac:dyDescent="0.2">
      <c r="A681" s="22">
        <f t="shared" si="118"/>
        <v>676</v>
      </c>
      <c r="B681" s="23">
        <f t="shared" si="119"/>
        <v>74.3881278538814</v>
      </c>
      <c r="C681" t="str">
        <f t="shared" si="110"/>
        <v>74 y 4.66 m</v>
      </c>
      <c r="D681" s="24">
        <f>IF(A681&gt;=$E$2,IF(A681&lt;$E$2+$H$2,$P$2,0),IF(B681&lt;Dashboard!$I$6,0,IF(A681&gt;=$F$2,Dashboard!$C$22*POWER(1+$C$2,A681-$F$2),Dashboard!$C$22)))</f>
        <v>0</v>
      </c>
      <c r="E681" s="24">
        <f>IF(A681&gt;=$F$2,0,IF(A681=0,Dashboard!$G$10,IF(B681&lt;Dashboard!$I$6,IF($J$2&lt;=Dashboard!$H$10,Dashboard!$H$10,MAX(Dashboard!$H$10,MIN($J$2,Dashboard!$H$10*POWER($J$2/Dashboard!$H$10,A681/$D$2)))),$I$2-D681-Dashboard!$I$10-Dashboard!$J$10-Dashboard!$F$10*$I$2)))</f>
        <v>0</v>
      </c>
      <c r="F681" s="24">
        <f t="shared" si="111"/>
        <v>11549.730969076561</v>
      </c>
      <c r="G681" s="24">
        <f t="shared" si="112"/>
        <v>15868.904792260415</v>
      </c>
      <c r="H681" s="24">
        <f t="shared" si="113"/>
        <v>0</v>
      </c>
      <c r="I681" s="24">
        <f t="shared" si="114"/>
        <v>-15868.904792260415</v>
      </c>
      <c r="J681" s="25">
        <f t="shared" si="115"/>
        <v>7.9741404289037643E-3</v>
      </c>
      <c r="K681" s="24">
        <f t="shared" si="120"/>
        <v>36622705.588097066</v>
      </c>
      <c r="L681" s="24">
        <f t="shared" si="116"/>
        <v>36622705.588097066</v>
      </c>
      <c r="M681" s="24">
        <f t="shared" si="117"/>
        <v>0</v>
      </c>
      <c r="N681" s="24">
        <f>IF(M681&lt;=0,0,IF($E$2-A681&lt;12,(M681-E681)*Dashboard!$B$18,IF($Q$2+A681&gt;=$R$2,MAX(0,M681-E681*POWER(1+$C$2,$E$2-A681))*MAX(Dashboard!$C$18,Dashboard!$B$18),IF($S$2&lt;$R$2,(M681-E681)*0.5*Dashboard!$B$18,(E681*POWER(1+$A$2,$R$2-($Q$2+A681))-E681)*0.5*Dashboard!$B$18+MAX(0,M681-E681*POWER(1+$A$2,$R$2-($Q$2+A681))*POWER(1+$C$2,$S$2-$R$2))*MAX(Dashboard!$C$18,Dashboard!$B$18)))))</f>
        <v>0</v>
      </c>
    </row>
    <row r="682" spans="1:14" x14ac:dyDescent="0.2">
      <c r="A682" s="22">
        <f t="shared" si="118"/>
        <v>677</v>
      </c>
      <c r="B682" s="23">
        <f t="shared" si="119"/>
        <v>74.471461187214729</v>
      </c>
      <c r="C682" t="str">
        <f t="shared" si="110"/>
        <v>74 y 5.66 m</v>
      </c>
      <c r="D682" s="24">
        <f>IF(A682&gt;=$E$2,IF(A682&lt;$E$2+$H$2,$P$2,0),IF(B682&lt;Dashboard!$I$6,0,IF(A682&gt;=$F$2,Dashboard!$C$22*POWER(1+$C$2,A682-$F$2),Dashboard!$C$22)))</f>
        <v>0</v>
      </c>
      <c r="E682" s="24">
        <f>IF(A682&gt;=$F$2,0,IF(A682=0,Dashboard!$G$10,IF(B682&lt;Dashboard!$I$6,IF($J$2&lt;=Dashboard!$H$10,Dashboard!$H$10,MAX(Dashboard!$H$10,MIN($J$2,Dashboard!$H$10*POWER($J$2/Dashboard!$H$10,A682/$D$2)))),$I$2-D682-Dashboard!$I$10-Dashboard!$J$10-Dashboard!$F$10*$I$2)))</f>
        <v>0</v>
      </c>
      <c r="F682" s="24">
        <f t="shared" si="111"/>
        <v>11573.52152383359</v>
      </c>
      <c r="G682" s="24">
        <f t="shared" si="112"/>
        <v>15912.160346364102</v>
      </c>
      <c r="H682" s="24">
        <f t="shared" si="113"/>
        <v>0</v>
      </c>
      <c r="I682" s="24">
        <f t="shared" si="114"/>
        <v>-15912.160346364102</v>
      </c>
      <c r="J682" s="25">
        <f t="shared" si="115"/>
        <v>7.9741404289037643E-3</v>
      </c>
      <c r="K682" s="24">
        <f t="shared" si="120"/>
        <v>36898701.139195457</v>
      </c>
      <c r="L682" s="24">
        <f t="shared" si="116"/>
        <v>36898701.139195457</v>
      </c>
      <c r="M682" s="24">
        <f t="shared" si="117"/>
        <v>0</v>
      </c>
      <c r="N682" s="24">
        <f>IF(M682&lt;=0,0,IF($E$2-A682&lt;12,(M682-E682)*Dashboard!$B$18,IF($Q$2+A682&gt;=$R$2,MAX(0,M682-E682*POWER(1+$C$2,$E$2-A682))*MAX(Dashboard!$C$18,Dashboard!$B$18),IF($S$2&lt;$R$2,(M682-E682)*0.5*Dashboard!$B$18,(E682*POWER(1+$A$2,$R$2-($Q$2+A682))-E682)*0.5*Dashboard!$B$18+MAX(0,M682-E682*POWER(1+$A$2,$R$2-($Q$2+A682))*POWER(1+$C$2,$S$2-$R$2))*MAX(Dashboard!$C$18,Dashboard!$B$18)))))</f>
        <v>0</v>
      </c>
    </row>
    <row r="683" spans="1:14" x14ac:dyDescent="0.2">
      <c r="A683" s="22">
        <f t="shared" si="118"/>
        <v>678</v>
      </c>
      <c r="B683" s="23">
        <f t="shared" si="119"/>
        <v>74.554794520548057</v>
      </c>
      <c r="C683" t="str">
        <f t="shared" si="110"/>
        <v>74 y 6.66 m</v>
      </c>
      <c r="D683" s="24">
        <f>IF(A683&gt;=$E$2,IF(A683&lt;$E$2+$H$2,$P$2,0),IF(B683&lt;Dashboard!$I$6,0,IF(A683&gt;=$F$2,Dashboard!$C$22*POWER(1+$C$2,A683-$F$2),Dashboard!$C$22)))</f>
        <v>0</v>
      </c>
      <c r="E683" s="24">
        <f>IF(A683&gt;=$F$2,0,IF(A683=0,Dashboard!$G$10,IF(B683&lt;Dashboard!$I$6,IF($J$2&lt;=Dashboard!$H$10,Dashboard!$H$10,MAX(Dashboard!$H$10,MIN($J$2,Dashboard!$H$10*POWER($J$2/Dashboard!$H$10,A683/$D$2)))),$I$2-D683-Dashboard!$I$10-Dashboard!$J$10-Dashboard!$F$10*$I$2)))</f>
        <v>0</v>
      </c>
      <c r="F683" s="24">
        <f t="shared" si="111"/>
        <v>11597.361083238191</v>
      </c>
      <c r="G683" s="24">
        <f t="shared" si="112"/>
        <v>15955.504999827013</v>
      </c>
      <c r="H683" s="24">
        <f t="shared" si="113"/>
        <v>0</v>
      </c>
      <c r="I683" s="24">
        <f t="shared" si="114"/>
        <v>-15955.504999827013</v>
      </c>
      <c r="J683" s="25">
        <f t="shared" si="115"/>
        <v>7.9741404289037643E-3</v>
      </c>
      <c r="K683" s="24">
        <f t="shared" si="120"/>
        <v>37176853.827286243</v>
      </c>
      <c r="L683" s="24">
        <f t="shared" si="116"/>
        <v>37176853.827286243</v>
      </c>
      <c r="M683" s="24">
        <f t="shared" si="117"/>
        <v>0</v>
      </c>
      <c r="N683" s="24">
        <f>IF(M683&lt;=0,0,IF($E$2-A683&lt;12,(M683-E683)*Dashboard!$B$18,IF($Q$2+A683&gt;=$R$2,MAX(0,M683-E683*POWER(1+$C$2,$E$2-A683))*MAX(Dashboard!$C$18,Dashboard!$B$18),IF($S$2&lt;$R$2,(M683-E683)*0.5*Dashboard!$B$18,(E683*POWER(1+$A$2,$R$2-($Q$2+A683))-E683)*0.5*Dashboard!$B$18+MAX(0,M683-E683*POWER(1+$A$2,$R$2-($Q$2+A683))*POWER(1+$C$2,$S$2-$R$2))*MAX(Dashboard!$C$18,Dashboard!$B$18)))))</f>
        <v>0</v>
      </c>
    </row>
    <row r="684" spans="1:14" x14ac:dyDescent="0.2">
      <c r="A684" s="22">
        <f t="shared" si="118"/>
        <v>679</v>
      </c>
      <c r="B684" s="23">
        <f t="shared" si="119"/>
        <v>74.638127853881386</v>
      </c>
      <c r="C684" t="str">
        <f t="shared" si="110"/>
        <v>74 y 7.66 m</v>
      </c>
      <c r="D684" s="24">
        <f>IF(A684&gt;=$E$2,IF(A684&lt;$E$2+$H$2,$P$2,0),IF(B684&lt;Dashboard!$I$6,0,IF(A684&gt;=$F$2,Dashboard!$C$22*POWER(1+$C$2,A684-$F$2),Dashboard!$C$22)))</f>
        <v>0</v>
      </c>
      <c r="E684" s="24">
        <f>IF(A684&gt;=$F$2,0,IF(A684=0,Dashboard!$G$10,IF(B684&lt;Dashboard!$I$6,IF($J$2&lt;=Dashboard!$H$10,Dashboard!$H$10,MAX(Dashboard!$H$10,MIN($J$2,Dashboard!$H$10*POWER($J$2/Dashboard!$H$10,A684/$D$2)))),$I$2-D684-Dashboard!$I$10-Dashboard!$J$10-Dashboard!$F$10*$I$2)))</f>
        <v>0</v>
      </c>
      <c r="F684" s="24">
        <f t="shared" si="111"/>
        <v>11621.249748231907</v>
      </c>
      <c r="G684" s="24">
        <f t="shared" si="112"/>
        <v>15998.938936179222</v>
      </c>
      <c r="H684" s="24">
        <f t="shared" si="113"/>
        <v>0</v>
      </c>
      <c r="I684" s="24">
        <f t="shared" si="114"/>
        <v>-15998.938936179222</v>
      </c>
      <c r="J684" s="25">
        <f t="shared" si="115"/>
        <v>7.9741404289037643E-3</v>
      </c>
      <c r="K684" s="24">
        <f t="shared" si="120"/>
        <v>37457180.763687879</v>
      </c>
      <c r="L684" s="24">
        <f t="shared" si="116"/>
        <v>37457180.763687879</v>
      </c>
      <c r="M684" s="24">
        <f t="shared" si="117"/>
        <v>0</v>
      </c>
      <c r="N684" s="24">
        <f>IF(M684&lt;=0,0,IF($E$2-A684&lt;12,(M684-E684)*Dashboard!$B$18,IF($Q$2+A684&gt;=$R$2,MAX(0,M684-E684*POWER(1+$C$2,$E$2-A684))*MAX(Dashboard!$C$18,Dashboard!$B$18),IF($S$2&lt;$R$2,(M684-E684)*0.5*Dashboard!$B$18,(E684*POWER(1+$A$2,$R$2-($Q$2+A684))-E684)*0.5*Dashboard!$B$18+MAX(0,M684-E684*POWER(1+$A$2,$R$2-($Q$2+A684))*POWER(1+$C$2,$S$2-$R$2))*MAX(Dashboard!$C$18,Dashboard!$B$18)))))</f>
        <v>0</v>
      </c>
    </row>
    <row r="685" spans="1:14" x14ac:dyDescent="0.2">
      <c r="A685" s="22">
        <f t="shared" si="118"/>
        <v>680</v>
      </c>
      <c r="B685" s="23">
        <f t="shared" si="119"/>
        <v>74.721461187214715</v>
      </c>
      <c r="C685" t="str">
        <f t="shared" si="110"/>
        <v>74 y 8.66 m</v>
      </c>
      <c r="D685" s="24">
        <f>IF(A685&gt;=$E$2,IF(A685&lt;$E$2+$H$2,$P$2,0),IF(B685&lt;Dashboard!$I$6,0,IF(A685&gt;=$F$2,Dashboard!$C$22*POWER(1+$C$2,A685-$F$2),Dashboard!$C$22)))</f>
        <v>0</v>
      </c>
      <c r="E685" s="24">
        <f>IF(A685&gt;=$F$2,0,IF(A685=0,Dashboard!$G$10,IF(B685&lt;Dashboard!$I$6,IF($J$2&lt;=Dashboard!$H$10,Dashboard!$H$10,MAX(Dashboard!$H$10,MIN($J$2,Dashboard!$H$10*POWER($J$2/Dashboard!$H$10,A685/$D$2)))),$I$2-D685-Dashboard!$I$10-Dashboard!$J$10-Dashboard!$F$10*$I$2)))</f>
        <v>0</v>
      </c>
      <c r="F685" s="24">
        <f t="shared" si="111"/>
        <v>11645.187619964216</v>
      </c>
      <c r="G685" s="24">
        <f t="shared" si="112"/>
        <v>16042.462339328878</v>
      </c>
      <c r="H685" s="24">
        <f t="shared" si="113"/>
        <v>0</v>
      </c>
      <c r="I685" s="24">
        <f t="shared" si="114"/>
        <v>-16042.462339328878</v>
      </c>
      <c r="J685" s="25">
        <f t="shared" si="115"/>
        <v>7.9741404289037643E-3</v>
      </c>
      <c r="K685" s="24">
        <f t="shared" si="120"/>
        <v>37739699.19598151</v>
      </c>
      <c r="L685" s="24">
        <f t="shared" si="116"/>
        <v>37739699.19598151</v>
      </c>
      <c r="M685" s="24">
        <f t="shared" si="117"/>
        <v>0</v>
      </c>
      <c r="N685" s="24">
        <f>IF(M685&lt;=0,0,IF($E$2-A685&lt;12,(M685-E685)*Dashboard!$B$18,IF($Q$2+A685&gt;=$R$2,MAX(0,M685-E685*POWER(1+$C$2,$E$2-A685))*MAX(Dashboard!$C$18,Dashboard!$B$18),IF($S$2&lt;$R$2,(M685-E685)*0.5*Dashboard!$B$18,(E685*POWER(1+$A$2,$R$2-($Q$2+A685))-E685)*0.5*Dashboard!$B$18+MAX(0,M685-E685*POWER(1+$A$2,$R$2-($Q$2+A685))*POWER(1+$C$2,$S$2-$R$2))*MAX(Dashboard!$C$18,Dashboard!$B$18)))))</f>
        <v>0</v>
      </c>
    </row>
    <row r="686" spans="1:14" x14ac:dyDescent="0.2">
      <c r="A686" s="22">
        <f t="shared" si="118"/>
        <v>681</v>
      </c>
      <c r="B686" s="23">
        <f t="shared" si="119"/>
        <v>74.804794520548043</v>
      </c>
      <c r="C686" t="str">
        <f t="shared" si="110"/>
        <v>74 y 9.66 m</v>
      </c>
      <c r="D686" s="24">
        <f>IF(A686&gt;=$E$2,IF(A686&lt;$E$2+$H$2,$P$2,0),IF(B686&lt;Dashboard!$I$6,0,IF(A686&gt;=$F$2,Dashboard!$C$22*POWER(1+$C$2,A686-$F$2),Dashboard!$C$22)))</f>
        <v>0</v>
      </c>
      <c r="E686" s="24">
        <f>IF(A686&gt;=$F$2,0,IF(A686=0,Dashboard!$G$10,IF(B686&lt;Dashboard!$I$6,IF($J$2&lt;=Dashboard!$H$10,Dashboard!$H$10,MAX(Dashboard!$H$10,MIN($J$2,Dashboard!$H$10*POWER($J$2/Dashboard!$H$10,A686/$D$2)))),$I$2-D686-Dashboard!$I$10-Dashboard!$J$10-Dashboard!$F$10*$I$2)))</f>
        <v>0</v>
      </c>
      <c r="F686" s="24">
        <f t="shared" si="111"/>
        <v>11669.174799792941</v>
      </c>
      <c r="G686" s="24">
        <f t="shared" si="112"/>
        <v>16086.075393562924</v>
      </c>
      <c r="H686" s="24">
        <f t="shared" si="113"/>
        <v>0</v>
      </c>
      <c r="I686" s="24">
        <f t="shared" si="114"/>
        <v>-16086.075393562924</v>
      </c>
      <c r="J686" s="25">
        <f t="shared" si="115"/>
        <v>7.9741404289037643E-3</v>
      </c>
      <c r="K686" s="24">
        <f t="shared" si="120"/>
        <v>38024426.509097151</v>
      </c>
      <c r="L686" s="24">
        <f t="shared" si="116"/>
        <v>38024426.509097151</v>
      </c>
      <c r="M686" s="24">
        <f t="shared" si="117"/>
        <v>0</v>
      </c>
      <c r="N686" s="24">
        <f>IF(M686&lt;=0,0,IF($E$2-A686&lt;12,(M686-E686)*Dashboard!$B$18,IF($Q$2+A686&gt;=$R$2,MAX(0,M686-E686*POWER(1+$C$2,$E$2-A686))*MAX(Dashboard!$C$18,Dashboard!$B$18),IF($S$2&lt;$R$2,(M686-E686)*0.5*Dashboard!$B$18,(E686*POWER(1+$A$2,$R$2-($Q$2+A686))-E686)*0.5*Dashboard!$B$18+MAX(0,M686-E686*POWER(1+$A$2,$R$2-($Q$2+A686))*POWER(1+$C$2,$S$2-$R$2))*MAX(Dashboard!$C$18,Dashboard!$B$18)))))</f>
        <v>0</v>
      </c>
    </row>
    <row r="687" spans="1:14" x14ac:dyDescent="0.2">
      <c r="A687" s="22">
        <f t="shared" si="118"/>
        <v>682</v>
      </c>
      <c r="B687" s="23">
        <f t="shared" si="119"/>
        <v>74.888127853881372</v>
      </c>
      <c r="C687" t="str">
        <f t="shared" si="110"/>
        <v>74 y 10.66 m</v>
      </c>
      <c r="D687" s="24">
        <f>IF(A687&gt;=$E$2,IF(A687&lt;$E$2+$H$2,$P$2,0),IF(B687&lt;Dashboard!$I$6,0,IF(A687&gt;=$F$2,Dashboard!$C$22*POWER(1+$C$2,A687-$F$2),Dashboard!$C$22)))</f>
        <v>0</v>
      </c>
      <c r="E687" s="24">
        <f>IF(A687&gt;=$F$2,0,IF(A687=0,Dashboard!$G$10,IF(B687&lt;Dashboard!$I$6,IF($J$2&lt;=Dashboard!$H$10,Dashboard!$H$10,MAX(Dashboard!$H$10,MIN($J$2,Dashboard!$H$10*POWER($J$2/Dashboard!$H$10,A687/$D$2)))),$I$2-D687-Dashboard!$I$10-Dashboard!$J$10-Dashboard!$F$10*$I$2)))</f>
        <v>0</v>
      </c>
      <c r="F687" s="24">
        <f t="shared" si="111"/>
        <v>11693.21138928469</v>
      </c>
      <c r="G687" s="24">
        <f t="shared" si="112"/>
        <v>16129.778283547921</v>
      </c>
      <c r="H687" s="24">
        <f t="shared" si="113"/>
        <v>0</v>
      </c>
      <c r="I687" s="24">
        <f t="shared" si="114"/>
        <v>-16129.778283547921</v>
      </c>
      <c r="J687" s="25">
        <f t="shared" si="115"/>
        <v>7.9741404289037643E-3</v>
      </c>
      <c r="K687" s="24">
        <f t="shared" si="120"/>
        <v>38311380.226408549</v>
      </c>
      <c r="L687" s="24">
        <f t="shared" si="116"/>
        <v>38311380.226408549</v>
      </c>
      <c r="M687" s="24">
        <f t="shared" si="117"/>
        <v>0</v>
      </c>
      <c r="N687" s="24">
        <f>IF(M687&lt;=0,0,IF($E$2-A687&lt;12,(M687-E687)*Dashboard!$B$18,IF($Q$2+A687&gt;=$R$2,MAX(0,M687-E687*POWER(1+$C$2,$E$2-A687))*MAX(Dashboard!$C$18,Dashboard!$B$18),IF($S$2&lt;$R$2,(M687-E687)*0.5*Dashboard!$B$18,(E687*POWER(1+$A$2,$R$2-($Q$2+A687))-E687)*0.5*Dashboard!$B$18+MAX(0,M687-E687*POWER(1+$A$2,$R$2-($Q$2+A687))*POWER(1+$C$2,$S$2-$R$2))*MAX(Dashboard!$C$18,Dashboard!$B$18)))))</f>
        <v>0</v>
      </c>
    </row>
    <row r="688" spans="1:14" x14ac:dyDescent="0.2">
      <c r="A688" s="22">
        <f t="shared" si="118"/>
        <v>683</v>
      </c>
      <c r="B688" s="23">
        <f t="shared" si="119"/>
        <v>74.9714611872147</v>
      </c>
      <c r="C688" t="str">
        <f t="shared" si="110"/>
        <v>74 y 11.66 m</v>
      </c>
      <c r="D688" s="24">
        <f>IF(A688&gt;=$E$2,IF(A688&lt;$E$2+$H$2,$P$2,0),IF(B688&lt;Dashboard!$I$6,0,IF(A688&gt;=$F$2,Dashboard!$C$22*POWER(1+$C$2,A688-$F$2),Dashboard!$C$22)))</f>
        <v>0</v>
      </c>
      <c r="E688" s="24">
        <f>IF(A688&gt;=$F$2,0,IF(A688=0,Dashboard!$G$10,IF(B688&lt;Dashboard!$I$6,IF($J$2&lt;=Dashboard!$H$10,Dashboard!$H$10,MAX(Dashboard!$H$10,MIN($J$2,Dashboard!$H$10*POWER($J$2/Dashboard!$H$10,A688/$D$2)))),$I$2-D688-Dashboard!$I$10-Dashboard!$J$10-Dashboard!$F$10*$I$2)))</f>
        <v>0</v>
      </c>
      <c r="F688" s="24">
        <f t="shared" si="111"/>
        <v>11717.297490215278</v>
      </c>
      <c r="G688" s="24">
        <f t="shared" si="112"/>
        <v>16173.571194330811</v>
      </c>
      <c r="H688" s="24">
        <f t="shared" si="113"/>
        <v>0</v>
      </c>
      <c r="I688" s="24">
        <f t="shared" si="114"/>
        <v>-16173.571194330811</v>
      </c>
      <c r="J688" s="25">
        <f t="shared" si="115"/>
        <v>7.9741404289037643E-3</v>
      </c>
      <c r="K688" s="24">
        <f t="shared" si="120"/>
        <v>38600578.010836788</v>
      </c>
      <c r="L688" s="24">
        <f t="shared" si="116"/>
        <v>38600578.010836788</v>
      </c>
      <c r="M688" s="24">
        <f t="shared" si="117"/>
        <v>0</v>
      </c>
      <c r="N688" s="24">
        <f>IF(M688&lt;=0,0,IF($E$2-A688&lt;12,(M688-E688)*Dashboard!$B$18,IF($Q$2+A688&gt;=$R$2,MAX(0,M688-E688*POWER(1+$C$2,$E$2-A688))*MAX(Dashboard!$C$18,Dashboard!$B$18),IF($S$2&lt;$R$2,(M688-E688)*0.5*Dashboard!$B$18,(E688*POWER(1+$A$2,$R$2-($Q$2+A688))-E688)*0.5*Dashboard!$B$18+MAX(0,M688-E688*POWER(1+$A$2,$R$2-($Q$2+A688))*POWER(1+$C$2,$S$2-$R$2))*MAX(Dashboard!$C$18,Dashboard!$B$18)))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88"/>
  <sheetViews>
    <sheetView zoomScaleNormal="100" workbookViewId="0">
      <pane ySplit="4" topLeftCell="A586" activePane="bottomLeft" state="frozen"/>
      <selection pane="bottomLeft" activeCell="B21" sqref="B21"/>
    </sheetView>
  </sheetViews>
  <sheetFormatPr baseColWidth="10" defaultColWidth="8.6640625" defaultRowHeight="15" x14ac:dyDescent="0.2"/>
  <cols>
    <col min="1" max="2" width="8" customWidth="1"/>
    <col min="3" max="3" width="12" customWidth="1"/>
    <col min="4" max="4" width="11" customWidth="1"/>
    <col min="5" max="6" width="12" customWidth="1"/>
    <col min="7" max="7" width="13" customWidth="1"/>
    <col min="8" max="9" width="12" customWidth="1"/>
    <col min="10" max="10" width="10" customWidth="1"/>
    <col min="11" max="13" width="14" customWidth="1"/>
    <col min="14" max="14" width="12" customWidth="1"/>
  </cols>
  <sheetData>
    <row r="1" spans="1:24" x14ac:dyDescent="0.2">
      <c r="A1" s="19" t="s">
        <v>68</v>
      </c>
      <c r="B1" s="19" t="s">
        <v>69</v>
      </c>
      <c r="C1" s="19" t="s">
        <v>70</v>
      </c>
      <c r="D1" s="19" t="s">
        <v>71</v>
      </c>
      <c r="E1" s="19" t="s">
        <v>72</v>
      </c>
      <c r="F1" s="19" t="s">
        <v>73</v>
      </c>
      <c r="G1" s="19" t="s">
        <v>74</v>
      </c>
      <c r="H1" s="19" t="s">
        <v>75</v>
      </c>
      <c r="I1" s="19" t="s">
        <v>76</v>
      </c>
      <c r="J1" s="19" t="s">
        <v>77</v>
      </c>
      <c r="K1" s="19" t="s">
        <v>78</v>
      </c>
      <c r="L1" s="19" t="s">
        <v>79</v>
      </c>
      <c r="M1" s="19" t="s">
        <v>80</v>
      </c>
      <c r="N1" s="19" t="s">
        <v>81</v>
      </c>
      <c r="O1" s="19" t="s">
        <v>82</v>
      </c>
      <c r="P1" s="19" t="s">
        <v>83</v>
      </c>
      <c r="Q1" s="19" t="s">
        <v>84</v>
      </c>
      <c r="R1" s="19" t="s">
        <v>85</v>
      </c>
      <c r="S1" s="19" t="s">
        <v>86</v>
      </c>
      <c r="T1" s="19" t="s">
        <v>87</v>
      </c>
      <c r="U1" s="19" t="s">
        <v>88</v>
      </c>
      <c r="V1" s="19" t="s">
        <v>89</v>
      </c>
      <c r="W1" s="19" t="s">
        <v>90</v>
      </c>
      <c r="X1" s="19" t="s">
        <v>91</v>
      </c>
    </row>
    <row r="2" spans="1:24" x14ac:dyDescent="0.2">
      <c r="A2" s="20">
        <f>(1+Dashboard!$B$10)^(1/12)-1</f>
        <v>7.9741404289037643E-3</v>
      </c>
      <c r="B2" s="20">
        <f>(1+Dashboard!$C$10)^(1/12)-1</f>
        <v>7.9741404289037643E-3</v>
      </c>
      <c r="C2" s="20">
        <f>(1+Dashboard!$E$10)^(1/12)-1</f>
        <v>2.0598362698427408E-3</v>
      </c>
      <c r="D2" s="20">
        <f>MAX(1,ROUND((Dashboard!$I$6-Dashboard!$F$6)*12,0))</f>
        <v>83</v>
      </c>
      <c r="E2" s="20">
        <f>MAX(1,ROUND((Dashboard!$D$23-Dashboard!$F$6)*12,0))</f>
        <v>83</v>
      </c>
      <c r="F2" s="20">
        <f>MAX(1,ROUND((Dashboard!$F$23-Dashboard!$F$6)*12,0))</f>
        <v>383</v>
      </c>
      <c r="G2" s="20">
        <f>ROUND((Dashboard!$J$6-Dashboard!$F$6)*12,0)</f>
        <v>503</v>
      </c>
      <c r="H2" s="20">
        <f>Dashboard!$E$23*12</f>
        <v>360</v>
      </c>
      <c r="I2" s="20">
        <f>Dashboard!$E$6</f>
        <v>13202</v>
      </c>
      <c r="J2" s="20">
        <f>$I$2-IF(Dashboard!$D$23&lt;=Dashboard!$I$6,$P$2,Dashboard!$C$23)-Dashboard!$I$10-Dashboard!$J$10-Dashboard!$F$10*$I$2</f>
        <v>1789.4325484761255</v>
      </c>
      <c r="K2" s="20">
        <f>$I$2-Dashboard!$C$23-Dashboard!$I$10-Dashboard!$J$10-Dashboard!$F$10*$I$2</f>
        <v>6881.8</v>
      </c>
      <c r="L2" s="20">
        <f>$I$2-$P$2-Dashboard!$I$10-Dashboard!$J$10-Dashboard!$F$10*$I$2</f>
        <v>1789.4325484761255</v>
      </c>
      <c r="M2" s="20">
        <f>$I$2-Dashboard!$I$10-Dashboard!$J$10-Dashboard!$F$10*$I$2</f>
        <v>6881.8</v>
      </c>
      <c r="N2" s="20">
        <f>Dashboard!$G$23*Dashboard!$H$23</f>
        <v>44703.378332560504</v>
      </c>
      <c r="O2" s="20">
        <f>Dashboard!$G$23-$N$2</f>
        <v>849364.18831864942</v>
      </c>
      <c r="P2" s="20">
        <f>IF(OR($O$2&lt;=0,$H$2&lt;=0),0,-PMT(Dashboard!$D$10/12,$H$2,$O$2))</f>
        <v>5092.3674515238745</v>
      </c>
      <c r="Q2" s="20">
        <f>Dashboard!$G$6*12+Dashboard!$H$6-1</f>
        <v>24306</v>
      </c>
      <c r="R2" s="20">
        <f>Dashboard!$D$18*12+Dashboard!$E$18-1</f>
        <v>24330</v>
      </c>
      <c r="S2" s="20">
        <f>$Q$2+$E$2</f>
        <v>24389</v>
      </c>
      <c r="T2" s="20">
        <f>SUM($M$5:$M$688)</f>
        <v>302847.3694385431</v>
      </c>
      <c r="U2" s="20">
        <f>SUM($N$5:$N$688)</f>
        <v>41243.542101761072</v>
      </c>
      <c r="V2" s="20">
        <f>IF($T$2-$U$2&gt;0,$T$2/($T$2-$U$2),1)</f>
        <v>1.1576564934910727</v>
      </c>
      <c r="W2" s="20">
        <f>$N$2*$V$2*Dashboard!$I$23</f>
        <v>51751.156207676788</v>
      </c>
      <c r="X2" s="20">
        <f>Dashboard!$I$10+Dashboard!$J$10+Dashboard!$F$10*$I$2</f>
        <v>6320.2</v>
      </c>
    </row>
    <row r="4" spans="1:24" x14ac:dyDescent="0.2">
      <c r="A4" s="21" t="s">
        <v>92</v>
      </c>
      <c r="B4" s="21" t="s">
        <v>93</v>
      </c>
      <c r="C4" s="21" t="s">
        <v>94</v>
      </c>
      <c r="D4" s="21" t="s">
        <v>95</v>
      </c>
      <c r="E4" s="21" t="s">
        <v>96</v>
      </c>
      <c r="F4" s="21" t="s">
        <v>97</v>
      </c>
      <c r="G4" s="21" t="s">
        <v>98</v>
      </c>
      <c r="H4" s="21" t="s">
        <v>99</v>
      </c>
      <c r="I4" s="21" t="s">
        <v>100</v>
      </c>
      <c r="J4" s="21" t="s">
        <v>101</v>
      </c>
      <c r="K4" s="21" t="s">
        <v>102</v>
      </c>
      <c r="L4" s="21" t="s">
        <v>103</v>
      </c>
      <c r="M4" s="21" t="s">
        <v>104</v>
      </c>
      <c r="N4" s="21" t="s">
        <v>105</v>
      </c>
    </row>
    <row r="5" spans="1:24" x14ac:dyDescent="0.2">
      <c r="A5" s="22">
        <v>0</v>
      </c>
      <c r="B5" s="23">
        <f>Dashboard!$F$6</f>
        <v>18.054794520547944</v>
      </c>
      <c r="C5" t="str">
        <f t="shared" ref="C5:C68" si="0">INT(B5)&amp;" y "&amp;ROUND((B5-INT(B5))*12,2)&amp;" m"</f>
        <v>18 y 0.66 m</v>
      </c>
      <c r="D5" s="24">
        <f>IF(A5&gt;=$E$2,IF(A5&lt;$E$2+$H$2,$P$2,0),IF(B5&lt;Dashboard!$I$6,0,IF(A5&gt;=$F$2,Dashboard!$C$23*POWER(1+$C$2,A5-$F$2),Dashboard!$C$23)))</f>
        <v>0</v>
      </c>
      <c r="E5" s="24">
        <f>IF(A5&gt;=$F$2,0,IF(A5=0,Dashboard!$G$10,IF(B5&lt;Dashboard!$I$6,IF($J$2&lt;=Dashboard!$H$10,Dashboard!$H$10,MAX(Dashboard!$H$10,MIN($J$2,Dashboard!$H$10*POWER($J$2/Dashboard!$H$10,A5/$D$2)))),$I$2-D5-Dashboard!$I$10-Dashboard!$J$10-Dashboard!$F$10*$I$2)))</f>
        <v>100000</v>
      </c>
      <c r="F5" s="24">
        <f t="shared" ref="F5:F68" si="1">IF(A5&gt;=$F$2,$X$2*POWER(1+$C$2,A5-$F$2)+D5,0)</f>
        <v>0</v>
      </c>
      <c r="G5" s="24">
        <f t="shared" ref="G5:G68" si="2">IF(F5&lt;=0,0,IF(F5*12&lt;=18200,F5,IF(F5*12&lt;=40712,(18200+(F5*12-18200)/0.84)/12,IF(F5*12&lt;=103712,(45000+(F5*12-40712)/0.7)/12,IF(F5*12&lt;=138362,(135000+(F5*12-103712)/0.63)/12,(190000+(F5*12-138362)/0.55)/12)))))</f>
        <v>0</v>
      </c>
      <c r="H5" s="24">
        <f t="shared" ref="H5:H68" si="3">IF(A5=$E$2,$W$2,0)</f>
        <v>0</v>
      </c>
      <c r="I5" s="24">
        <f t="shared" ref="I5:I68" si="4">E5-G5-H5</f>
        <v>100000</v>
      </c>
      <c r="J5" s="25">
        <f t="shared" ref="J5:J68" si="5">IF(A5&gt;=$F$2,$B$2,$A$2)</f>
        <v>7.9741404289037643E-3</v>
      </c>
      <c r="K5" s="24">
        <f>I5*(1+J5)</f>
        <v>100797.41404289038</v>
      </c>
      <c r="L5" s="24" t="str">
        <f t="shared" ref="L5:L68" si="6">IF(A5&gt;=$F$2,K5,"")</f>
        <v/>
      </c>
      <c r="M5" s="24">
        <f t="shared" ref="M5:M68" si="7">IF(AND(A5&lt;$E$2,E5&gt;0),E5*POWER(1+$A$2,$E$2-A5),0)</f>
        <v>193330.06888160884</v>
      </c>
      <c r="N5" s="24">
        <f>IF(M5&lt;=0,0,IF($E$2-A5&lt;12,(M5-E5)*Dashboard!$B$18,IF($Q$2+A5&gt;=$R$2,MAX(0,M5-E5*POWER(1+$C$2,$E$2-A5))*MAX(Dashboard!$C$18,Dashboard!$B$18),IF($S$2&lt;$R$2,(M5-E5)*0.5*Dashboard!$B$18,(E5*POWER(1+$A$2,$R$2-($Q$2+A5))-E5)*0.5*Dashboard!$B$18+MAX(0,M5-E5*POWER(1+$A$2,$R$2-($Q$2+A5))*POWER(1+$C$2,$S$2-$R$2))*MAX(Dashboard!$C$18,Dashboard!$B$18)))))</f>
        <v>31589.211291433341</v>
      </c>
    </row>
    <row r="6" spans="1:24" x14ac:dyDescent="0.2">
      <c r="A6" s="22">
        <f t="shared" ref="A6:A69" si="8">A5+1</f>
        <v>1</v>
      </c>
      <c r="B6" s="23">
        <f t="shared" ref="B6:B69" si="9">B5+1/12</f>
        <v>18.138127853881276</v>
      </c>
      <c r="C6" t="str">
        <f t="shared" si="0"/>
        <v>18 y 1.66 m</v>
      </c>
      <c r="D6" s="24">
        <f>IF(A6&gt;=$E$2,IF(A6&lt;$E$2+$H$2,$P$2,0),IF(B6&lt;Dashboard!$I$6,0,IF(A6&gt;=$F$2,Dashboard!$C$23*POWER(1+$C$2,A6-$F$2),Dashboard!$C$23)))</f>
        <v>0</v>
      </c>
      <c r="E6" s="24">
        <f>IF(A6&gt;=$F$2,0,IF(A6=0,Dashboard!$G$10,IF(B6&lt;Dashboard!$I$6,IF($J$2&lt;=Dashboard!$H$10,Dashboard!$H$10,MAX(Dashboard!$H$10,MIN($J$2,Dashboard!$H$10*POWER($J$2/Dashboard!$H$10,A6/$D$2)))),$I$2-D6-Dashboard!$I$10-Dashboard!$J$10-Dashboard!$F$10*$I$2)))</f>
        <v>507.74029943073094</v>
      </c>
      <c r="F6" s="24">
        <f t="shared" si="1"/>
        <v>0</v>
      </c>
      <c r="G6" s="24">
        <f t="shared" si="2"/>
        <v>0</v>
      </c>
      <c r="H6" s="24">
        <f t="shared" si="3"/>
        <v>0</v>
      </c>
      <c r="I6" s="24">
        <f t="shared" si="4"/>
        <v>507.74029943073094</v>
      </c>
      <c r="J6" s="25">
        <f t="shared" si="5"/>
        <v>7.9741404289037643E-3</v>
      </c>
      <c r="K6" s="24">
        <f t="shared" ref="K6:K69" si="10">(K5+I6)*(1+J6)</f>
        <v>102112.97586921856</v>
      </c>
      <c r="L6" s="24" t="str">
        <f t="shared" si="6"/>
        <v/>
      </c>
      <c r="M6" s="24">
        <f t="shared" si="7"/>
        <v>973.84906145650893</v>
      </c>
      <c r="N6" s="24">
        <f>IF(M6&lt;=0,0,IF($E$2-A6&lt;12,(M6-E6)*Dashboard!$B$18,IF($Q$2+A6&gt;=$R$2,MAX(0,M6-E6*POWER(1+$C$2,$E$2-A6))*MAX(Dashboard!$C$18,Dashboard!$B$18),IF($S$2&lt;$R$2,(M6-E6)*0.5*Dashboard!$B$18,(E6*POWER(1+$A$2,$R$2-($Q$2+A6))-E6)*0.5*Dashboard!$B$18+MAX(0,M6-E6*POWER(1+$A$2,$R$2-($Q$2+A6))*POWER(1+$C$2,$S$2-$R$2))*MAX(Dashboard!$C$18,Dashboard!$B$18)))))</f>
        <v>158.17835337080606</v>
      </c>
    </row>
    <row r="7" spans="1:24" x14ac:dyDescent="0.2">
      <c r="A7" s="22">
        <f t="shared" si="8"/>
        <v>2</v>
      </c>
      <c r="B7" s="23">
        <f t="shared" si="9"/>
        <v>18.221461187214608</v>
      </c>
      <c r="C7" t="str">
        <f t="shared" si="0"/>
        <v>18 y 2.66 m</v>
      </c>
      <c r="D7" s="24">
        <f>IF(A7&gt;=$E$2,IF(A7&lt;$E$2+$H$2,$P$2,0),IF(B7&lt;Dashboard!$I$6,0,IF(A7&gt;=$F$2,Dashboard!$C$23*POWER(1+$C$2,A7-$F$2),Dashboard!$C$23)))</f>
        <v>0</v>
      </c>
      <c r="E7" s="24">
        <f>IF(A7&gt;=$F$2,0,IF(A7=0,Dashboard!$G$10,IF(B7&lt;Dashboard!$I$6,IF($J$2&lt;=Dashboard!$H$10,Dashboard!$H$10,MAX(Dashboard!$H$10,MIN($J$2,Dashboard!$H$10*POWER($J$2/Dashboard!$H$10,A7/$D$2)))),$I$2-D7-Dashboard!$I$10-Dashboard!$J$10-Dashboard!$F$10*$I$2)))</f>
        <v>515.6004233320167</v>
      </c>
      <c r="F7" s="24">
        <f t="shared" si="1"/>
        <v>0</v>
      </c>
      <c r="G7" s="24">
        <f t="shared" si="2"/>
        <v>0</v>
      </c>
      <c r="H7" s="24">
        <f t="shared" si="3"/>
        <v>0</v>
      </c>
      <c r="I7" s="24">
        <f t="shared" si="4"/>
        <v>515.6004233320167</v>
      </c>
      <c r="J7" s="25">
        <f t="shared" si="5"/>
        <v>7.9741404289037643E-3</v>
      </c>
      <c r="K7" s="24">
        <f t="shared" si="10"/>
        <v>103446.95097192583</v>
      </c>
      <c r="L7" s="24" t="str">
        <f t="shared" si="6"/>
        <v/>
      </c>
      <c r="M7" s="24">
        <f t="shared" si="7"/>
        <v>981.10138788652887</v>
      </c>
      <c r="N7" s="24">
        <f>IF(M7&lt;=0,0,IF($E$2-A7&lt;12,(M7-E7)*Dashboard!$B$18,IF($Q$2+A7&gt;=$R$2,MAX(0,M7-E7*POWER(1+$C$2,$E$2-A7))*MAX(Dashboard!$C$18,Dashboard!$B$18),IF($S$2&lt;$R$2,(M7-E7)*0.5*Dashboard!$B$18,(E7*POWER(1+$A$2,$R$2-($Q$2+A7))-E7)*0.5*Dashboard!$B$18+MAX(0,M7-E7*POWER(1+$A$2,$R$2-($Q$2+A7))*POWER(1+$C$2,$S$2-$R$2))*MAX(Dashboard!$C$18,Dashboard!$B$18)))))</f>
        <v>158.39776747394387</v>
      </c>
    </row>
    <row r="8" spans="1:24" x14ac:dyDescent="0.2">
      <c r="A8" s="22">
        <f t="shared" si="8"/>
        <v>3</v>
      </c>
      <c r="B8" s="23">
        <f t="shared" si="9"/>
        <v>18.30479452054794</v>
      </c>
      <c r="C8" t="str">
        <f t="shared" si="0"/>
        <v>18 y 3.66 m</v>
      </c>
      <c r="D8" s="24">
        <f>IF(A8&gt;=$E$2,IF(A8&lt;$E$2+$H$2,$P$2,0),IF(B8&lt;Dashboard!$I$6,0,IF(A8&gt;=$F$2,Dashboard!$C$23*POWER(1+$C$2,A8-$F$2),Dashboard!$C$23)))</f>
        <v>0</v>
      </c>
      <c r="E8" s="24">
        <f>IF(A8&gt;=$F$2,0,IF(A8=0,Dashboard!$G$10,IF(B8&lt;Dashboard!$I$6,IF($J$2&lt;=Dashboard!$H$10,Dashboard!$H$10,MAX(Dashboard!$H$10,MIN($J$2,Dashboard!$H$10*POWER($J$2/Dashboard!$H$10,A8/$D$2)))),$I$2-D8-Dashboard!$I$10-Dashboard!$J$10-Dashboard!$F$10*$I$2)))</f>
        <v>523.58222665841959</v>
      </c>
      <c r="F8" s="24">
        <f t="shared" si="1"/>
        <v>0</v>
      </c>
      <c r="G8" s="24">
        <f t="shared" si="2"/>
        <v>0</v>
      </c>
      <c r="H8" s="24">
        <f t="shared" si="3"/>
        <v>0</v>
      </c>
      <c r="I8" s="24">
        <f t="shared" si="4"/>
        <v>523.58222665841959</v>
      </c>
      <c r="J8" s="25">
        <f t="shared" si="5"/>
        <v>7.9741404289037643E-3</v>
      </c>
      <c r="K8" s="24">
        <f t="shared" si="10"/>
        <v>104799.60883077777</v>
      </c>
      <c r="L8" s="24" t="str">
        <f t="shared" si="6"/>
        <v/>
      </c>
      <c r="M8" s="24">
        <f t="shared" si="7"/>
        <v>988.40772293115765</v>
      </c>
      <c r="N8" s="24">
        <f>IF(M8&lt;=0,0,IF($E$2-A8&lt;12,(M8-E8)*Dashboard!$B$18,IF($Q$2+A8&gt;=$R$2,MAX(0,M8-E8*POWER(1+$C$2,$E$2-A8))*MAX(Dashboard!$C$18,Dashboard!$B$18),IF($S$2&lt;$R$2,(M8-E8)*0.5*Dashboard!$B$18,(E8*POWER(1+$A$2,$R$2-($Q$2+A8))-E8)*0.5*Dashboard!$B$18+MAX(0,M8-E8*POWER(1+$A$2,$R$2-($Q$2+A8))*POWER(1+$C$2,$S$2-$R$2))*MAX(Dashboard!$C$18,Dashboard!$B$18)))))</f>
        <v>158.60397661332053</v>
      </c>
    </row>
    <row r="9" spans="1:24" x14ac:dyDescent="0.2">
      <c r="A9" s="22">
        <f t="shared" si="8"/>
        <v>4</v>
      </c>
      <c r="B9" s="23">
        <f t="shared" si="9"/>
        <v>18.388127853881272</v>
      </c>
      <c r="C9" t="str">
        <f t="shared" si="0"/>
        <v>18 y 4.66 m</v>
      </c>
      <c r="D9" s="24">
        <f>IF(A9&gt;=$E$2,IF(A9&lt;$E$2+$H$2,$P$2,0),IF(B9&lt;Dashboard!$I$6,0,IF(A9&gt;=$F$2,Dashboard!$C$23*POWER(1+$C$2,A9-$F$2),Dashboard!$C$23)))</f>
        <v>0</v>
      </c>
      <c r="E9" s="24">
        <f>IF(A9&gt;=$F$2,0,IF(A9=0,Dashboard!$G$10,IF(B9&lt;Dashboard!$I$6,IF($J$2&lt;=Dashboard!$H$10,Dashboard!$H$10,MAX(Dashboard!$H$10,MIN($J$2,Dashboard!$H$10*POWER($J$2/Dashboard!$H$10,A9/$D$2)))),$I$2-D9-Dashboard!$I$10-Dashboard!$J$10-Dashboard!$F$10*$I$2)))</f>
        <v>531.68759308030963</v>
      </c>
      <c r="F9" s="24">
        <f t="shared" si="1"/>
        <v>0</v>
      </c>
      <c r="G9" s="24">
        <f t="shared" si="2"/>
        <v>0</v>
      </c>
      <c r="H9" s="24">
        <f t="shared" si="3"/>
        <v>0</v>
      </c>
      <c r="I9" s="24">
        <f t="shared" si="4"/>
        <v>531.68759308030963</v>
      </c>
      <c r="J9" s="25">
        <f t="shared" si="5"/>
        <v>7.9741404289037643E-3</v>
      </c>
      <c r="K9" s="24">
        <f t="shared" si="10"/>
        <v>106171.2229731004</v>
      </c>
      <c r="L9" s="24" t="str">
        <f t="shared" si="6"/>
        <v/>
      </c>
      <c r="M9" s="24">
        <f t="shared" si="7"/>
        <v>995.76846879656739</v>
      </c>
      <c r="N9" s="24">
        <f>IF(M9&lt;=0,0,IF($E$2-A9&lt;12,(M9-E9)*Dashboard!$B$18,IF($Q$2+A9&gt;=$R$2,MAX(0,M9-E9*POWER(1+$C$2,$E$2-A9))*MAX(Dashboard!$C$18,Dashboard!$B$18),IF($S$2&lt;$R$2,(M9-E9)*0.5*Dashboard!$B$18,(E9*POWER(1+$A$2,$R$2-($Q$2+A9))-E9)*0.5*Dashboard!$B$18+MAX(0,M9-E9*POWER(1+$A$2,$R$2-($Q$2+A9))*POWER(1+$C$2,$S$2-$R$2))*MAX(Dashboard!$C$18,Dashboard!$B$18)))))</f>
        <v>158.79665273464889</v>
      </c>
    </row>
    <row r="10" spans="1:24" x14ac:dyDescent="0.2">
      <c r="A10" s="22">
        <f t="shared" si="8"/>
        <v>5</v>
      </c>
      <c r="B10" s="23">
        <f t="shared" si="9"/>
        <v>18.471461187214604</v>
      </c>
      <c r="C10" t="str">
        <f t="shared" si="0"/>
        <v>18 y 5.66 m</v>
      </c>
      <c r="D10" s="24">
        <f>IF(A10&gt;=$E$2,IF(A10&lt;$E$2+$H$2,$P$2,0),IF(B10&lt;Dashboard!$I$6,0,IF(A10&gt;=$F$2,Dashboard!$C$23*POWER(1+$C$2,A10-$F$2),Dashboard!$C$23)))</f>
        <v>0</v>
      </c>
      <c r="E10" s="24">
        <f>IF(A10&gt;=$F$2,0,IF(A10=0,Dashboard!$G$10,IF(B10&lt;Dashboard!$I$6,IF($J$2&lt;=Dashboard!$H$10,Dashboard!$H$10,MAX(Dashboard!$H$10,MIN($J$2,Dashboard!$H$10*POWER($J$2/Dashboard!$H$10,A10/$D$2)))),$I$2-D10-Dashboard!$I$10-Dashboard!$J$10-Dashboard!$F$10*$I$2)))</f>
        <v>539.91843542840218</v>
      </c>
      <c r="F10" s="24">
        <f t="shared" si="1"/>
        <v>0</v>
      </c>
      <c r="G10" s="24">
        <f t="shared" si="2"/>
        <v>0</v>
      </c>
      <c r="H10" s="24">
        <f t="shared" si="3"/>
        <v>0</v>
      </c>
      <c r="I10" s="24">
        <f t="shared" si="4"/>
        <v>539.91843542840218</v>
      </c>
      <c r="J10" s="25">
        <f t="shared" si="5"/>
        <v>7.9741404289037643E-3</v>
      </c>
      <c r="K10" s="24">
        <f t="shared" si="10"/>
        <v>107562.07103544903</v>
      </c>
      <c r="L10" s="24" t="str">
        <f t="shared" si="6"/>
        <v/>
      </c>
      <c r="M10" s="24">
        <f t="shared" si="7"/>
        <v>1003.18403068419</v>
      </c>
      <c r="N10" s="24">
        <f>IF(M10&lt;=0,0,IF($E$2-A10&lt;12,(M10-E10)*Dashboard!$B$18,IF($Q$2+A10&gt;=$R$2,MAX(0,M10-E10*POWER(1+$C$2,$E$2-A10))*MAX(Dashboard!$C$18,Dashboard!$B$18),IF($S$2&lt;$R$2,(M10-E10)*0.5*Dashboard!$B$18,(E10*POWER(1+$A$2,$R$2-($Q$2+A10))-E10)*0.5*Dashboard!$B$18+MAX(0,M10-E10*POWER(1+$A$2,$R$2-($Q$2+A10))*POWER(1+$C$2,$S$2-$R$2))*MAX(Dashboard!$C$18,Dashboard!$B$18)))))</f>
        <v>158.97546178445671</v>
      </c>
    </row>
    <row r="11" spans="1:24" x14ac:dyDescent="0.2">
      <c r="A11" s="22">
        <f t="shared" si="8"/>
        <v>6</v>
      </c>
      <c r="B11" s="23">
        <f t="shared" si="9"/>
        <v>18.554794520547937</v>
      </c>
      <c r="C11" t="str">
        <f t="shared" si="0"/>
        <v>18 y 6.66 m</v>
      </c>
      <c r="D11" s="24">
        <f>IF(A11&gt;=$E$2,IF(A11&lt;$E$2+$H$2,$P$2,0),IF(B11&lt;Dashboard!$I$6,0,IF(A11&gt;=$F$2,Dashboard!$C$23*POWER(1+$C$2,A11-$F$2),Dashboard!$C$23)))</f>
        <v>0</v>
      </c>
      <c r="E11" s="24">
        <f>IF(A11&gt;=$F$2,0,IF(A11=0,Dashboard!$G$10,IF(B11&lt;Dashboard!$I$6,IF($J$2&lt;=Dashboard!$H$10,Dashboard!$H$10,MAX(Dashboard!$H$10,MIN($J$2,Dashboard!$H$10*POWER($J$2/Dashboard!$H$10,A11/$D$2)))),$I$2-D11-Dashboard!$I$10-Dashboard!$J$10-Dashboard!$F$10*$I$2)))</f>
        <v>548.27669614517743</v>
      </c>
      <c r="F11" s="24">
        <f t="shared" si="1"/>
        <v>0</v>
      </c>
      <c r="G11" s="24">
        <f t="shared" si="2"/>
        <v>0</v>
      </c>
      <c r="H11" s="24">
        <f t="shared" si="3"/>
        <v>0</v>
      </c>
      <c r="I11" s="24">
        <f t="shared" si="4"/>
        <v>548.27669614517743</v>
      </c>
      <c r="J11" s="25">
        <f t="shared" si="5"/>
        <v>7.9741404289037643E-3</v>
      </c>
      <c r="K11" s="24">
        <f t="shared" si="10"/>
        <v>108972.43482622354</v>
      </c>
      <c r="L11" s="24" t="str">
        <f t="shared" si="6"/>
        <v/>
      </c>
      <c r="M11" s="24">
        <f t="shared" si="7"/>
        <v>1010.6548168130214</v>
      </c>
      <c r="N11" s="24">
        <f>IF(M11&lt;=0,0,IF($E$2-A11&lt;12,(M11-E11)*Dashboard!$B$18,IF($Q$2+A11&gt;=$R$2,MAX(0,M11-E11*POWER(1+$C$2,$E$2-A11))*MAX(Dashboard!$C$18,Dashboard!$B$18),IF($S$2&lt;$R$2,(M11-E11)*0.5*Dashboard!$B$18,(E11*POWER(1+$A$2,$R$2-($Q$2+A11))-E11)*0.5*Dashboard!$B$18+MAX(0,M11-E11*POWER(1+$A$2,$R$2-($Q$2+A11))*POWER(1+$C$2,$S$2-$R$2))*MAX(Dashboard!$C$18,Dashboard!$B$18)))))</f>
        <v>159.14006361035894</v>
      </c>
    </row>
    <row r="12" spans="1:24" x14ac:dyDescent="0.2">
      <c r="A12" s="22">
        <f t="shared" si="8"/>
        <v>7</v>
      </c>
      <c r="B12" s="23">
        <f t="shared" si="9"/>
        <v>18.638127853881269</v>
      </c>
      <c r="C12" t="str">
        <f t="shared" si="0"/>
        <v>18 y 7.66 m</v>
      </c>
      <c r="D12" s="24">
        <f>IF(A12&gt;=$E$2,IF(A12&lt;$E$2+$H$2,$P$2,0),IF(B12&lt;Dashboard!$I$6,0,IF(A12&gt;=$F$2,Dashboard!$C$23*POWER(1+$C$2,A12-$F$2),Dashboard!$C$23)))</f>
        <v>0</v>
      </c>
      <c r="E12" s="24">
        <f>IF(A12&gt;=$F$2,0,IF(A12=0,Dashboard!$G$10,IF(B12&lt;Dashboard!$I$6,IF($J$2&lt;=Dashboard!$H$10,Dashboard!$H$10,MAX(Dashboard!$H$10,MIN($J$2,Dashboard!$H$10*POWER($J$2/Dashboard!$H$10,A12/$D$2)))),$I$2-D12-Dashboard!$I$10-Dashboard!$J$10-Dashboard!$F$10*$I$2)))</f>
        <v>556.76434774328845</v>
      </c>
      <c r="F12" s="24">
        <f t="shared" si="1"/>
        <v>0</v>
      </c>
      <c r="G12" s="24">
        <f t="shared" si="2"/>
        <v>0</v>
      </c>
      <c r="H12" s="24">
        <f t="shared" si="3"/>
        <v>0</v>
      </c>
      <c r="I12" s="24">
        <f t="shared" si="4"/>
        <v>556.76434774328845</v>
      </c>
      <c r="J12" s="25">
        <f t="shared" si="5"/>
        <v>7.9741404289037643E-3</v>
      </c>
      <c r="K12" s="24">
        <f t="shared" si="10"/>
        <v>110402.60038924542</v>
      </c>
      <c r="L12" s="24" t="str">
        <f t="shared" si="6"/>
        <v/>
      </c>
      <c r="M12" s="24">
        <f t="shared" si="7"/>
        <v>1018.1812384420956</v>
      </c>
      <c r="N12" s="24">
        <f>IF(M12&lt;=0,0,IF($E$2-A12&lt;12,(M12-E12)*Dashboard!$B$18,IF($Q$2+A12&gt;=$R$2,MAX(0,M12-E12*POWER(1+$C$2,$E$2-A12))*MAX(Dashboard!$C$18,Dashboard!$B$18),IF($S$2&lt;$R$2,(M12-E12)*0.5*Dashboard!$B$18,(E12*POWER(1+$A$2,$R$2-($Q$2+A12))-E12)*0.5*Dashboard!$B$18+MAX(0,M12-E12*POWER(1+$A$2,$R$2-($Q$2+A12))*POWER(1+$C$2,$S$2-$R$2))*MAX(Dashboard!$C$18,Dashboard!$B$18)))))</f>
        <v>159.29011185973584</v>
      </c>
    </row>
    <row r="13" spans="1:24" x14ac:dyDescent="0.2">
      <c r="A13" s="22">
        <f t="shared" si="8"/>
        <v>8</v>
      </c>
      <c r="B13" s="23">
        <f t="shared" si="9"/>
        <v>18.721461187214601</v>
      </c>
      <c r="C13" t="str">
        <f t="shared" si="0"/>
        <v>18 y 8.66 m</v>
      </c>
      <c r="D13" s="24">
        <f>IF(A13&gt;=$E$2,IF(A13&lt;$E$2+$H$2,$P$2,0),IF(B13&lt;Dashboard!$I$6,0,IF(A13&gt;=$F$2,Dashboard!$C$23*POWER(1+$C$2,A13-$F$2),Dashboard!$C$23)))</f>
        <v>0</v>
      </c>
      <c r="E13" s="24">
        <f>IF(A13&gt;=$F$2,0,IF(A13=0,Dashboard!$G$10,IF(B13&lt;Dashboard!$I$6,IF($J$2&lt;=Dashboard!$H$10,Dashboard!$H$10,MAX(Dashboard!$H$10,MIN($J$2,Dashboard!$H$10*POWER($J$2/Dashboard!$H$10,A13/$D$2)))),$I$2-D13-Dashboard!$I$10-Dashboard!$J$10-Dashboard!$F$10*$I$2)))</f>
        <v>565.38339327106576</v>
      </c>
      <c r="F13" s="24">
        <f t="shared" si="1"/>
        <v>0</v>
      </c>
      <c r="G13" s="24">
        <f t="shared" si="2"/>
        <v>0</v>
      </c>
      <c r="H13" s="24">
        <f t="shared" si="3"/>
        <v>0</v>
      </c>
      <c r="I13" s="24">
        <f t="shared" si="4"/>
        <v>565.38339327106576</v>
      </c>
      <c r="J13" s="25">
        <f t="shared" si="5"/>
        <v>7.9741404289037643E-3</v>
      </c>
      <c r="K13" s="24">
        <f t="shared" si="10"/>
        <v>111852.85806831058</v>
      </c>
      <c r="L13" s="24" t="str">
        <f t="shared" si="6"/>
        <v/>
      </c>
      <c r="M13" s="24">
        <f t="shared" si="7"/>
        <v>1025.763709893123</v>
      </c>
      <c r="N13" s="24">
        <f>IF(M13&lt;=0,0,IF($E$2-A13&lt;12,(M13-E13)*Dashboard!$B$18,IF($Q$2+A13&gt;=$R$2,MAX(0,M13-E13*POWER(1+$C$2,$E$2-A13))*MAX(Dashboard!$C$18,Dashboard!$B$18),IF($S$2&lt;$R$2,(M13-E13)*0.5*Dashboard!$B$18,(E13*POWER(1+$A$2,$R$2-($Q$2+A13))-E13)*0.5*Dashboard!$B$18+MAX(0,M13-E13*POWER(1+$A$2,$R$2-($Q$2+A13))*POWER(1+$C$2,$S$2-$R$2))*MAX(Dashboard!$C$18,Dashboard!$B$18)))))</f>
        <v>159.42525387678987</v>
      </c>
    </row>
    <row r="14" spans="1:24" x14ac:dyDescent="0.2">
      <c r="A14" s="22">
        <f t="shared" si="8"/>
        <v>9</v>
      </c>
      <c r="B14" s="23">
        <f t="shared" si="9"/>
        <v>18.804794520547933</v>
      </c>
      <c r="C14" t="str">
        <f t="shared" si="0"/>
        <v>18 y 9.66 m</v>
      </c>
      <c r="D14" s="24">
        <f>IF(A14&gt;=$E$2,IF(A14&lt;$E$2+$H$2,$P$2,0),IF(B14&lt;Dashboard!$I$6,0,IF(A14&gt;=$F$2,Dashboard!$C$23*POWER(1+$C$2,A14-$F$2),Dashboard!$C$23)))</f>
        <v>0</v>
      </c>
      <c r="E14" s="24">
        <f>IF(A14&gt;=$F$2,0,IF(A14=0,Dashboard!$G$10,IF(B14&lt;Dashboard!$I$6,IF($J$2&lt;=Dashboard!$H$10,Dashboard!$H$10,MAX(Dashboard!$H$10,MIN($J$2,Dashboard!$H$10*POWER($J$2/Dashboard!$H$10,A14/$D$2)))),$I$2-D14-Dashboard!$I$10-Dashboard!$J$10-Dashboard!$F$10*$I$2)))</f>
        <v>574.13586678522734</v>
      </c>
      <c r="F14" s="24">
        <f t="shared" si="1"/>
        <v>0</v>
      </c>
      <c r="G14" s="24">
        <f t="shared" si="2"/>
        <v>0</v>
      </c>
      <c r="H14" s="24">
        <f t="shared" si="3"/>
        <v>0</v>
      </c>
      <c r="I14" s="24">
        <f t="shared" si="4"/>
        <v>574.13586678522734</v>
      </c>
      <c r="J14" s="25">
        <f t="shared" si="5"/>
        <v>7.9741404289037643E-3</v>
      </c>
      <c r="K14" s="24">
        <f t="shared" si="10"/>
        <v>113323.50257273378</v>
      </c>
      <c r="L14" s="24" t="str">
        <f t="shared" si="6"/>
        <v/>
      </c>
      <c r="M14" s="24">
        <f t="shared" si="7"/>
        <v>1033.4026485732991</v>
      </c>
      <c r="N14" s="24">
        <f>IF(M14&lt;=0,0,IF($E$2-A14&lt;12,(M14-E14)*Dashboard!$B$18,IF($Q$2+A14&gt;=$R$2,MAX(0,M14-E14*POWER(1+$C$2,$E$2-A14))*MAX(Dashboard!$C$18,Dashboard!$B$18),IF($S$2&lt;$R$2,(M14-E14)*0.5*Dashboard!$B$18,(E14*POWER(1+$A$2,$R$2-($Q$2+A14))-E14)*0.5*Dashboard!$B$18+MAX(0,M14-E14*POWER(1+$A$2,$R$2-($Q$2+A14))*POWER(1+$C$2,$S$2-$R$2))*MAX(Dashboard!$C$18,Dashboard!$B$18)))))</f>
        <v>159.54513059795875</v>
      </c>
    </row>
    <row r="15" spans="1:24" x14ac:dyDescent="0.2">
      <c r="A15" s="22">
        <f t="shared" si="8"/>
        <v>10</v>
      </c>
      <c r="B15" s="23">
        <f t="shared" si="9"/>
        <v>18.888127853881265</v>
      </c>
      <c r="C15" t="str">
        <f t="shared" si="0"/>
        <v>18 y 10.66 m</v>
      </c>
      <c r="D15" s="24">
        <f>IF(A15&gt;=$E$2,IF(A15&lt;$E$2+$H$2,$P$2,0),IF(B15&lt;Dashboard!$I$6,0,IF(A15&gt;=$F$2,Dashboard!$C$23*POWER(1+$C$2,A15-$F$2),Dashboard!$C$23)))</f>
        <v>0</v>
      </c>
      <c r="E15" s="24">
        <f>IF(A15&gt;=$F$2,0,IF(A15=0,Dashboard!$G$10,IF(B15&lt;Dashboard!$I$6,IF($J$2&lt;=Dashboard!$H$10,Dashboard!$H$10,MAX(Dashboard!$H$10,MIN($J$2,Dashboard!$H$10*POWER($J$2/Dashboard!$H$10,A15/$D$2)))),$I$2-D15-Dashboard!$I$10-Dashboard!$J$10-Dashboard!$F$10*$I$2)))</f>
        <v>583.02383383090717</v>
      </c>
      <c r="F15" s="24">
        <f t="shared" si="1"/>
        <v>0</v>
      </c>
      <c r="G15" s="24">
        <f t="shared" si="2"/>
        <v>0</v>
      </c>
      <c r="H15" s="24">
        <f t="shared" si="3"/>
        <v>0</v>
      </c>
      <c r="I15" s="24">
        <f t="shared" si="4"/>
        <v>583.02383383090717</v>
      </c>
      <c r="J15" s="25">
        <f t="shared" si="5"/>
        <v>7.9741404289037643E-3</v>
      </c>
      <c r="K15" s="24">
        <f t="shared" si="10"/>
        <v>114814.83304389927</v>
      </c>
      <c r="L15" s="24" t="str">
        <f t="shared" si="6"/>
        <v/>
      </c>
      <c r="M15" s="24">
        <f t="shared" si="7"/>
        <v>1041.0984749982806</v>
      </c>
      <c r="N15" s="24">
        <f>IF(M15&lt;=0,0,IF($E$2-A15&lt;12,(M15-E15)*Dashboard!$B$18,IF($Q$2+A15&gt;=$R$2,MAX(0,M15-E15*POWER(1+$C$2,$E$2-A15))*MAX(Dashboard!$C$18,Dashboard!$B$18),IF($S$2&lt;$R$2,(M15-E15)*0.5*Dashboard!$B$18,(E15*POWER(1+$A$2,$R$2-($Q$2+A15))-E15)*0.5*Dashboard!$B$18+MAX(0,M15-E15*POWER(1+$A$2,$R$2-($Q$2+A15))*POWER(1+$C$2,$S$2-$R$2))*MAX(Dashboard!$C$18,Dashboard!$B$18)))))</f>
        <v>159.64937644565472</v>
      </c>
    </row>
    <row r="16" spans="1:24" x14ac:dyDescent="0.2">
      <c r="A16" s="22">
        <f t="shared" si="8"/>
        <v>11</v>
      </c>
      <c r="B16" s="23">
        <f t="shared" si="9"/>
        <v>18.971461187214597</v>
      </c>
      <c r="C16" t="str">
        <f t="shared" si="0"/>
        <v>18 y 11.66 m</v>
      </c>
      <c r="D16" s="24">
        <f>IF(A16&gt;=$E$2,IF(A16&lt;$E$2+$H$2,$P$2,0),IF(B16&lt;Dashboard!$I$6,0,IF(A16&gt;=$F$2,Dashboard!$C$23*POWER(1+$C$2,A16-$F$2),Dashboard!$C$23)))</f>
        <v>0</v>
      </c>
      <c r="E16" s="24">
        <f>IF(A16&gt;=$F$2,0,IF(A16=0,Dashboard!$G$10,IF(B16&lt;Dashboard!$I$6,IF($J$2&lt;=Dashboard!$H$10,Dashboard!$H$10,MAX(Dashboard!$H$10,MIN($J$2,Dashboard!$H$10*POWER($J$2/Dashboard!$H$10,A16/$D$2)))),$I$2-D16-Dashboard!$I$10-Dashboard!$J$10-Dashboard!$F$10*$I$2)))</f>
        <v>592.04939192911513</v>
      </c>
      <c r="F16" s="24">
        <f t="shared" si="1"/>
        <v>0</v>
      </c>
      <c r="G16" s="24">
        <f t="shared" si="2"/>
        <v>0</v>
      </c>
      <c r="H16" s="24">
        <f t="shared" si="3"/>
        <v>0</v>
      </c>
      <c r="I16" s="24">
        <f t="shared" si="4"/>
        <v>592.04939192911513</v>
      </c>
      <c r="J16" s="25">
        <f t="shared" si="5"/>
        <v>7.9741404289037643E-3</v>
      </c>
      <c r="K16" s="24">
        <f t="shared" si="10"/>
        <v>116327.15312283367</v>
      </c>
      <c r="L16" s="24" t="str">
        <f t="shared" si="6"/>
        <v/>
      </c>
      <c r="M16" s="24">
        <f t="shared" si="7"/>
        <v>1048.8516128153371</v>
      </c>
      <c r="N16" s="24">
        <f>IF(M16&lt;=0,0,IF($E$2-A16&lt;12,(M16-E16)*Dashboard!$B$18,IF($Q$2+A16&gt;=$R$2,MAX(0,M16-E16*POWER(1+$C$2,$E$2-A16))*MAX(Dashboard!$C$18,Dashboard!$B$18),IF($S$2&lt;$R$2,(M16-E16)*0.5*Dashboard!$B$18,(E16*POWER(1+$A$2,$R$2-($Q$2+A16))-E16)*0.5*Dashboard!$B$18+MAX(0,M16-E16*POWER(1+$A$2,$R$2-($Q$2+A16))*POWER(1+$C$2,$S$2-$R$2))*MAX(Dashboard!$C$18,Dashboard!$B$18)))))</f>
        <v>159.73761922030982</v>
      </c>
    </row>
    <row r="17" spans="1:14" x14ac:dyDescent="0.2">
      <c r="A17" s="22">
        <f t="shared" si="8"/>
        <v>12</v>
      </c>
      <c r="B17" s="23">
        <f t="shared" si="9"/>
        <v>19.054794520547929</v>
      </c>
      <c r="C17" t="str">
        <f t="shared" si="0"/>
        <v>19 y 0.66 m</v>
      </c>
      <c r="D17" s="24">
        <f>IF(A17&gt;=$E$2,IF(A17&lt;$E$2+$H$2,$P$2,0),IF(B17&lt;Dashboard!$I$6,0,IF(A17&gt;=$F$2,Dashboard!$C$23*POWER(1+$C$2,A17-$F$2),Dashboard!$C$23)))</f>
        <v>0</v>
      </c>
      <c r="E17" s="24">
        <f>IF(A17&gt;=$F$2,0,IF(A17=0,Dashboard!$G$10,IF(B17&lt;Dashboard!$I$6,IF($J$2&lt;=Dashboard!$H$10,Dashboard!$H$10,MAX(Dashboard!$H$10,MIN($J$2,Dashboard!$H$10*POWER($J$2/Dashboard!$H$10,A17/$D$2)))),$I$2-D17-Dashboard!$I$10-Dashboard!$J$10-Dashboard!$F$10*$I$2)))</f>
        <v>601.21467107174215</v>
      </c>
      <c r="F17" s="24">
        <f t="shared" si="1"/>
        <v>0</v>
      </c>
      <c r="G17" s="24">
        <f t="shared" si="2"/>
        <v>0</v>
      </c>
      <c r="H17" s="24">
        <f t="shared" si="3"/>
        <v>0</v>
      </c>
      <c r="I17" s="24">
        <f t="shared" si="4"/>
        <v>601.21467107174215</v>
      </c>
      <c r="J17" s="25">
        <f t="shared" si="5"/>
        <v>7.9741404289037643E-3</v>
      </c>
      <c r="K17" s="24">
        <f t="shared" si="10"/>
        <v>117860.77101881651</v>
      </c>
      <c r="L17" s="24" t="str">
        <f t="shared" si="6"/>
        <v/>
      </c>
      <c r="M17" s="24">
        <f t="shared" si="7"/>
        <v>1056.6624888266695</v>
      </c>
      <c r="N17" s="24">
        <f>IF(M17&lt;=0,0,IF($E$2-A17&lt;12,(M17-E17)*Dashboard!$B$18,IF($Q$2+A17&gt;=$R$2,MAX(0,M17-E17*POWER(1+$C$2,$E$2-A17))*MAX(Dashboard!$C$18,Dashboard!$B$18),IF($S$2&lt;$R$2,(M17-E17)*0.5*Dashboard!$B$18,(E17*POWER(1+$A$2,$R$2-($Q$2+A17))-E17)*0.5*Dashboard!$B$18+MAX(0,M17-E17*POWER(1+$A$2,$R$2-($Q$2+A17))*POWER(1+$C$2,$S$2-$R$2))*MAX(Dashboard!$C$18,Dashboard!$B$18)))))</f>
        <v>159.80947999069315</v>
      </c>
    </row>
    <row r="18" spans="1:14" x14ac:dyDescent="0.2">
      <c r="A18" s="22">
        <f t="shared" si="8"/>
        <v>13</v>
      </c>
      <c r="B18" s="23">
        <f t="shared" si="9"/>
        <v>19.138127853881262</v>
      </c>
      <c r="C18" t="str">
        <f t="shared" si="0"/>
        <v>19 y 1.66 m</v>
      </c>
      <c r="D18" s="24">
        <f>IF(A18&gt;=$E$2,IF(A18&lt;$E$2+$H$2,$P$2,0),IF(B18&lt;Dashboard!$I$6,0,IF(A18&gt;=$F$2,Dashboard!$C$23*POWER(1+$C$2,A18-$F$2),Dashboard!$C$23)))</f>
        <v>0</v>
      </c>
      <c r="E18" s="24">
        <f>IF(A18&gt;=$F$2,0,IF(A18=0,Dashboard!$G$10,IF(B18&lt;Dashboard!$I$6,IF($J$2&lt;=Dashboard!$H$10,Dashboard!$H$10,MAX(Dashboard!$H$10,MIN($J$2,Dashboard!$H$10*POWER($J$2/Dashboard!$H$10,A18/$D$2)))),$I$2-D18-Dashboard!$I$10-Dashboard!$J$10-Dashboard!$F$10*$I$2)))</f>
        <v>610.52183422422968</v>
      </c>
      <c r="F18" s="24">
        <f t="shared" si="1"/>
        <v>0</v>
      </c>
      <c r="G18" s="24">
        <f t="shared" si="2"/>
        <v>0</v>
      </c>
      <c r="H18" s="24">
        <f t="shared" si="3"/>
        <v>0</v>
      </c>
      <c r="I18" s="24">
        <f t="shared" si="4"/>
        <v>610.52183422422968</v>
      </c>
      <c r="J18" s="25">
        <f t="shared" si="5"/>
        <v>7.9741404289037643E-3</v>
      </c>
      <c r="K18" s="24">
        <f t="shared" si="10"/>
        <v>119415.99957904467</v>
      </c>
      <c r="L18" s="24" t="str">
        <f t="shared" si="6"/>
        <v/>
      </c>
      <c r="M18" s="24">
        <f t="shared" si="7"/>
        <v>1064.5315330129085</v>
      </c>
      <c r="N18" s="24">
        <f>IF(M18&lt;=0,0,IF($E$2-A18&lt;12,(M18-E18)*Dashboard!$B$18,IF($Q$2+A18&gt;=$R$2,MAX(0,M18-E18*POWER(1+$C$2,$E$2-A18))*MAX(Dashboard!$C$18,Dashboard!$B$18),IF($S$2&lt;$R$2,(M18-E18)*0.5*Dashboard!$B$18,(E18*POWER(1+$A$2,$R$2-($Q$2+A18))-E18)*0.5*Dashboard!$B$18+MAX(0,M18-E18*POWER(1+$A$2,$R$2-($Q$2+A18))*POWER(1+$C$2,$S$2-$R$2))*MAX(Dashboard!$C$18,Dashboard!$B$18)))))</f>
        <v>159.86457298248038</v>
      </c>
    </row>
    <row r="19" spans="1:14" x14ac:dyDescent="0.2">
      <c r="A19" s="22">
        <f t="shared" si="8"/>
        <v>14</v>
      </c>
      <c r="B19" s="23">
        <f t="shared" si="9"/>
        <v>19.221461187214594</v>
      </c>
      <c r="C19" t="str">
        <f t="shared" si="0"/>
        <v>19 y 2.66 m</v>
      </c>
      <c r="D19" s="24">
        <f>IF(A19&gt;=$E$2,IF(A19&lt;$E$2+$H$2,$P$2,0),IF(B19&lt;Dashboard!$I$6,0,IF(A19&gt;=$F$2,Dashboard!$C$23*POWER(1+$C$2,A19-$F$2),Dashboard!$C$23)))</f>
        <v>0</v>
      </c>
      <c r="E19" s="24">
        <f>IF(A19&gt;=$F$2,0,IF(A19=0,Dashboard!$G$10,IF(B19&lt;Dashboard!$I$6,IF($J$2&lt;=Dashboard!$H$10,Dashboard!$H$10,MAX(Dashboard!$H$10,MIN($J$2,Dashboard!$H$10*POWER($J$2/Dashboard!$H$10,A19/$D$2)))),$I$2-D19-Dashboard!$I$10-Dashboard!$J$10-Dashboard!$F$10*$I$2)))</f>
        <v>619.97307783601889</v>
      </c>
      <c r="F19" s="24">
        <f t="shared" si="1"/>
        <v>0</v>
      </c>
      <c r="G19" s="24">
        <f t="shared" si="2"/>
        <v>0</v>
      </c>
      <c r="H19" s="24">
        <f t="shared" si="3"/>
        <v>0</v>
      </c>
      <c r="I19" s="24">
        <f t="shared" si="4"/>
        <v>619.97307783601889</v>
      </c>
      <c r="J19" s="25">
        <f t="shared" si="5"/>
        <v>7.9741404289037643E-3</v>
      </c>
      <c r="K19" s="24">
        <f t="shared" si="10"/>
        <v>120993.15635936671</v>
      </c>
      <c r="L19" s="24" t="str">
        <f t="shared" si="6"/>
        <v/>
      </c>
      <c r="M19" s="24">
        <f t="shared" si="7"/>
        <v>1072.45917855678</v>
      </c>
      <c r="N19" s="24">
        <f>IF(M19&lt;=0,0,IF($E$2-A19&lt;12,(M19-E19)*Dashboard!$B$18,IF($Q$2+A19&gt;=$R$2,MAX(0,M19-E19*POWER(1+$C$2,$E$2-A19))*MAX(Dashboard!$C$18,Dashboard!$B$18),IF($S$2&lt;$R$2,(M19-E19)*0.5*Dashboard!$B$18,(E19*POWER(1+$A$2,$R$2-($Q$2+A19))-E19)*0.5*Dashboard!$B$18+MAX(0,M19-E19*POWER(1+$A$2,$R$2-($Q$2+A19))*POWER(1+$C$2,$S$2-$R$2))*MAX(Dashboard!$C$18,Dashboard!$B$18)))))</f>
        <v>159.90250546504029</v>
      </c>
    </row>
    <row r="20" spans="1:14" x14ac:dyDescent="0.2">
      <c r="A20" s="22">
        <f t="shared" si="8"/>
        <v>15</v>
      </c>
      <c r="B20" s="23">
        <f t="shared" si="9"/>
        <v>19.304794520547926</v>
      </c>
      <c r="C20" t="str">
        <f t="shared" si="0"/>
        <v>19 y 3.66 m</v>
      </c>
      <c r="D20" s="24">
        <f>IF(A20&gt;=$E$2,IF(A20&lt;$E$2+$H$2,$P$2,0),IF(B20&lt;Dashboard!$I$6,0,IF(A20&gt;=$F$2,Dashboard!$C$23*POWER(1+$C$2,A20-$F$2),Dashboard!$C$23)))</f>
        <v>0</v>
      </c>
      <c r="E20" s="24">
        <f>IF(A20&gt;=$F$2,0,IF(A20=0,Dashboard!$G$10,IF(B20&lt;Dashboard!$I$6,IF($J$2&lt;=Dashboard!$H$10,Dashboard!$H$10,MAX(Dashboard!$H$10,MIN($J$2,Dashboard!$H$10*POWER($J$2/Dashboard!$H$10,A20/$D$2)))),$I$2-D20-Dashboard!$I$10-Dashboard!$J$10-Dashboard!$F$10*$I$2)))</f>
        <v>629.57063235890416</v>
      </c>
      <c r="F20" s="24">
        <f t="shared" si="1"/>
        <v>0</v>
      </c>
      <c r="G20" s="24">
        <f t="shared" si="2"/>
        <v>0</v>
      </c>
      <c r="H20" s="24">
        <f t="shared" si="3"/>
        <v>0</v>
      </c>
      <c r="I20" s="24">
        <f t="shared" si="4"/>
        <v>629.57063235890416</v>
      </c>
      <c r="J20" s="25">
        <f t="shared" si="5"/>
        <v>7.9741404289037643E-3</v>
      </c>
      <c r="K20" s="24">
        <f t="shared" si="10"/>
        <v>122592.56369610387</v>
      </c>
      <c r="L20" s="24" t="str">
        <f t="shared" si="6"/>
        <v/>
      </c>
      <c r="M20" s="24">
        <f t="shared" si="7"/>
        <v>1080.4458618669553</v>
      </c>
      <c r="N20" s="24">
        <f>IF(M20&lt;=0,0,IF($E$2-A20&lt;12,(M20-E20)*Dashboard!$B$18,IF($Q$2+A20&gt;=$R$2,MAX(0,M20-E20*POWER(1+$C$2,$E$2-A20))*MAX(Dashboard!$C$18,Dashboard!$B$18),IF($S$2&lt;$R$2,(M20-E20)*0.5*Dashboard!$B$18,(E20*POWER(1+$A$2,$R$2-($Q$2+A20))-E20)*0.5*Dashboard!$B$18+MAX(0,M20-E20*POWER(1+$A$2,$R$2-($Q$2+A20))*POWER(1+$C$2,$S$2-$R$2))*MAX(Dashboard!$C$18,Dashboard!$B$18)))))</f>
        <v>159.92287763641934</v>
      </c>
    </row>
    <row r="21" spans="1:14" x14ac:dyDescent="0.2">
      <c r="A21" s="22">
        <f t="shared" si="8"/>
        <v>16</v>
      </c>
      <c r="B21" s="23">
        <f t="shared" si="9"/>
        <v>19.388127853881258</v>
      </c>
      <c r="C21" t="str">
        <f t="shared" si="0"/>
        <v>19 y 4.66 m</v>
      </c>
      <c r="D21" s="24">
        <f>IF(A21&gt;=$E$2,IF(A21&lt;$E$2+$H$2,$P$2,0),IF(B21&lt;Dashboard!$I$6,0,IF(A21&gt;=$F$2,Dashboard!$C$23*POWER(1+$C$2,A21-$F$2),Dashboard!$C$23)))</f>
        <v>0</v>
      </c>
      <c r="E21" s="24">
        <f>IF(A21&gt;=$F$2,0,IF(A21=0,Dashboard!$G$10,IF(B21&lt;Dashboard!$I$6,IF($J$2&lt;=Dashboard!$H$10,Dashboard!$H$10,MAX(Dashboard!$H$10,MIN($J$2,Dashboard!$H$10*POWER($J$2/Dashboard!$H$10,A21/$D$2)))),$I$2-D21-Dashboard!$I$10-Dashboard!$J$10-Dashboard!$F$10*$I$2)))</f>
        <v>639.31676277340932</v>
      </c>
      <c r="F21" s="24">
        <f t="shared" si="1"/>
        <v>0</v>
      </c>
      <c r="G21" s="24">
        <f t="shared" si="2"/>
        <v>0</v>
      </c>
      <c r="H21" s="24">
        <f t="shared" si="3"/>
        <v>0</v>
      </c>
      <c r="I21" s="24">
        <f t="shared" si="4"/>
        <v>639.31676277340932</v>
      </c>
      <c r="J21" s="25">
        <f t="shared" si="5"/>
        <v>7.9741404289037643E-3</v>
      </c>
      <c r="K21" s="24">
        <f t="shared" si="10"/>
        <v>124214.54877897425</v>
      </c>
      <c r="L21" s="24" t="str">
        <f t="shared" si="6"/>
        <v/>
      </c>
      <c r="M21" s="24">
        <f t="shared" si="7"/>
        <v>1088.4920226020736</v>
      </c>
      <c r="N21" s="24">
        <f>IF(M21&lt;=0,0,IF($E$2-A21&lt;12,(M21-E21)*Dashboard!$B$18,IF($Q$2+A21&gt;=$R$2,MAX(0,M21-E21*POWER(1+$C$2,$E$2-A21))*MAX(Dashboard!$C$18,Dashboard!$B$18),IF($S$2&lt;$R$2,(M21-E21)*0.5*Dashboard!$B$18,(E21*POWER(1+$A$2,$R$2-($Q$2+A21))-E21)*0.5*Dashboard!$B$18+MAX(0,M21-E21*POWER(1+$A$2,$R$2-($Q$2+A21))*POWER(1+$C$2,$S$2-$R$2))*MAX(Dashboard!$C$18,Dashboard!$B$18)))))</f>
        <v>159.92528250648726</v>
      </c>
    </row>
    <row r="22" spans="1:14" x14ac:dyDescent="0.2">
      <c r="A22" s="22">
        <f t="shared" si="8"/>
        <v>17</v>
      </c>
      <c r="B22" s="23">
        <f t="shared" si="9"/>
        <v>19.47146118721459</v>
      </c>
      <c r="C22" t="str">
        <f t="shared" si="0"/>
        <v>19 y 5.66 m</v>
      </c>
      <c r="D22" s="24">
        <f>IF(A22&gt;=$E$2,IF(A22&lt;$E$2+$H$2,$P$2,0),IF(B22&lt;Dashboard!$I$6,0,IF(A22&gt;=$F$2,Dashboard!$C$23*POWER(1+$C$2,A22-$F$2),Dashboard!$C$23)))</f>
        <v>0</v>
      </c>
      <c r="E22" s="24">
        <f>IF(A22&gt;=$F$2,0,IF(A22=0,Dashboard!$G$10,IF(B22&lt;Dashboard!$I$6,IF($J$2&lt;=Dashboard!$H$10,Dashboard!$H$10,MAX(Dashboard!$H$10,MIN($J$2,Dashboard!$H$10*POWER($J$2/Dashboard!$H$10,A22/$D$2)))),$I$2-D22-Dashboard!$I$10-Dashboard!$J$10-Dashboard!$F$10*$I$2)))</f>
        <v>649.213769123313</v>
      </c>
      <c r="F22" s="24">
        <f t="shared" si="1"/>
        <v>0</v>
      </c>
      <c r="G22" s="24">
        <f t="shared" si="2"/>
        <v>0</v>
      </c>
      <c r="H22" s="24">
        <f t="shared" si="3"/>
        <v>0</v>
      </c>
      <c r="I22" s="24">
        <f t="shared" si="4"/>
        <v>649.213769123313</v>
      </c>
      <c r="J22" s="25">
        <f t="shared" si="5"/>
        <v>7.9741404289037643E-3</v>
      </c>
      <c r="K22" s="24">
        <f t="shared" si="10"/>
        <v>125859.44372513737</v>
      </c>
      <c r="L22" s="24" t="str">
        <f t="shared" si="6"/>
        <v/>
      </c>
      <c r="M22" s="24">
        <f t="shared" si="7"/>
        <v>1096.5981036949449</v>
      </c>
      <c r="N22" s="24">
        <f>IF(M22&lt;=0,0,IF($E$2-A22&lt;12,(M22-E22)*Dashboard!$B$18,IF($Q$2+A22&gt;=$R$2,MAX(0,M22-E22*POWER(1+$C$2,$E$2-A22))*MAX(Dashboard!$C$18,Dashboard!$B$18),IF($S$2&lt;$R$2,(M22-E22)*0.5*Dashboard!$B$18,(E22*POWER(1+$A$2,$R$2-($Q$2+A22))-E22)*0.5*Dashboard!$B$18+MAX(0,M22-E22*POWER(1+$A$2,$R$2-($Q$2+A22))*POWER(1+$C$2,$S$2-$R$2))*MAX(Dashboard!$C$18,Dashboard!$B$18)))))</f>
        <v>159.90930577822098</v>
      </c>
    </row>
    <row r="23" spans="1:14" x14ac:dyDescent="0.2">
      <c r="A23" s="22">
        <f t="shared" si="8"/>
        <v>18</v>
      </c>
      <c r="B23" s="23">
        <f t="shared" si="9"/>
        <v>19.554794520547922</v>
      </c>
      <c r="C23" t="str">
        <f t="shared" si="0"/>
        <v>19 y 6.66 m</v>
      </c>
      <c r="D23" s="24">
        <f>IF(A23&gt;=$E$2,IF(A23&lt;$E$2+$H$2,$P$2,0),IF(B23&lt;Dashboard!$I$6,0,IF(A23&gt;=$F$2,Dashboard!$C$23*POWER(1+$C$2,A23-$F$2),Dashboard!$C$23)))</f>
        <v>0</v>
      </c>
      <c r="E23" s="24">
        <f>IF(A23&gt;=$F$2,0,IF(A23=0,Dashboard!$G$10,IF(B23&lt;Dashboard!$I$6,IF($J$2&lt;=Dashboard!$H$10,Dashboard!$H$10,MAX(Dashboard!$H$10,MIN($J$2,Dashboard!$H$10*POWER($J$2/Dashboard!$H$10,A23/$D$2)))),$I$2-D23-Dashboard!$I$10-Dashboard!$J$10-Dashboard!$F$10*$I$2)))</f>
        <v>659.26398705844872</v>
      </c>
      <c r="F23" s="24">
        <f t="shared" si="1"/>
        <v>0</v>
      </c>
      <c r="G23" s="24">
        <f t="shared" si="2"/>
        <v>0</v>
      </c>
      <c r="H23" s="24">
        <f t="shared" si="3"/>
        <v>0</v>
      </c>
      <c r="I23" s="24">
        <f t="shared" si="4"/>
        <v>659.26398705844872</v>
      </c>
      <c r="J23" s="25">
        <f t="shared" si="5"/>
        <v>7.9741404289037643E-3</v>
      </c>
      <c r="K23" s="24">
        <f t="shared" si="10"/>
        <v>127527.58565437631</v>
      </c>
      <c r="L23" s="24" t="str">
        <f t="shared" si="6"/>
        <v/>
      </c>
      <c r="M23" s="24">
        <f t="shared" si="7"/>
        <v>1104.7645513769314</v>
      </c>
      <c r="N23" s="24">
        <f>IF(M23&lt;=0,0,IF($E$2-A23&lt;12,(M23-E23)*Dashboard!$B$18,IF($Q$2+A23&gt;=$R$2,MAX(0,M23-E23*POWER(1+$C$2,$E$2-A23))*MAX(Dashboard!$C$18,Dashboard!$B$18),IF($S$2&lt;$R$2,(M23-E23)*0.5*Dashboard!$B$18,(E23*POWER(1+$A$2,$R$2-($Q$2+A23))-E23)*0.5*Dashboard!$B$18+MAX(0,M23-E23*POWER(1+$A$2,$R$2-($Q$2+A23))*POWER(1+$C$2,$S$2-$R$2))*MAX(Dashboard!$C$18,Dashboard!$B$18)))))</f>
        <v>159.87452572709321</v>
      </c>
    </row>
    <row r="24" spans="1:14" x14ac:dyDescent="0.2">
      <c r="A24" s="22">
        <f t="shared" si="8"/>
        <v>19</v>
      </c>
      <c r="B24" s="23">
        <f t="shared" si="9"/>
        <v>19.638127853881254</v>
      </c>
      <c r="C24" t="str">
        <f t="shared" si="0"/>
        <v>19 y 7.66 m</v>
      </c>
      <c r="D24" s="24">
        <f>IF(A24&gt;=$E$2,IF(A24&lt;$E$2+$H$2,$P$2,0),IF(B24&lt;Dashboard!$I$6,0,IF(A24&gt;=$F$2,Dashboard!$C$23*POWER(1+$C$2,A24-$F$2),Dashboard!$C$23)))</f>
        <v>0</v>
      </c>
      <c r="E24" s="24">
        <f>IF(A24&gt;=$F$2,0,IF(A24=0,Dashboard!$G$10,IF(B24&lt;Dashboard!$I$6,IF($J$2&lt;=Dashboard!$H$10,Dashboard!$H$10,MAX(Dashboard!$H$10,MIN($J$2,Dashboard!$H$10*POWER($J$2/Dashboard!$H$10,A24/$D$2)))),$I$2-D24-Dashboard!$I$10-Dashboard!$J$10-Dashboard!$F$10*$I$2)))</f>
        <v>669.46978838590849</v>
      </c>
      <c r="F24" s="24">
        <f t="shared" si="1"/>
        <v>0</v>
      </c>
      <c r="G24" s="24">
        <f t="shared" si="2"/>
        <v>0</v>
      </c>
      <c r="H24" s="24">
        <f t="shared" si="3"/>
        <v>0</v>
      </c>
      <c r="I24" s="24">
        <f t="shared" si="4"/>
        <v>669.46978838590849</v>
      </c>
      <c r="J24" s="25">
        <f t="shared" si="5"/>
        <v>7.9741404289037643E-3</v>
      </c>
      <c r="K24" s="24">
        <f t="shared" si="10"/>
        <v>129219.31676543476</v>
      </c>
      <c r="L24" s="24" t="str">
        <f t="shared" si="6"/>
        <v/>
      </c>
      <c r="M24" s="24">
        <f t="shared" si="7"/>
        <v>1112.9918152025152</v>
      </c>
      <c r="N24" s="24">
        <f>IF(M24&lt;=0,0,IF($E$2-A24&lt;12,(M24-E24)*Dashboard!$B$18,IF($Q$2+A24&gt;=$R$2,MAX(0,M24-E24*POWER(1+$C$2,$E$2-A24))*MAX(Dashboard!$C$18,Dashboard!$B$18),IF($S$2&lt;$R$2,(M24-E24)*0.5*Dashboard!$B$18,(E24*POWER(1+$A$2,$R$2-($Q$2+A24))-E24)*0.5*Dashboard!$B$18+MAX(0,M24-E24*POWER(1+$A$2,$R$2-($Q$2+A24))*POWER(1+$C$2,$S$2-$R$2))*MAX(Dashboard!$C$18,Dashboard!$B$18)))))</f>
        <v>159.8205130785411</v>
      </c>
    </row>
    <row r="25" spans="1:14" x14ac:dyDescent="0.2">
      <c r="A25" s="22">
        <f t="shared" si="8"/>
        <v>20</v>
      </c>
      <c r="B25" s="23">
        <f t="shared" si="9"/>
        <v>19.721461187214587</v>
      </c>
      <c r="C25" t="str">
        <f t="shared" si="0"/>
        <v>19 y 8.66 m</v>
      </c>
      <c r="D25" s="24">
        <f>IF(A25&gt;=$E$2,IF(A25&lt;$E$2+$H$2,$P$2,0),IF(B25&lt;Dashboard!$I$6,0,IF(A25&gt;=$F$2,Dashboard!$C$23*POWER(1+$C$2,A25-$F$2),Dashboard!$C$23)))</f>
        <v>0</v>
      </c>
      <c r="E25" s="24">
        <f>IF(A25&gt;=$F$2,0,IF(A25=0,Dashboard!$G$10,IF(B25&lt;Dashboard!$I$6,IF($J$2&lt;=Dashboard!$H$10,Dashboard!$H$10,MAX(Dashboard!$H$10,MIN($J$2,Dashboard!$H$10*POWER($J$2/Dashboard!$H$10,A25/$D$2)))),$I$2-D25-Dashboard!$I$10-Dashboard!$J$10-Dashboard!$F$10*$I$2)))</f>
        <v>679.83358162977856</v>
      </c>
      <c r="F25" s="24">
        <f t="shared" si="1"/>
        <v>0</v>
      </c>
      <c r="G25" s="24">
        <f t="shared" si="2"/>
        <v>0</v>
      </c>
      <c r="H25" s="24">
        <f t="shared" si="3"/>
        <v>0</v>
      </c>
      <c r="I25" s="24">
        <f t="shared" si="4"/>
        <v>679.83358162977856</v>
      </c>
      <c r="J25" s="25">
        <f t="shared" si="5"/>
        <v>7.9741404289037643E-3</v>
      </c>
      <c r="K25" s="24">
        <f t="shared" si="10"/>
        <v>130934.98441352732</v>
      </c>
      <c r="L25" s="24" t="str">
        <f t="shared" si="6"/>
        <v/>
      </c>
      <c r="M25" s="24">
        <f t="shared" si="7"/>
        <v>1121.2803480740429</v>
      </c>
      <c r="N25" s="24">
        <f>IF(M25&lt;=0,0,IF($E$2-A25&lt;12,(M25-E25)*Dashboard!$B$18,IF($Q$2+A25&gt;=$R$2,MAX(0,M25-E25*POWER(1+$C$2,$E$2-A25))*MAX(Dashboard!$C$18,Dashboard!$B$18),IF($S$2&lt;$R$2,(M25-E25)*0.5*Dashboard!$B$18,(E25*POWER(1+$A$2,$R$2-($Q$2+A25))-E25)*0.5*Dashboard!$B$18+MAX(0,M25-E25*POWER(1+$A$2,$R$2-($Q$2+A25))*POWER(1+$C$2,$S$2-$R$2))*MAX(Dashboard!$C$18,Dashboard!$B$18)))))</f>
        <v>159.74683088347857</v>
      </c>
    </row>
    <row r="26" spans="1:14" x14ac:dyDescent="0.2">
      <c r="A26" s="22">
        <f t="shared" si="8"/>
        <v>21</v>
      </c>
      <c r="B26" s="23">
        <f t="shared" si="9"/>
        <v>19.804794520547919</v>
      </c>
      <c r="C26" t="str">
        <f t="shared" si="0"/>
        <v>19 y 9.66 m</v>
      </c>
      <c r="D26" s="24">
        <f>IF(A26&gt;=$E$2,IF(A26&lt;$E$2+$H$2,$P$2,0),IF(B26&lt;Dashboard!$I$6,0,IF(A26&gt;=$F$2,Dashboard!$C$23*POWER(1+$C$2,A26-$F$2),Dashboard!$C$23)))</f>
        <v>0</v>
      </c>
      <c r="E26" s="24">
        <f>IF(A26&gt;=$F$2,0,IF(A26=0,Dashboard!$G$10,IF(B26&lt;Dashboard!$I$6,IF($J$2&lt;=Dashboard!$H$10,Dashboard!$H$10,MAX(Dashboard!$H$10,MIN($J$2,Dashboard!$H$10*POWER($J$2/Dashboard!$H$10,A26/$D$2)))),$I$2-D26-Dashboard!$I$10-Dashboard!$J$10-Dashboard!$F$10*$I$2)))</f>
        <v>690.35781259954013</v>
      </c>
      <c r="F26" s="24">
        <f t="shared" si="1"/>
        <v>0</v>
      </c>
      <c r="G26" s="24">
        <f t="shared" si="2"/>
        <v>0</v>
      </c>
      <c r="H26" s="24">
        <f t="shared" si="3"/>
        <v>0</v>
      </c>
      <c r="I26" s="24">
        <f t="shared" si="4"/>
        <v>690.35781259954013</v>
      </c>
      <c r="J26" s="25">
        <f t="shared" si="5"/>
        <v>7.9741404289037643E-3</v>
      </c>
      <c r="K26" s="24">
        <f t="shared" si="10"/>
        <v>132674.94118904049</v>
      </c>
      <c r="L26" s="24" t="str">
        <f t="shared" si="6"/>
        <v/>
      </c>
      <c r="M26" s="24">
        <f t="shared" si="7"/>
        <v>1129.6306062666597</v>
      </c>
      <c r="N26" s="24">
        <f>IF(M26&lt;=0,0,IF($E$2-A26&lt;12,(M26-E26)*Dashboard!$B$18,IF($Q$2+A26&gt;=$R$2,MAX(0,M26-E26*POWER(1+$C$2,$E$2-A26))*MAX(Dashboard!$C$18,Dashboard!$B$18),IF($S$2&lt;$R$2,(M26-E26)*0.5*Dashboard!$B$18,(E26*POWER(1+$A$2,$R$2-($Q$2+A26))-E26)*0.5*Dashboard!$B$18+MAX(0,M26-E26*POWER(1+$A$2,$R$2-($Q$2+A26))*POWER(1+$C$2,$S$2-$R$2))*MAX(Dashboard!$C$18,Dashboard!$B$18)))))</f>
        <v>159.65303439182753</v>
      </c>
    </row>
    <row r="27" spans="1:14" x14ac:dyDescent="0.2">
      <c r="A27" s="22">
        <f t="shared" si="8"/>
        <v>22</v>
      </c>
      <c r="B27" s="23">
        <f t="shared" si="9"/>
        <v>19.888127853881251</v>
      </c>
      <c r="C27" t="str">
        <f t="shared" si="0"/>
        <v>19 y 10.66 m</v>
      </c>
      <c r="D27" s="24">
        <f>IF(A27&gt;=$E$2,IF(A27&lt;$E$2+$H$2,$P$2,0),IF(B27&lt;Dashboard!$I$6,0,IF(A27&gt;=$F$2,Dashboard!$C$23*POWER(1+$C$2,A27-$F$2),Dashboard!$C$23)))</f>
        <v>0</v>
      </c>
      <c r="E27" s="24">
        <f>IF(A27&gt;=$F$2,0,IF(A27=0,Dashboard!$G$10,IF(B27&lt;Dashboard!$I$6,IF($J$2&lt;=Dashboard!$H$10,Dashboard!$H$10,MAX(Dashboard!$H$10,MIN($J$2,Dashboard!$H$10*POWER($J$2/Dashboard!$H$10,A27/$D$2)))),$I$2-D27-Dashboard!$I$10-Dashboard!$J$10-Dashboard!$F$10*$I$2)))</f>
        <v>701.04496496726995</v>
      </c>
      <c r="F27" s="24">
        <f t="shared" si="1"/>
        <v>0</v>
      </c>
      <c r="G27" s="24">
        <f t="shared" si="2"/>
        <v>0</v>
      </c>
      <c r="H27" s="24">
        <f t="shared" si="3"/>
        <v>0</v>
      </c>
      <c r="I27" s="24">
        <f t="shared" si="4"/>
        <v>701.04496496726995</v>
      </c>
      <c r="J27" s="25">
        <f t="shared" si="5"/>
        <v>7.9741404289037643E-3</v>
      </c>
      <c r="K27" s="24">
        <f t="shared" si="10"/>
        <v>134439.54499744333</v>
      </c>
      <c r="L27" s="24" t="str">
        <f t="shared" si="6"/>
        <v/>
      </c>
      <c r="M27" s="24">
        <f t="shared" si="7"/>
        <v>1138.0430494534248</v>
      </c>
      <c r="N27" s="24">
        <f>IF(M27&lt;=0,0,IF($E$2-A27&lt;12,(M27-E27)*Dashboard!$B$18,IF($Q$2+A27&gt;=$R$2,MAX(0,M27-E27*POWER(1+$C$2,$E$2-A27))*MAX(Dashboard!$C$18,Dashboard!$B$18),IF($S$2&lt;$R$2,(M27-E27)*0.5*Dashboard!$B$18,(E27*POWER(1+$A$2,$R$2-($Q$2+A27))-E27)*0.5*Dashboard!$B$18+MAX(0,M27-E27*POWER(1+$A$2,$R$2-($Q$2+A27))*POWER(1+$C$2,$S$2-$R$2))*MAX(Dashboard!$C$18,Dashboard!$B$18)))))</f>
        <v>159.53867092403206</v>
      </c>
    </row>
    <row r="28" spans="1:14" x14ac:dyDescent="0.2">
      <c r="A28" s="22">
        <f t="shared" si="8"/>
        <v>23</v>
      </c>
      <c r="B28" s="23">
        <f t="shared" si="9"/>
        <v>19.971461187214583</v>
      </c>
      <c r="C28" t="str">
        <f t="shared" si="0"/>
        <v>19 y 11.66 m</v>
      </c>
      <c r="D28" s="24">
        <f>IF(A28&gt;=$E$2,IF(A28&lt;$E$2+$H$2,$P$2,0),IF(B28&lt;Dashboard!$I$6,0,IF(A28&gt;=$F$2,Dashboard!$C$23*POWER(1+$C$2,A28-$F$2),Dashboard!$C$23)))</f>
        <v>0</v>
      </c>
      <c r="E28" s="24">
        <f>IF(A28&gt;=$F$2,0,IF(A28=0,Dashboard!$G$10,IF(B28&lt;Dashboard!$I$6,IF($J$2&lt;=Dashboard!$H$10,Dashboard!$H$10,MAX(Dashboard!$H$10,MIN($J$2,Dashboard!$H$10*POWER($J$2/Dashboard!$H$10,A28/$D$2)))),$I$2-D28-Dashboard!$I$10-Dashboard!$J$10-Dashboard!$F$10*$I$2)))</f>
        <v>711.89756085377587</v>
      </c>
      <c r="F28" s="24">
        <f t="shared" si="1"/>
        <v>0</v>
      </c>
      <c r="G28" s="24">
        <f t="shared" si="2"/>
        <v>0</v>
      </c>
      <c r="H28" s="24">
        <f t="shared" si="3"/>
        <v>0</v>
      </c>
      <c r="I28" s="24">
        <f t="shared" si="4"/>
        <v>711.89756085377587</v>
      </c>
      <c r="J28" s="25">
        <f t="shared" si="5"/>
        <v>7.9741404289037643E-3</v>
      </c>
      <c r="K28" s="24">
        <f t="shared" si="10"/>
        <v>136229.15914042588</v>
      </c>
      <c r="L28" s="24" t="str">
        <f t="shared" si="6"/>
        <v/>
      </c>
      <c r="M28" s="24">
        <f t="shared" si="7"/>
        <v>1146.5181407306163</v>
      </c>
      <c r="N28" s="24">
        <f>IF(M28&lt;=0,0,IF($E$2-A28&lt;12,(M28-E28)*Dashboard!$B$18,IF($Q$2+A28&gt;=$R$2,MAX(0,M28-E28*POWER(1+$C$2,$E$2-A28))*MAX(Dashboard!$C$18,Dashboard!$B$18),IF($S$2&lt;$R$2,(M28-E28)*0.5*Dashboard!$B$18,(E28*POWER(1+$A$2,$R$2-($Q$2+A28))-E28)*0.5*Dashboard!$B$18+MAX(0,M28-E28*POWER(1+$A$2,$R$2-($Q$2+A28))*POWER(1+$C$2,$S$2-$R$2))*MAX(Dashboard!$C$18,Dashboard!$B$18)))))</f>
        <v>159.40327974052695</v>
      </c>
    </row>
    <row r="29" spans="1:14" x14ac:dyDescent="0.2">
      <c r="A29" s="22">
        <f t="shared" si="8"/>
        <v>24</v>
      </c>
      <c r="B29" s="23">
        <f t="shared" si="9"/>
        <v>20.054794520547915</v>
      </c>
      <c r="C29" t="str">
        <f t="shared" si="0"/>
        <v>20 y 0.66 m</v>
      </c>
      <c r="D29" s="24">
        <f>IF(A29&gt;=$E$2,IF(A29&lt;$E$2+$H$2,$P$2,0),IF(B29&lt;Dashboard!$I$6,0,IF(A29&gt;=$F$2,Dashboard!$C$23*POWER(1+$C$2,A29-$F$2),Dashboard!$C$23)))</f>
        <v>0</v>
      </c>
      <c r="E29" s="24">
        <f>IF(A29&gt;=$F$2,0,IF(A29=0,Dashboard!$G$10,IF(B29&lt;Dashboard!$I$6,IF($J$2&lt;=Dashboard!$H$10,Dashboard!$H$10,MAX(Dashboard!$H$10,MIN($J$2,Dashboard!$H$10*POWER($J$2/Dashboard!$H$10,A29/$D$2)))),$I$2-D29-Dashboard!$I$10-Dashboard!$J$10-Dashboard!$F$10*$I$2)))</f>
        <v>722.9181614238064</v>
      </c>
      <c r="F29" s="24">
        <f t="shared" si="1"/>
        <v>0</v>
      </c>
      <c r="G29" s="24">
        <f t="shared" si="2"/>
        <v>0</v>
      </c>
      <c r="H29" s="24">
        <f t="shared" si="3"/>
        <v>0</v>
      </c>
      <c r="I29" s="24">
        <f t="shared" si="4"/>
        <v>722.9181614238064</v>
      </c>
      <c r="J29" s="25">
        <f t="shared" si="5"/>
        <v>7.9741404289037643E-3</v>
      </c>
      <c r="K29" s="24">
        <f t="shared" si="10"/>
        <v>138044.15239828473</v>
      </c>
      <c r="L29" s="24" t="str">
        <f t="shared" si="6"/>
        <v/>
      </c>
      <c r="M29" s="24">
        <f t="shared" si="7"/>
        <v>1155.0563466432266</v>
      </c>
      <c r="N29" s="24">
        <f>IF(M29&lt;=0,0,IF($E$2-A29&lt;12,(M29-E29)*Dashboard!$B$18,IF($Q$2+A29&gt;=$R$2,MAX(0,M29-E29*POWER(1+$C$2,$E$2-A29))*MAX(Dashboard!$C$18,Dashboard!$B$18),IF($S$2&lt;$R$2,(M29-E29)*0.5*Dashboard!$B$18,(E29*POWER(1+$A$2,$R$2-($Q$2+A29))-E29)*0.5*Dashboard!$B$18+MAX(0,M29-E29*POWER(1+$A$2,$R$2-($Q$2+A29))*POWER(1+$C$2,$S$2-$R$2))*MAX(Dashboard!$C$18,Dashboard!$B$18)))))</f>
        <v>159.24639190912916</v>
      </c>
    </row>
    <row r="30" spans="1:14" x14ac:dyDescent="0.2">
      <c r="A30" s="22">
        <f t="shared" si="8"/>
        <v>25</v>
      </c>
      <c r="B30" s="23">
        <f t="shared" si="9"/>
        <v>20.138127853881247</v>
      </c>
      <c r="C30" t="str">
        <f t="shared" si="0"/>
        <v>20 y 1.66 m</v>
      </c>
      <c r="D30" s="24">
        <f>IF(A30&gt;=$E$2,IF(A30&lt;$E$2+$H$2,$P$2,0),IF(B30&lt;Dashboard!$I$6,0,IF(A30&gt;=$F$2,Dashboard!$C$23*POWER(1+$C$2,A30-$F$2),Dashboard!$C$23)))</f>
        <v>0</v>
      </c>
      <c r="E30" s="24">
        <f>IF(A30&gt;=$F$2,0,IF(A30=0,Dashboard!$G$10,IF(B30&lt;Dashboard!$I$6,IF($J$2&lt;=Dashboard!$H$10,Dashboard!$H$10,MAX(Dashboard!$H$10,MIN($J$2,Dashboard!$H$10*POWER($J$2/Dashboard!$H$10,A30/$D$2)))),$I$2-D30-Dashboard!$I$10-Dashboard!$J$10-Dashboard!$F$10*$I$2)))</f>
        <v>734.10936749047391</v>
      </c>
      <c r="F30" s="24">
        <f t="shared" si="1"/>
        <v>0</v>
      </c>
      <c r="G30" s="24">
        <f t="shared" si="2"/>
        <v>0</v>
      </c>
      <c r="H30" s="24">
        <f t="shared" si="3"/>
        <v>0</v>
      </c>
      <c r="I30" s="24">
        <f t="shared" si="4"/>
        <v>734.10936749047391</v>
      </c>
      <c r="J30" s="25">
        <f t="shared" si="5"/>
        <v>7.9741404289037643E-3</v>
      </c>
      <c r="K30" s="24">
        <f t="shared" si="10"/>
        <v>139884.89911357468</v>
      </c>
      <c r="L30" s="24" t="str">
        <f t="shared" si="6"/>
        <v/>
      </c>
      <c r="M30" s="24">
        <f t="shared" si="7"/>
        <v>1163.6581372106421</v>
      </c>
      <c r="N30" s="24">
        <f>IF(M30&lt;=0,0,IF($E$2-A30&lt;12,(M30-E30)*Dashboard!$B$18,IF($Q$2+A30&gt;=$R$2,MAX(0,M30-E30*POWER(1+$C$2,$E$2-A30))*MAX(Dashboard!$C$18,Dashboard!$B$18),IF($S$2&lt;$R$2,(M30-E30)*0.5*Dashboard!$B$18,(E30*POWER(1+$A$2,$R$2-($Q$2+A30))-E30)*0.5*Dashboard!$B$18+MAX(0,M30-E30*POWER(1+$A$2,$R$2-($Q$2+A30))*POWER(1+$C$2,$S$2-$R$2))*MAX(Dashboard!$C$18,Dashboard!$B$18)))))</f>
        <v>158.15120859133762</v>
      </c>
    </row>
    <row r="31" spans="1:14" x14ac:dyDescent="0.2">
      <c r="A31" s="22">
        <f t="shared" si="8"/>
        <v>26</v>
      </c>
      <c r="B31" s="23">
        <f t="shared" si="9"/>
        <v>20.22146118721458</v>
      </c>
      <c r="C31" t="str">
        <f t="shared" si="0"/>
        <v>20 y 2.66 m</v>
      </c>
      <c r="D31" s="24">
        <f>IF(A31&gt;=$E$2,IF(A31&lt;$E$2+$H$2,$P$2,0),IF(B31&lt;Dashboard!$I$6,0,IF(A31&gt;=$F$2,Dashboard!$C$23*POWER(1+$C$2,A31-$F$2),Dashboard!$C$23)))</f>
        <v>0</v>
      </c>
      <c r="E31" s="24">
        <f>IF(A31&gt;=$F$2,0,IF(A31=0,Dashboard!$G$10,IF(B31&lt;Dashboard!$I$6,IF($J$2&lt;=Dashboard!$H$10,Dashboard!$H$10,MAX(Dashboard!$H$10,MIN($J$2,Dashboard!$H$10*POWER($J$2/Dashboard!$H$10,A31/$D$2)))),$I$2-D31-Dashboard!$I$10-Dashboard!$J$10-Dashboard!$F$10*$I$2)))</f>
        <v>745.47382012903552</v>
      </c>
      <c r="F31" s="24">
        <f t="shared" si="1"/>
        <v>0</v>
      </c>
      <c r="G31" s="24">
        <f t="shared" si="2"/>
        <v>0</v>
      </c>
      <c r="H31" s="24">
        <f t="shared" si="3"/>
        <v>0</v>
      </c>
      <c r="I31" s="24">
        <f t="shared" si="4"/>
        <v>745.47382012903552</v>
      </c>
      <c r="J31" s="25">
        <f t="shared" si="5"/>
        <v>7.9741404289037643E-3</v>
      </c>
      <c r="K31" s="24">
        <f t="shared" si="10"/>
        <v>141751.77927604617</v>
      </c>
      <c r="L31" s="24" t="str">
        <f t="shared" si="6"/>
        <v/>
      </c>
      <c r="M31" s="24">
        <f t="shared" si="7"/>
        <v>1172.3239859525183</v>
      </c>
      <c r="N31" s="24">
        <f>IF(M31&lt;=0,0,IF($E$2-A31&lt;12,(M31-E31)*Dashboard!$B$18,IF($Q$2+A31&gt;=$R$2,MAX(0,M31-E31*POWER(1+$C$2,$E$2-A31))*MAX(Dashboard!$C$18,Dashboard!$B$18),IF($S$2&lt;$R$2,(M31-E31)*0.5*Dashboard!$B$18,(E31*POWER(1+$A$2,$R$2-($Q$2+A31))-E31)*0.5*Dashboard!$B$18+MAX(0,M31-E31*POWER(1+$A$2,$R$2-($Q$2+A31))*POWER(1+$C$2,$S$2-$R$2))*MAX(Dashboard!$C$18,Dashboard!$B$18)))))</f>
        <v>157.01731814991038</v>
      </c>
    </row>
    <row r="32" spans="1:14" x14ac:dyDescent="0.2">
      <c r="A32" s="22">
        <f t="shared" si="8"/>
        <v>27</v>
      </c>
      <c r="B32" s="23">
        <f t="shared" si="9"/>
        <v>20.304794520547912</v>
      </c>
      <c r="C32" t="str">
        <f t="shared" si="0"/>
        <v>20 y 3.66 m</v>
      </c>
      <c r="D32" s="24">
        <f>IF(A32&gt;=$E$2,IF(A32&lt;$E$2+$H$2,$P$2,0),IF(B32&lt;Dashboard!$I$6,0,IF(A32&gt;=$F$2,Dashboard!$C$23*POWER(1+$C$2,A32-$F$2),Dashboard!$C$23)))</f>
        <v>0</v>
      </c>
      <c r="E32" s="24">
        <f>IF(A32&gt;=$F$2,0,IF(A32=0,Dashboard!$G$10,IF(B32&lt;Dashboard!$I$6,IF($J$2&lt;=Dashboard!$H$10,Dashboard!$H$10,MAX(Dashboard!$H$10,MIN($J$2,Dashboard!$H$10*POWER($J$2/Dashboard!$H$10,A32/$D$2)))),$I$2-D32-Dashboard!$I$10-Dashboard!$J$10-Dashboard!$F$10*$I$2)))</f>
        <v>757.0142013001747</v>
      </c>
      <c r="F32" s="24">
        <f t="shared" si="1"/>
        <v>0</v>
      </c>
      <c r="G32" s="24">
        <f t="shared" si="2"/>
        <v>0</v>
      </c>
      <c r="H32" s="24">
        <f t="shared" si="3"/>
        <v>0</v>
      </c>
      <c r="I32" s="24">
        <f t="shared" si="4"/>
        <v>757.0142013001747</v>
      </c>
      <c r="J32" s="25">
        <f t="shared" si="5"/>
        <v>7.9741404289037643E-3</v>
      </c>
      <c r="K32" s="24">
        <f t="shared" si="10"/>
        <v>143645.17860888835</v>
      </c>
      <c r="L32" s="24" t="str">
        <f t="shared" si="6"/>
        <v/>
      </c>
      <c r="M32" s="24">
        <f t="shared" si="7"/>
        <v>1181.0543699148482</v>
      </c>
      <c r="N32" s="24">
        <f>IF(M32&lt;=0,0,IF($E$2-A32&lt;12,(M32-E32)*Dashboard!$B$18,IF($Q$2+A32&gt;=$R$2,MAX(0,M32-E32*POWER(1+$C$2,$E$2-A32))*MAX(Dashboard!$C$18,Dashboard!$B$18),IF($S$2&lt;$R$2,(M32-E32)*0.5*Dashboard!$B$18,(E32*POWER(1+$A$2,$R$2-($Q$2+A32))-E32)*0.5*Dashboard!$B$18+MAX(0,M32-E32*POWER(1+$A$2,$R$2-($Q$2+A32))*POWER(1+$C$2,$S$2-$R$2))*MAX(Dashboard!$C$18,Dashboard!$B$18)))))</f>
        <v>155.84402315229417</v>
      </c>
    </row>
    <row r="33" spans="1:14" x14ac:dyDescent="0.2">
      <c r="A33" s="22">
        <f t="shared" si="8"/>
        <v>28</v>
      </c>
      <c r="B33" s="23">
        <f t="shared" si="9"/>
        <v>20.388127853881244</v>
      </c>
      <c r="C33" t="str">
        <f t="shared" si="0"/>
        <v>20 y 4.66 m</v>
      </c>
      <c r="D33" s="24">
        <f>IF(A33&gt;=$E$2,IF(A33&lt;$E$2+$H$2,$P$2,0),IF(B33&lt;Dashboard!$I$6,0,IF(A33&gt;=$F$2,Dashboard!$C$23*POWER(1+$C$2,A33-$F$2),Dashboard!$C$23)))</f>
        <v>0</v>
      </c>
      <c r="E33" s="24">
        <f>IF(A33&gt;=$F$2,0,IF(A33=0,Dashboard!$G$10,IF(B33&lt;Dashboard!$I$6,IF($J$2&lt;=Dashboard!$H$10,Dashboard!$H$10,MAX(Dashboard!$H$10,MIN($J$2,Dashboard!$H$10*POWER($J$2/Dashboard!$H$10,A33/$D$2)))),$I$2-D33-Dashboard!$I$10-Dashboard!$J$10-Dashboard!$F$10*$I$2)))</f>
        <v>768.73323448293263</v>
      </c>
      <c r="F33" s="24">
        <f t="shared" si="1"/>
        <v>0</v>
      </c>
      <c r="G33" s="24">
        <f t="shared" si="2"/>
        <v>0</v>
      </c>
      <c r="H33" s="24">
        <f t="shared" si="3"/>
        <v>0</v>
      </c>
      <c r="I33" s="24">
        <f t="shared" si="4"/>
        <v>768.73323448293263</v>
      </c>
      <c r="J33" s="25">
        <f t="shared" si="5"/>
        <v>7.9741404289037643E-3</v>
      </c>
      <c r="K33" s="24">
        <f t="shared" si="10"/>
        <v>145565.48865629765</v>
      </c>
      <c r="L33" s="24" t="str">
        <f t="shared" si="6"/>
        <v/>
      </c>
      <c r="M33" s="24">
        <f t="shared" si="7"/>
        <v>1189.8497696962197</v>
      </c>
      <c r="N33" s="24">
        <f>IF(M33&lt;=0,0,IF($E$2-A33&lt;12,(M33-E33)*Dashboard!$B$18,IF($Q$2+A33&gt;=$R$2,MAX(0,M33-E33*POWER(1+$C$2,$E$2-A33))*MAX(Dashboard!$C$18,Dashboard!$B$18),IF($S$2&lt;$R$2,(M33-E33)*0.5*Dashboard!$B$18,(E33*POWER(1+$A$2,$R$2-($Q$2+A33))-E33)*0.5*Dashboard!$B$18+MAX(0,M33-E33*POWER(1+$A$2,$R$2-($Q$2+A33))*POWER(1+$C$2,$S$2-$R$2))*MAX(Dashboard!$C$18,Dashboard!$B$18)))))</f>
        <v>154.6306154919138</v>
      </c>
    </row>
    <row r="34" spans="1:14" x14ac:dyDescent="0.2">
      <c r="A34" s="22">
        <f t="shared" si="8"/>
        <v>29</v>
      </c>
      <c r="B34" s="23">
        <f t="shared" si="9"/>
        <v>20.471461187214576</v>
      </c>
      <c r="C34" t="str">
        <f t="shared" si="0"/>
        <v>20 y 5.66 m</v>
      </c>
      <c r="D34" s="24">
        <f>IF(A34&gt;=$E$2,IF(A34&lt;$E$2+$H$2,$P$2,0),IF(B34&lt;Dashboard!$I$6,0,IF(A34&gt;=$F$2,Dashboard!$C$23*POWER(1+$C$2,A34-$F$2),Dashboard!$C$23)))</f>
        <v>0</v>
      </c>
      <c r="E34" s="24">
        <f>IF(A34&gt;=$F$2,0,IF(A34=0,Dashboard!$G$10,IF(B34&lt;Dashboard!$I$6,IF($J$2&lt;=Dashboard!$H$10,Dashboard!$H$10,MAX(Dashboard!$H$10,MIN($J$2,Dashboard!$H$10*POWER($J$2/Dashboard!$H$10,A34/$D$2)))),$I$2-D34-Dashboard!$I$10-Dashboard!$J$10-Dashboard!$F$10*$I$2)))</f>
        <v>780.6336853174372</v>
      </c>
      <c r="F34" s="24">
        <f t="shared" si="1"/>
        <v>0</v>
      </c>
      <c r="G34" s="24">
        <f t="shared" si="2"/>
        <v>0</v>
      </c>
      <c r="H34" s="24">
        <f t="shared" si="3"/>
        <v>0</v>
      </c>
      <c r="I34" s="24">
        <f t="shared" si="4"/>
        <v>780.6336853174372</v>
      </c>
      <c r="J34" s="25">
        <f t="shared" si="5"/>
        <v>7.9741404289037643E-3</v>
      </c>
      <c r="K34" s="24">
        <f t="shared" si="10"/>
        <v>147513.10687239267</v>
      </c>
      <c r="L34" s="24" t="str">
        <f t="shared" si="6"/>
        <v/>
      </c>
      <c r="M34" s="24">
        <f t="shared" si="7"/>
        <v>1198.7106694742768</v>
      </c>
      <c r="N34" s="24">
        <f>IF(M34&lt;=0,0,IF($E$2-A34&lt;12,(M34-E34)*Dashboard!$B$18,IF($Q$2+A34&gt;=$R$2,MAX(0,M34-E34*POWER(1+$C$2,$E$2-A34))*MAX(Dashboard!$C$18,Dashboard!$B$18),IF($S$2&lt;$R$2,(M34-E34)*0.5*Dashboard!$B$18,(E34*POWER(1+$A$2,$R$2-($Q$2+A34))-E34)*0.5*Dashboard!$B$18+MAX(0,M34-E34*POWER(1+$A$2,$R$2-($Q$2+A34))*POWER(1+$C$2,$S$2-$R$2))*MAX(Dashboard!$C$18,Dashboard!$B$18)))))</f>
        <v>153.37637623528681</v>
      </c>
    </row>
    <row r="35" spans="1:14" x14ac:dyDescent="0.2">
      <c r="A35" s="22">
        <f t="shared" si="8"/>
        <v>30</v>
      </c>
      <c r="B35" s="23">
        <f t="shared" si="9"/>
        <v>20.554794520547908</v>
      </c>
      <c r="C35" t="str">
        <f t="shared" si="0"/>
        <v>20 y 6.66 m</v>
      </c>
      <c r="D35" s="24">
        <f>IF(A35&gt;=$E$2,IF(A35&lt;$E$2+$H$2,$P$2,0),IF(B35&lt;Dashboard!$I$6,0,IF(A35&gt;=$F$2,Dashboard!$C$23*POWER(1+$C$2,A35-$F$2),Dashboard!$C$23)))</f>
        <v>0</v>
      </c>
      <c r="E35" s="24">
        <f>IF(A35&gt;=$F$2,0,IF(A35=0,Dashboard!$G$10,IF(B35&lt;Dashboard!$I$6,IF($J$2&lt;=Dashboard!$H$10,Dashboard!$H$10,MAX(Dashboard!$H$10,MIN($J$2,Dashboard!$H$10*POWER($J$2/Dashboard!$H$10,A35/$D$2)))),$I$2-D35-Dashboard!$I$10-Dashboard!$J$10-Dashboard!$F$10*$I$2)))</f>
        <v>792.71836225758102</v>
      </c>
      <c r="F35" s="24">
        <f t="shared" si="1"/>
        <v>0</v>
      </c>
      <c r="G35" s="24">
        <f t="shared" si="2"/>
        <v>0</v>
      </c>
      <c r="H35" s="24">
        <f t="shared" si="3"/>
        <v>0</v>
      </c>
      <c r="I35" s="24">
        <f t="shared" si="4"/>
        <v>792.71836225758102</v>
      </c>
      <c r="J35" s="25">
        <f t="shared" si="5"/>
        <v>7.9741404289037643E-3</v>
      </c>
      <c r="K35" s="24">
        <f t="shared" si="10"/>
        <v>149488.43671149583</v>
      </c>
      <c r="L35" s="24" t="str">
        <f t="shared" si="6"/>
        <v/>
      </c>
      <c r="M35" s="24">
        <f t="shared" si="7"/>
        <v>1207.6375570323682</v>
      </c>
      <c r="N35" s="24">
        <f>IF(M35&lt;=0,0,IF($E$2-A35&lt;12,(M35-E35)*Dashboard!$B$18,IF($Q$2+A35&gt;=$R$2,MAX(0,M35-E35*POWER(1+$C$2,$E$2-A35))*MAX(Dashboard!$C$18,Dashboard!$B$18),IF($S$2&lt;$R$2,(M35-E35)*0.5*Dashboard!$B$18,(E35*POWER(1+$A$2,$R$2-($Q$2+A35))-E35)*0.5*Dashboard!$B$18+MAX(0,M35-E35*POWER(1+$A$2,$R$2-($Q$2+A35))*POWER(1+$C$2,$S$2-$R$2))*MAX(Dashboard!$C$18,Dashboard!$B$18)))))</f>
        <v>152.08057546701303</v>
      </c>
    </row>
    <row r="36" spans="1:14" x14ac:dyDescent="0.2">
      <c r="A36" s="22">
        <f t="shared" si="8"/>
        <v>31</v>
      </c>
      <c r="B36" s="23">
        <f t="shared" si="9"/>
        <v>20.63812785388124</v>
      </c>
      <c r="C36" t="str">
        <f t="shared" si="0"/>
        <v>20 y 7.66 m</v>
      </c>
      <c r="D36" s="24">
        <f>IF(A36&gt;=$E$2,IF(A36&lt;$E$2+$H$2,$P$2,0),IF(B36&lt;Dashboard!$I$6,0,IF(A36&gt;=$F$2,Dashboard!$C$23*POWER(1+$C$2,A36-$F$2),Dashboard!$C$23)))</f>
        <v>0</v>
      </c>
      <c r="E36" s="24">
        <f>IF(A36&gt;=$F$2,0,IF(A36=0,Dashboard!$G$10,IF(B36&lt;Dashboard!$I$6,IF($J$2&lt;=Dashboard!$H$10,Dashboard!$H$10,MAX(Dashboard!$H$10,MIN($J$2,Dashboard!$H$10*POWER($J$2/Dashboard!$H$10,A36/$D$2)))),$I$2-D36-Dashboard!$I$10-Dashboard!$J$10-Dashboard!$F$10*$I$2)))</f>
        <v>804.99011723380579</v>
      </c>
      <c r="F36" s="24">
        <f t="shared" si="1"/>
        <v>0</v>
      </c>
      <c r="G36" s="24">
        <f t="shared" si="2"/>
        <v>0</v>
      </c>
      <c r="H36" s="24">
        <f t="shared" si="3"/>
        <v>0</v>
      </c>
      <c r="I36" s="24">
        <f t="shared" si="4"/>
        <v>804.99011723380579</v>
      </c>
      <c r="J36" s="25">
        <f t="shared" si="5"/>
        <v>7.9741404289037643E-3</v>
      </c>
      <c r="K36" s="24">
        <f t="shared" si="10"/>
        <v>151491.88771980308</v>
      </c>
      <c r="L36" s="24" t="str">
        <f t="shared" si="6"/>
        <v/>
      </c>
      <c r="M36" s="24">
        <f t="shared" si="7"/>
        <v>1216.6309237864025</v>
      </c>
      <c r="N36" s="24">
        <f>IF(M36&lt;=0,0,IF($E$2-A36&lt;12,(M36-E36)*Dashboard!$B$18,IF($Q$2+A36&gt;=$R$2,MAX(0,M36-E36*POWER(1+$C$2,$E$2-A36))*MAX(Dashboard!$C$18,Dashboard!$B$18),IF($S$2&lt;$R$2,(M36-E36)*0.5*Dashboard!$B$18,(E36*POWER(1+$A$2,$R$2-($Q$2+A36))-E36)*0.5*Dashboard!$B$18+MAX(0,M36-E36*POWER(1+$A$2,$R$2-($Q$2+A36))*POWER(1+$C$2,$S$2-$R$2))*MAX(Dashboard!$C$18,Dashboard!$B$18)))))</f>
        <v>150.74247213261512</v>
      </c>
    </row>
    <row r="37" spans="1:14" x14ac:dyDescent="0.2">
      <c r="A37" s="22">
        <f t="shared" si="8"/>
        <v>32</v>
      </c>
      <c r="B37" s="23">
        <f t="shared" si="9"/>
        <v>20.721461187214572</v>
      </c>
      <c r="C37" t="str">
        <f t="shared" si="0"/>
        <v>20 y 8.66 m</v>
      </c>
      <c r="D37" s="24">
        <f>IF(A37&gt;=$E$2,IF(A37&lt;$E$2+$H$2,$P$2,0),IF(B37&lt;Dashboard!$I$6,0,IF(A37&gt;=$F$2,Dashboard!$C$23*POWER(1+$C$2,A37-$F$2),Dashboard!$C$23)))</f>
        <v>0</v>
      </c>
      <c r="E37" s="24">
        <f>IF(A37&gt;=$F$2,0,IF(A37=0,Dashboard!$G$10,IF(B37&lt;Dashboard!$I$6,IF($J$2&lt;=Dashboard!$H$10,Dashboard!$H$10,MAX(Dashboard!$H$10,MIN($J$2,Dashboard!$H$10*POWER($J$2/Dashboard!$H$10,A37/$D$2)))),$I$2-D37-Dashboard!$I$10-Dashboard!$J$10-Dashboard!$F$10*$I$2)))</f>
        <v>817.4518463261436</v>
      </c>
      <c r="F37" s="24">
        <f t="shared" si="1"/>
        <v>0</v>
      </c>
      <c r="G37" s="24">
        <f t="shared" si="2"/>
        <v>0</v>
      </c>
      <c r="H37" s="24">
        <f t="shared" si="3"/>
        <v>0</v>
      </c>
      <c r="I37" s="24">
        <f t="shared" si="4"/>
        <v>817.4518463261436</v>
      </c>
      <c r="J37" s="25">
        <f t="shared" si="5"/>
        <v>7.9741404289037643E-3</v>
      </c>
      <c r="K37" s="24">
        <f t="shared" si="10"/>
        <v>153523.87562846314</v>
      </c>
      <c r="L37" s="24" t="str">
        <f t="shared" si="6"/>
        <v/>
      </c>
      <c r="M37" s="24">
        <f t="shared" si="7"/>
        <v>1225.6912648118989</v>
      </c>
      <c r="N37" s="24">
        <f>IF(M37&lt;=0,0,IF($E$2-A37&lt;12,(M37-E37)*Dashboard!$B$18,IF($Q$2+A37&gt;=$R$2,MAX(0,M37-E37*POWER(1+$C$2,$E$2-A37))*MAX(Dashboard!$C$18,Dashboard!$B$18),IF($S$2&lt;$R$2,(M37-E37)*0.5*Dashboard!$B$18,(E37*POWER(1+$A$2,$R$2-($Q$2+A37))-E37)*0.5*Dashboard!$B$18+MAX(0,M37-E37*POWER(1+$A$2,$R$2-($Q$2+A37))*POWER(1+$C$2,$S$2-$R$2))*MAX(Dashboard!$C$18,Dashboard!$B$18)))))</f>
        <v>149.36131387920076</v>
      </c>
    </row>
    <row r="38" spans="1:14" x14ac:dyDescent="0.2">
      <c r="A38" s="22">
        <f t="shared" si="8"/>
        <v>33</v>
      </c>
      <c r="B38" s="23">
        <f t="shared" si="9"/>
        <v>20.804794520547905</v>
      </c>
      <c r="C38" t="str">
        <f t="shared" si="0"/>
        <v>20 y 9.66 m</v>
      </c>
      <c r="D38" s="24">
        <f>IF(A38&gt;=$E$2,IF(A38&lt;$E$2+$H$2,$P$2,0),IF(B38&lt;Dashboard!$I$6,0,IF(A38&gt;=$F$2,Dashboard!$C$23*POWER(1+$C$2,A38-$F$2),Dashboard!$C$23)))</f>
        <v>0</v>
      </c>
      <c r="E38" s="24">
        <f>IF(A38&gt;=$F$2,0,IF(A38=0,Dashboard!$G$10,IF(B38&lt;Dashboard!$I$6,IF($J$2&lt;=Dashboard!$H$10,Dashboard!$H$10,MAX(Dashboard!$H$10,MIN($J$2,Dashboard!$H$10*POWER($J$2/Dashboard!$H$10,A38/$D$2)))),$I$2-D38-Dashboard!$I$10-Dashboard!$J$10-Dashboard!$F$10*$I$2)))</f>
        <v>830.10649044768002</v>
      </c>
      <c r="F38" s="24">
        <f t="shared" si="1"/>
        <v>0</v>
      </c>
      <c r="G38" s="24">
        <f t="shared" si="2"/>
        <v>0</v>
      </c>
      <c r="H38" s="24">
        <f t="shared" si="3"/>
        <v>0</v>
      </c>
      <c r="I38" s="24">
        <f t="shared" si="4"/>
        <v>830.10649044768002</v>
      </c>
      <c r="J38" s="25">
        <f t="shared" si="5"/>
        <v>7.9741404289037643E-3</v>
      </c>
      <c r="K38" s="24">
        <f t="shared" si="10"/>
        <v>155584.82244808751</v>
      </c>
      <c r="L38" s="24" t="str">
        <f t="shared" si="6"/>
        <v/>
      </c>
      <c r="M38" s="24">
        <f t="shared" si="7"/>
        <v>1234.8190788712411</v>
      </c>
      <c r="N38" s="24">
        <f>IF(M38&lt;=0,0,IF($E$2-A38&lt;12,(M38-E38)*Dashboard!$B$18,IF($Q$2+A38&gt;=$R$2,MAX(0,M38-E38*POWER(1+$C$2,$E$2-A38))*MAX(Dashboard!$C$18,Dashboard!$B$18),IF($S$2&lt;$R$2,(M38-E38)*0.5*Dashboard!$B$18,(E38*POWER(1+$A$2,$R$2-($Q$2+A38))-E38)*0.5*Dashboard!$B$18+MAX(0,M38-E38*POWER(1+$A$2,$R$2-($Q$2+A38))*POWER(1+$C$2,$S$2-$R$2))*MAX(Dashboard!$C$18,Dashboard!$B$18)))))</f>
        <v>147.93633689391149</v>
      </c>
    </row>
    <row r="39" spans="1:14" x14ac:dyDescent="0.2">
      <c r="A39" s="22">
        <f t="shared" si="8"/>
        <v>34</v>
      </c>
      <c r="B39" s="23">
        <f t="shared" si="9"/>
        <v>20.888127853881237</v>
      </c>
      <c r="C39" t="str">
        <f t="shared" si="0"/>
        <v>20 y 10.66 m</v>
      </c>
      <c r="D39" s="24">
        <f>IF(A39&gt;=$E$2,IF(A39&lt;$E$2+$H$2,$P$2,0),IF(B39&lt;Dashboard!$I$6,0,IF(A39&gt;=$F$2,Dashboard!$C$23*POWER(1+$C$2,A39-$F$2),Dashboard!$C$23)))</f>
        <v>0</v>
      </c>
      <c r="E39" s="24">
        <f>IF(A39&gt;=$F$2,0,IF(A39=0,Dashboard!$G$10,IF(B39&lt;Dashboard!$I$6,IF($J$2&lt;=Dashboard!$H$10,Dashboard!$H$10,MAX(Dashboard!$H$10,MIN($J$2,Dashboard!$H$10*POWER($J$2/Dashboard!$H$10,A39/$D$2)))),$I$2-D39-Dashboard!$I$10-Dashboard!$J$10-Dashboard!$F$10*$I$2)))</f>
        <v>842.95703603859647</v>
      </c>
      <c r="F39" s="24">
        <f t="shared" si="1"/>
        <v>0</v>
      </c>
      <c r="G39" s="24">
        <f t="shared" si="2"/>
        <v>0</v>
      </c>
      <c r="H39" s="24">
        <f t="shared" si="3"/>
        <v>0</v>
      </c>
      <c r="I39" s="24">
        <f t="shared" si="4"/>
        <v>842.95703603859647</v>
      </c>
      <c r="J39" s="25">
        <f t="shared" si="5"/>
        <v>7.9741404289037643E-3</v>
      </c>
      <c r="K39" s="24">
        <f t="shared" si="10"/>
        <v>157675.15656471413</v>
      </c>
      <c r="L39" s="24" t="str">
        <f t="shared" si="6"/>
        <v/>
      </c>
      <c r="M39" s="24">
        <f t="shared" si="7"/>
        <v>1244.0148684411329</v>
      </c>
      <c r="N39" s="24">
        <f>IF(M39&lt;=0,0,IF($E$2-A39&lt;12,(M39-E39)*Dashboard!$B$18,IF($Q$2+A39&gt;=$R$2,MAX(0,M39-E39*POWER(1+$C$2,$E$2-A39))*MAX(Dashboard!$C$18,Dashboard!$B$18),IF($S$2&lt;$R$2,(M39-E39)*0.5*Dashboard!$B$18,(E39*POWER(1+$A$2,$R$2-($Q$2+A39))-E39)*0.5*Dashboard!$B$18+MAX(0,M39-E39*POWER(1+$A$2,$R$2-($Q$2+A39))*POWER(1+$C$2,$S$2-$R$2))*MAX(Dashboard!$C$18,Dashboard!$B$18)))))</f>
        <v>146.46676574013526</v>
      </c>
    </row>
    <row r="40" spans="1:14" x14ac:dyDescent="0.2">
      <c r="A40" s="22">
        <f t="shared" si="8"/>
        <v>35</v>
      </c>
      <c r="B40" s="23">
        <f t="shared" si="9"/>
        <v>20.971461187214569</v>
      </c>
      <c r="C40" t="str">
        <f t="shared" si="0"/>
        <v>20 y 11.66 m</v>
      </c>
      <c r="D40" s="24">
        <f>IF(A40&gt;=$E$2,IF(A40&lt;$E$2+$H$2,$P$2,0),IF(B40&lt;Dashboard!$I$6,0,IF(A40&gt;=$F$2,Dashboard!$C$23*POWER(1+$C$2,A40-$F$2),Dashboard!$C$23)))</f>
        <v>0</v>
      </c>
      <c r="E40" s="24">
        <f>IF(A40&gt;=$F$2,0,IF(A40=0,Dashboard!$G$10,IF(B40&lt;Dashboard!$I$6,IF($J$2&lt;=Dashboard!$H$10,Dashboard!$H$10,MAX(Dashboard!$H$10,MIN($J$2,Dashboard!$H$10*POWER($J$2/Dashboard!$H$10,A40/$D$2)))),$I$2-D40-Dashboard!$I$10-Dashboard!$J$10-Dashboard!$F$10*$I$2)))</f>
        <v>856.00651577095687</v>
      </c>
      <c r="F40" s="24">
        <f t="shared" si="1"/>
        <v>0</v>
      </c>
      <c r="G40" s="24">
        <f t="shared" si="2"/>
        <v>0</v>
      </c>
      <c r="H40" s="24">
        <f t="shared" si="3"/>
        <v>0</v>
      </c>
      <c r="I40" s="24">
        <f t="shared" si="4"/>
        <v>856.00651577095687</v>
      </c>
      <c r="J40" s="25">
        <f t="shared" si="5"/>
        <v>7.9741404289037643E-3</v>
      </c>
      <c r="K40" s="24">
        <f t="shared" si="10"/>
        <v>159795.31283724631</v>
      </c>
      <c r="L40" s="24" t="str">
        <f t="shared" si="6"/>
        <v/>
      </c>
      <c r="M40" s="24">
        <f t="shared" si="7"/>
        <v>1253.2791397402596</v>
      </c>
      <c r="N40" s="24">
        <f>IF(M40&lt;=0,0,IF($E$2-A40&lt;12,(M40-E40)*Dashboard!$B$18,IF($Q$2+A40&gt;=$R$2,MAX(0,M40-E40*POWER(1+$C$2,$E$2-A40))*MAX(Dashboard!$C$18,Dashboard!$B$18),IF($S$2&lt;$R$2,(M40-E40)*0.5*Dashboard!$B$18,(E40*POWER(1+$A$2,$R$2-($Q$2+A40))-E40)*0.5*Dashboard!$B$18+MAX(0,M40-E40*POWER(1+$A$2,$R$2-($Q$2+A40))*POWER(1+$C$2,$S$2-$R$2))*MAX(Dashboard!$C$18,Dashboard!$B$18)))))</f>
        <v>144.95181319144643</v>
      </c>
    </row>
    <row r="41" spans="1:14" x14ac:dyDescent="0.2">
      <c r="A41" s="22">
        <f t="shared" si="8"/>
        <v>36</v>
      </c>
      <c r="B41" s="23">
        <f t="shared" si="9"/>
        <v>21.054794520547901</v>
      </c>
      <c r="C41" t="str">
        <f t="shared" si="0"/>
        <v>21 y 0.66 m</v>
      </c>
      <c r="D41" s="24">
        <f>IF(A41&gt;=$E$2,IF(A41&lt;$E$2+$H$2,$P$2,0),IF(B41&lt;Dashboard!$I$6,0,IF(A41&gt;=$F$2,Dashboard!$C$23*POWER(1+$C$2,A41-$F$2),Dashboard!$C$23)))</f>
        <v>0</v>
      </c>
      <c r="E41" s="24">
        <f>IF(A41&gt;=$F$2,0,IF(A41=0,Dashboard!$G$10,IF(B41&lt;Dashboard!$I$6,IF($J$2&lt;=Dashboard!$H$10,Dashboard!$H$10,MAX(Dashboard!$H$10,MIN($J$2,Dashboard!$H$10*POWER($J$2/Dashboard!$H$10,A41/$D$2)))),$I$2-D41-Dashboard!$I$10-Dashboard!$J$10-Dashboard!$F$10*$I$2)))</f>
        <v>869.25800926440479</v>
      </c>
      <c r="F41" s="24">
        <f t="shared" si="1"/>
        <v>0</v>
      </c>
      <c r="G41" s="24">
        <f t="shared" si="2"/>
        <v>0</v>
      </c>
      <c r="H41" s="24">
        <f t="shared" si="3"/>
        <v>0</v>
      </c>
      <c r="I41" s="24">
        <f t="shared" si="4"/>
        <v>869.25800926440479</v>
      </c>
      <c r="J41" s="25">
        <f t="shared" si="5"/>
        <v>7.9741404289037643E-3</v>
      </c>
      <c r="K41" s="24">
        <f t="shared" si="10"/>
        <v>161945.73269639033</v>
      </c>
      <c r="L41" s="24" t="str">
        <f t="shared" si="6"/>
        <v/>
      </c>
      <c r="M41" s="24">
        <f t="shared" si="7"/>
        <v>1262.6124027571555</v>
      </c>
      <c r="N41" s="24">
        <f>IF(M41&lt;=0,0,IF($E$2-A41&lt;12,(M41-E41)*Dashboard!$B$18,IF($Q$2+A41&gt;=$R$2,MAX(0,M41-E41*POWER(1+$C$2,$E$2-A41))*MAX(Dashboard!$C$18,Dashboard!$B$18),IF($S$2&lt;$R$2,(M41-E41)*0.5*Dashboard!$B$18,(E41*POWER(1+$A$2,$R$2-($Q$2+A41))-E41)*0.5*Dashboard!$B$18+MAX(0,M41-E41*POWER(1+$A$2,$R$2-($Q$2+A41))*POWER(1+$C$2,$S$2-$R$2))*MAX(Dashboard!$C$18,Dashboard!$B$18)))))</f>
        <v>143.39068006324598</v>
      </c>
    </row>
    <row r="42" spans="1:14" x14ac:dyDescent="0.2">
      <c r="A42" s="22">
        <f t="shared" si="8"/>
        <v>37</v>
      </c>
      <c r="B42" s="23">
        <f t="shared" si="9"/>
        <v>21.138127853881233</v>
      </c>
      <c r="C42" t="str">
        <f t="shared" si="0"/>
        <v>21 y 1.66 m</v>
      </c>
      <c r="D42" s="24">
        <f>IF(A42&gt;=$E$2,IF(A42&lt;$E$2+$H$2,$P$2,0),IF(B42&lt;Dashboard!$I$6,0,IF(A42&gt;=$F$2,Dashboard!$C$23*POWER(1+$C$2,A42-$F$2),Dashboard!$C$23)))</f>
        <v>0</v>
      </c>
      <c r="E42" s="24">
        <f>IF(A42&gt;=$F$2,0,IF(A42=0,Dashboard!$G$10,IF(B42&lt;Dashboard!$I$6,IF($J$2&lt;=Dashboard!$H$10,Dashboard!$H$10,MAX(Dashboard!$H$10,MIN($J$2,Dashboard!$H$10*POWER($J$2/Dashboard!$H$10,A42/$D$2)))),$I$2-D42-Dashboard!$I$10-Dashboard!$J$10-Dashboard!$F$10*$I$2)))</f>
        <v>882.71464381293993</v>
      </c>
      <c r="F42" s="24">
        <f t="shared" si="1"/>
        <v>0</v>
      </c>
      <c r="G42" s="24">
        <f t="shared" si="2"/>
        <v>0</v>
      </c>
      <c r="H42" s="24">
        <f t="shared" si="3"/>
        <v>0</v>
      </c>
      <c r="I42" s="24">
        <f t="shared" si="4"/>
        <v>882.71464381293993</v>
      </c>
      <c r="J42" s="25">
        <f t="shared" si="5"/>
        <v>7.9741404289037643E-3</v>
      </c>
      <c r="K42" s="24">
        <f t="shared" si="10"/>
        <v>164126.86424511441</v>
      </c>
      <c r="L42" s="24" t="str">
        <f t="shared" si="6"/>
        <v/>
      </c>
      <c r="M42" s="24">
        <f t="shared" si="7"/>
        <v>1272.0151712782763</v>
      </c>
      <c r="N42" s="24">
        <f>IF(M42&lt;=0,0,IF($E$2-A42&lt;12,(M42-E42)*Dashboard!$B$18,IF($Q$2+A42&gt;=$R$2,MAX(0,M42-E42*POWER(1+$C$2,$E$2-A42))*MAX(Dashboard!$C$18,Dashboard!$B$18),IF($S$2&lt;$R$2,(M42-E42)*0.5*Dashboard!$B$18,(E42*POWER(1+$A$2,$R$2-($Q$2+A42))-E42)*0.5*Dashboard!$B$18+MAX(0,M42-E42*POWER(1+$A$2,$R$2-($Q$2+A42))*POWER(1+$C$2,$S$2-$R$2))*MAX(Dashboard!$C$18,Dashboard!$B$18)))))</f>
        <v>141.78255504206712</v>
      </c>
    </row>
    <row r="43" spans="1:14" x14ac:dyDescent="0.2">
      <c r="A43" s="22">
        <f t="shared" si="8"/>
        <v>38</v>
      </c>
      <c r="B43" s="23">
        <f t="shared" si="9"/>
        <v>21.221461187214565</v>
      </c>
      <c r="C43" t="str">
        <f t="shared" si="0"/>
        <v>21 y 2.66 m</v>
      </c>
      <c r="D43" s="24">
        <f>IF(A43&gt;=$E$2,IF(A43&lt;$E$2+$H$2,$P$2,0),IF(B43&lt;Dashboard!$I$6,0,IF(A43&gt;=$F$2,Dashboard!$C$23*POWER(1+$C$2,A43-$F$2),Dashboard!$C$23)))</f>
        <v>0</v>
      </c>
      <c r="E43" s="24">
        <f>IF(A43&gt;=$F$2,0,IF(A43=0,Dashboard!$G$10,IF(B43&lt;Dashboard!$I$6,IF($J$2&lt;=Dashboard!$H$10,Dashboard!$H$10,MAX(Dashboard!$H$10,MIN($J$2,Dashboard!$H$10*POWER($J$2/Dashboard!$H$10,A43/$D$2)))),$I$2-D43-Dashboard!$I$10-Dashboard!$J$10-Dashboard!$F$10*$I$2)))</f>
        <v>896.37959512294628</v>
      </c>
      <c r="F43" s="24">
        <f t="shared" si="1"/>
        <v>0</v>
      </c>
      <c r="G43" s="24">
        <f t="shared" si="2"/>
        <v>0</v>
      </c>
      <c r="H43" s="24">
        <f t="shared" si="3"/>
        <v>0</v>
      </c>
      <c r="I43" s="24">
        <f t="shared" si="4"/>
        <v>896.37959512294628</v>
      </c>
      <c r="J43" s="25">
        <f t="shared" si="5"/>
        <v>7.9741404289037643E-3</v>
      </c>
      <c r="K43" s="24">
        <f t="shared" si="10"/>
        <v>166339.16236065264</v>
      </c>
      <c r="L43" s="24" t="str">
        <f t="shared" si="6"/>
        <v/>
      </c>
      <c r="M43" s="24">
        <f t="shared" si="7"/>
        <v>1281.4879629162851</v>
      </c>
      <c r="N43" s="24">
        <f>IF(M43&lt;=0,0,IF($E$2-A43&lt;12,(M43-E43)*Dashboard!$B$18,IF($Q$2+A43&gt;=$R$2,MAX(0,M43-E43*POWER(1+$C$2,$E$2-A43))*MAX(Dashboard!$C$18,Dashboard!$B$18),IF($S$2&lt;$R$2,(M43-E43)*0.5*Dashboard!$B$18,(E43*POWER(1+$A$2,$R$2-($Q$2+A43))-E43)*0.5*Dashboard!$B$18+MAX(0,M43-E43*POWER(1+$A$2,$R$2-($Q$2+A43))*POWER(1+$C$2,$S$2-$R$2))*MAX(Dashboard!$C$18,Dashboard!$B$18)))))</f>
        <v>140.12661451251819</v>
      </c>
    </row>
    <row r="44" spans="1:14" x14ac:dyDescent="0.2">
      <c r="A44" s="22">
        <f t="shared" si="8"/>
        <v>39</v>
      </c>
      <c r="B44" s="23">
        <f t="shared" si="9"/>
        <v>21.304794520547897</v>
      </c>
      <c r="C44" t="str">
        <f t="shared" si="0"/>
        <v>21 y 3.66 m</v>
      </c>
      <c r="D44" s="24">
        <f>IF(A44&gt;=$E$2,IF(A44&lt;$E$2+$H$2,$P$2,0),IF(B44&lt;Dashboard!$I$6,0,IF(A44&gt;=$F$2,Dashboard!$C$23*POWER(1+$C$2,A44-$F$2),Dashboard!$C$23)))</f>
        <v>0</v>
      </c>
      <c r="E44" s="24">
        <f>IF(A44&gt;=$F$2,0,IF(A44=0,Dashboard!$G$10,IF(B44&lt;Dashboard!$I$6,IF($J$2&lt;=Dashboard!$H$10,Dashboard!$H$10,MAX(Dashboard!$H$10,MIN($J$2,Dashboard!$H$10*POWER($J$2/Dashboard!$H$10,A44/$D$2)))),$I$2-D44-Dashboard!$I$10-Dashboard!$J$10-Dashboard!$F$10*$I$2)))</f>
        <v>910.25608806264438</v>
      </c>
      <c r="F44" s="24">
        <f t="shared" si="1"/>
        <v>0</v>
      </c>
      <c r="G44" s="24">
        <f t="shared" si="2"/>
        <v>0</v>
      </c>
      <c r="H44" s="24">
        <f t="shared" si="3"/>
        <v>0</v>
      </c>
      <c r="I44" s="24">
        <f t="shared" si="4"/>
        <v>910.25608806264438</v>
      </c>
      <c r="J44" s="25">
        <f t="shared" si="5"/>
        <v>7.9741404289037643E-3</v>
      </c>
      <c r="K44" s="24">
        <f t="shared" si="10"/>
        <v>168583.08879807784</v>
      </c>
      <c r="L44" s="24" t="str">
        <f t="shared" si="6"/>
        <v/>
      </c>
      <c r="M44" s="24">
        <f t="shared" si="7"/>
        <v>1291.0312991385433</v>
      </c>
      <c r="N44" s="24">
        <f>IF(M44&lt;=0,0,IF($E$2-A44&lt;12,(M44-E44)*Dashboard!$B$18,IF($Q$2+A44&gt;=$R$2,MAX(0,M44-E44*POWER(1+$C$2,$E$2-A44))*MAX(Dashboard!$C$18,Dashboard!$B$18),IF($S$2&lt;$R$2,(M44-E44)*0.5*Dashboard!$B$18,(E44*POWER(1+$A$2,$R$2-($Q$2+A44))-E44)*0.5*Dashboard!$B$18+MAX(0,M44-E44*POWER(1+$A$2,$R$2-($Q$2+A44))*POWER(1+$C$2,$S$2-$R$2))*MAX(Dashboard!$C$18,Dashboard!$B$18)))))</f>
        <v>138.42202238182671</v>
      </c>
    </row>
    <row r="45" spans="1:14" x14ac:dyDescent="0.2">
      <c r="A45" s="22">
        <f t="shared" si="8"/>
        <v>40</v>
      </c>
      <c r="B45" s="23">
        <f t="shared" si="9"/>
        <v>21.38812785388123</v>
      </c>
      <c r="C45" t="str">
        <f t="shared" si="0"/>
        <v>21 y 4.66 m</v>
      </c>
      <c r="D45" s="24">
        <f>IF(A45&gt;=$E$2,IF(A45&lt;$E$2+$H$2,$P$2,0),IF(B45&lt;Dashboard!$I$6,0,IF(A45&gt;=$F$2,Dashboard!$C$23*POWER(1+$C$2,A45-$F$2),Dashboard!$C$23)))</f>
        <v>0</v>
      </c>
      <c r="E45" s="24">
        <f>IF(A45&gt;=$F$2,0,IF(A45=0,Dashboard!$G$10,IF(B45&lt;Dashboard!$I$6,IF($J$2&lt;=Dashboard!$H$10,Dashboard!$H$10,MAX(Dashboard!$H$10,MIN($J$2,Dashboard!$H$10*POWER($J$2/Dashboard!$H$10,A45/$D$2)))),$I$2-D45-Dashboard!$I$10-Dashboard!$J$10-Dashboard!$F$10*$I$2)))</f>
        <v>924.34739742314571</v>
      </c>
      <c r="F45" s="24">
        <f t="shared" si="1"/>
        <v>0</v>
      </c>
      <c r="G45" s="24">
        <f t="shared" si="2"/>
        <v>0</v>
      </c>
      <c r="H45" s="24">
        <f t="shared" si="3"/>
        <v>0</v>
      </c>
      <c r="I45" s="24">
        <f t="shared" si="4"/>
        <v>924.34739742314571</v>
      </c>
      <c r="J45" s="25">
        <f t="shared" si="5"/>
        <v>7.9741404289037643E-3</v>
      </c>
      <c r="K45" s="24">
        <f t="shared" si="10"/>
        <v>170859.11229546735</v>
      </c>
      <c r="L45" s="24" t="str">
        <f t="shared" si="6"/>
        <v/>
      </c>
      <c r="M45" s="24">
        <f t="shared" si="7"/>
        <v>1300.6457052958194</v>
      </c>
      <c r="N45" s="24">
        <f>IF(M45&lt;=0,0,IF($E$2-A45&lt;12,(M45-E45)*Dashboard!$B$18,IF($Q$2+A45&gt;=$R$2,MAX(0,M45-E45*POWER(1+$C$2,$E$2-A45))*MAX(Dashboard!$C$18,Dashboard!$B$18),IF($S$2&lt;$R$2,(M45-E45)*0.5*Dashboard!$B$18,(E45*POWER(1+$A$2,$R$2-($Q$2+A45))-E45)*0.5*Dashboard!$B$18+MAX(0,M45-E45*POWER(1+$A$2,$R$2-($Q$2+A45))*POWER(1+$C$2,$S$2-$R$2))*MAX(Dashboard!$C$18,Dashboard!$B$18)))))</f>
        <v>136.66792990195651</v>
      </c>
    </row>
    <row r="46" spans="1:14" x14ac:dyDescent="0.2">
      <c r="A46" s="22">
        <f t="shared" si="8"/>
        <v>41</v>
      </c>
      <c r="B46" s="23">
        <f t="shared" si="9"/>
        <v>21.471461187214562</v>
      </c>
      <c r="C46" t="str">
        <f t="shared" si="0"/>
        <v>21 y 5.66 m</v>
      </c>
      <c r="D46" s="24">
        <f>IF(A46&gt;=$E$2,IF(A46&lt;$E$2+$H$2,$P$2,0),IF(B46&lt;Dashboard!$I$6,0,IF(A46&gt;=$F$2,Dashboard!$C$23*POWER(1+$C$2,A46-$F$2),Dashboard!$C$23)))</f>
        <v>0</v>
      </c>
      <c r="E46" s="24">
        <f>IF(A46&gt;=$F$2,0,IF(A46=0,Dashboard!$G$10,IF(B46&lt;Dashboard!$I$6,IF($J$2&lt;=Dashboard!$H$10,Dashboard!$H$10,MAX(Dashboard!$H$10,MIN($J$2,Dashboard!$H$10*POWER($J$2/Dashboard!$H$10,A46/$D$2)))),$I$2-D46-Dashboard!$I$10-Dashboard!$J$10-Dashboard!$F$10*$I$2)))</f>
        <v>938.65684869128972</v>
      </c>
      <c r="F46" s="24">
        <f t="shared" si="1"/>
        <v>0</v>
      </c>
      <c r="G46" s="24">
        <f t="shared" si="2"/>
        <v>0</v>
      </c>
      <c r="H46" s="24">
        <f t="shared" si="3"/>
        <v>0</v>
      </c>
      <c r="I46" s="24">
        <f t="shared" si="4"/>
        <v>938.65684869128972</v>
      </c>
      <c r="J46" s="25">
        <f t="shared" si="5"/>
        <v>7.9741404289037643E-3</v>
      </c>
      <c r="K46" s="24">
        <f t="shared" si="10"/>
        <v>173167.70868068654</v>
      </c>
      <c r="L46" s="24" t="str">
        <f t="shared" si="6"/>
        <v/>
      </c>
      <c r="M46" s="24">
        <f t="shared" si="7"/>
        <v>1310.3317106512091</v>
      </c>
      <c r="N46" s="24">
        <f>IF(M46&lt;=0,0,IF($E$2-A46&lt;12,(M46-E46)*Dashboard!$B$18,IF($Q$2+A46&gt;=$R$2,MAX(0,M46-E46*POWER(1+$C$2,$E$2-A46))*MAX(Dashboard!$C$18,Dashboard!$B$18),IF($S$2&lt;$R$2,(M46-E46)*0.5*Dashboard!$B$18,(E46*POWER(1+$A$2,$R$2-($Q$2+A46))-E46)*0.5*Dashboard!$B$18+MAX(0,M46-E46*POWER(1+$A$2,$R$2-($Q$2+A46))*POWER(1+$C$2,$S$2-$R$2))*MAX(Dashboard!$C$18,Dashboard!$B$18)))))</f>
        <v>134.86347548926005</v>
      </c>
    </row>
    <row r="47" spans="1:14" x14ac:dyDescent="0.2">
      <c r="A47" s="22">
        <f t="shared" si="8"/>
        <v>42</v>
      </c>
      <c r="B47" s="23">
        <f t="shared" si="9"/>
        <v>21.554794520547894</v>
      </c>
      <c r="C47" t="str">
        <f t="shared" si="0"/>
        <v>21 y 6.66 m</v>
      </c>
      <c r="D47" s="24">
        <f>IF(A47&gt;=$E$2,IF(A47&lt;$E$2+$H$2,$P$2,0),IF(B47&lt;Dashboard!$I$6,0,IF(A47&gt;=$F$2,Dashboard!$C$23*POWER(1+$C$2,A47-$F$2),Dashboard!$C$23)))</f>
        <v>0</v>
      </c>
      <c r="E47" s="24">
        <f>IF(A47&gt;=$F$2,0,IF(A47=0,Dashboard!$G$10,IF(B47&lt;Dashboard!$I$6,IF($J$2&lt;=Dashboard!$H$10,Dashboard!$H$10,MAX(Dashboard!$H$10,MIN($J$2,Dashboard!$H$10*POWER($J$2/Dashboard!$H$10,A47/$D$2)))),$I$2-D47-Dashboard!$I$10-Dashboard!$J$10-Dashboard!$F$10*$I$2)))</f>
        <v>953.18781883444353</v>
      </c>
      <c r="F47" s="24">
        <f t="shared" si="1"/>
        <v>0</v>
      </c>
      <c r="G47" s="24">
        <f t="shared" si="2"/>
        <v>0</v>
      </c>
      <c r="H47" s="24">
        <f t="shared" si="3"/>
        <v>0</v>
      </c>
      <c r="I47" s="24">
        <f t="shared" si="4"/>
        <v>953.18781883444353</v>
      </c>
      <c r="J47" s="25">
        <f t="shared" si="5"/>
        <v>7.9741404289037643E-3</v>
      </c>
      <c r="K47" s="24">
        <f t="shared" si="10"/>
        <v>175509.36097981478</v>
      </c>
      <c r="L47" s="24" t="str">
        <f t="shared" si="6"/>
        <v/>
      </c>
      <c r="M47" s="24">
        <f t="shared" si="7"/>
        <v>1320.0898484092677</v>
      </c>
      <c r="N47" s="24">
        <f>IF(M47&lt;=0,0,IF($E$2-A47&lt;12,(M47-E47)*Dashboard!$B$18,IF($Q$2+A47&gt;=$R$2,MAX(0,M47-E47*POWER(1+$C$2,$E$2-A47))*MAX(Dashboard!$C$18,Dashboard!$B$18),IF($S$2&lt;$R$2,(M47-E47)*0.5*Dashboard!$B$18,(E47*POWER(1+$A$2,$R$2-($Q$2+A47))-E47)*0.5*Dashboard!$B$18+MAX(0,M47-E47*POWER(1+$A$2,$R$2-($Q$2+A47))*POWER(1+$C$2,$S$2-$R$2))*MAX(Dashboard!$C$18,Dashboard!$B$18)))))</f>
        <v>133.00778454163427</v>
      </c>
    </row>
    <row r="48" spans="1:14" x14ac:dyDescent="0.2">
      <c r="A48" s="22">
        <f t="shared" si="8"/>
        <v>43</v>
      </c>
      <c r="B48" s="23">
        <f t="shared" si="9"/>
        <v>21.638127853881226</v>
      </c>
      <c r="C48" t="str">
        <f t="shared" si="0"/>
        <v>21 y 7.66 m</v>
      </c>
      <c r="D48" s="24">
        <f>IF(A48&gt;=$E$2,IF(A48&lt;$E$2+$H$2,$P$2,0),IF(B48&lt;Dashboard!$I$6,0,IF(A48&gt;=$F$2,Dashboard!$C$23*POWER(1+$C$2,A48-$F$2),Dashboard!$C$23)))</f>
        <v>0</v>
      </c>
      <c r="E48" s="24">
        <f>IF(A48&gt;=$F$2,0,IF(A48=0,Dashboard!$G$10,IF(B48&lt;Dashboard!$I$6,IF($J$2&lt;=Dashboard!$H$10,Dashboard!$H$10,MAX(Dashboard!$H$10,MIN($J$2,Dashboard!$H$10*POWER($J$2/Dashboard!$H$10,A48/$D$2)))),$I$2-D48-Dashboard!$I$10-Dashboard!$J$10-Dashboard!$F$10*$I$2)))</f>
        <v>967.94373709745139</v>
      </c>
      <c r="F48" s="24">
        <f t="shared" si="1"/>
        <v>0</v>
      </c>
      <c r="G48" s="24">
        <f t="shared" si="2"/>
        <v>0</v>
      </c>
      <c r="H48" s="24">
        <f t="shared" si="3"/>
        <v>0</v>
      </c>
      <c r="I48" s="24">
        <f t="shared" si="4"/>
        <v>967.94373709745139</v>
      </c>
      <c r="J48" s="25">
        <f t="shared" si="5"/>
        <v>7.9741404289037643E-3</v>
      </c>
      <c r="K48" s="24">
        <f t="shared" si="10"/>
        <v>177884.55952723935</v>
      </c>
      <c r="L48" s="24" t="str">
        <f t="shared" si="6"/>
        <v/>
      </c>
      <c r="M48" s="24">
        <f t="shared" si="7"/>
        <v>1329.9206557453665</v>
      </c>
      <c r="N48" s="24">
        <f>IF(M48&lt;=0,0,IF($E$2-A48&lt;12,(M48-E48)*Dashboard!$B$18,IF($Q$2+A48&gt;=$R$2,MAX(0,M48-E48*POWER(1+$C$2,$E$2-A48))*MAX(Dashboard!$C$18,Dashboard!$B$18),IF($S$2&lt;$R$2,(M48-E48)*0.5*Dashboard!$B$18,(E48*POWER(1+$A$2,$R$2-($Q$2+A48))-E48)*0.5*Dashboard!$B$18+MAX(0,M48-E48*POWER(1+$A$2,$R$2-($Q$2+A48))*POWER(1+$C$2,$S$2-$R$2))*MAX(Dashboard!$C$18,Dashboard!$B$18)))))</f>
        <v>131.09996925314928</v>
      </c>
    </row>
    <row r="49" spans="1:14" x14ac:dyDescent="0.2">
      <c r="A49" s="22">
        <f t="shared" si="8"/>
        <v>44</v>
      </c>
      <c r="B49" s="23">
        <f t="shared" si="9"/>
        <v>21.721461187214558</v>
      </c>
      <c r="C49" t="str">
        <f t="shared" si="0"/>
        <v>21 y 8.66 m</v>
      </c>
      <c r="D49" s="24">
        <f>IF(A49&gt;=$E$2,IF(A49&lt;$E$2+$H$2,$P$2,0),IF(B49&lt;Dashboard!$I$6,0,IF(A49&gt;=$F$2,Dashboard!$C$23*POWER(1+$C$2,A49-$F$2),Dashboard!$C$23)))</f>
        <v>0</v>
      </c>
      <c r="E49" s="24">
        <f>IF(A49&gt;=$F$2,0,IF(A49=0,Dashboard!$G$10,IF(B49&lt;Dashboard!$I$6,IF($J$2&lt;=Dashboard!$H$10,Dashboard!$H$10,MAX(Dashboard!$H$10,MIN($J$2,Dashboard!$H$10*POWER($J$2/Dashboard!$H$10,A49/$D$2)))),$I$2-D49-Dashboard!$I$10-Dashboard!$J$10-Dashboard!$F$10*$I$2)))</f>
        <v>982.92808581192151</v>
      </c>
      <c r="F49" s="24">
        <f t="shared" si="1"/>
        <v>0</v>
      </c>
      <c r="G49" s="24">
        <f t="shared" si="2"/>
        <v>0</v>
      </c>
      <c r="H49" s="24">
        <f t="shared" si="3"/>
        <v>0</v>
      </c>
      <c r="I49" s="24">
        <f t="shared" si="4"/>
        <v>982.92808581192151</v>
      </c>
      <c r="J49" s="25">
        <f t="shared" si="5"/>
        <v>7.9741404289037643E-3</v>
      </c>
      <c r="K49" s="24">
        <f t="shared" si="10"/>
        <v>180293.80207744296</v>
      </c>
      <c r="L49" s="24" t="str">
        <f t="shared" si="6"/>
        <v/>
      </c>
      <c r="M49" s="24">
        <f t="shared" si="7"/>
        <v>1339.82467383526</v>
      </c>
      <c r="N49" s="24">
        <f>IF(M49&lt;=0,0,IF($E$2-A49&lt;12,(M49-E49)*Dashboard!$B$18,IF($Q$2+A49&gt;=$R$2,MAX(0,M49-E49*POWER(1+$C$2,$E$2-A49))*MAX(Dashboard!$C$18,Dashboard!$B$18),IF($S$2&lt;$R$2,(M49-E49)*0.5*Dashboard!$B$18,(E49*POWER(1+$A$2,$R$2-($Q$2+A49))-E49)*0.5*Dashboard!$B$18+MAX(0,M49-E49*POWER(1+$A$2,$R$2-($Q$2+A49))*POWER(1+$C$2,$S$2-$R$2))*MAX(Dashboard!$C$18,Dashboard!$B$18)))))</f>
        <v>129.13912842610699</v>
      </c>
    </row>
    <row r="50" spans="1:14" x14ac:dyDescent="0.2">
      <c r="A50" s="22">
        <f t="shared" si="8"/>
        <v>45</v>
      </c>
      <c r="B50" s="23">
        <f t="shared" si="9"/>
        <v>21.80479452054789</v>
      </c>
      <c r="C50" t="str">
        <f t="shared" si="0"/>
        <v>21 y 9.66 m</v>
      </c>
      <c r="D50" s="24">
        <f>IF(A50&gt;=$E$2,IF(A50&lt;$E$2+$H$2,$P$2,0),IF(B50&lt;Dashboard!$I$6,0,IF(A50&gt;=$F$2,Dashboard!$C$23*POWER(1+$C$2,A50-$F$2),Dashboard!$C$23)))</f>
        <v>0</v>
      </c>
      <c r="E50" s="24">
        <f>IF(A50&gt;=$F$2,0,IF(A50=0,Dashboard!$G$10,IF(B50&lt;Dashboard!$I$6,IF($J$2&lt;=Dashboard!$H$10,Dashboard!$H$10,MAX(Dashboard!$H$10,MIN($J$2,Dashboard!$H$10*POWER($J$2/Dashboard!$H$10,A50/$D$2)))),$I$2-D50-Dashboard!$I$10-Dashboard!$J$10-Dashboard!$F$10*$I$2)))</f>
        <v>998.14440121804034</v>
      </c>
      <c r="F50" s="24">
        <f t="shared" si="1"/>
        <v>0</v>
      </c>
      <c r="G50" s="24">
        <f t="shared" si="2"/>
        <v>0</v>
      </c>
      <c r="H50" s="24">
        <f t="shared" si="3"/>
        <v>0</v>
      </c>
      <c r="I50" s="24">
        <f t="shared" si="4"/>
        <v>998.14440121804034</v>
      </c>
      <c r="J50" s="25">
        <f t="shared" si="5"/>
        <v>7.9741404289037643E-3</v>
      </c>
      <c r="K50" s="24">
        <f t="shared" si="10"/>
        <v>182737.59391851115</v>
      </c>
      <c r="L50" s="24" t="str">
        <f t="shared" si="6"/>
        <v/>
      </c>
      <c r="M50" s="24">
        <f t="shared" si="7"/>
        <v>1349.8024478848808</v>
      </c>
      <c r="N50" s="24">
        <f>IF(M50&lt;=0,0,IF($E$2-A50&lt;12,(M50-E50)*Dashboard!$B$18,IF($Q$2+A50&gt;=$R$2,MAX(0,M50-E50*POWER(1+$C$2,$E$2-A50))*MAX(Dashboard!$C$18,Dashboard!$B$18),IF($S$2&lt;$R$2,(M50-E50)*0.5*Dashboard!$B$18,(E50*POWER(1+$A$2,$R$2-($Q$2+A50))-E50)*0.5*Dashboard!$B$18+MAX(0,M50-E50*POWER(1+$A$2,$R$2-($Q$2+A50))*POWER(1+$C$2,$S$2-$R$2))*MAX(Dashboard!$C$18,Dashboard!$B$18)))))</f>
        <v>127.12434728050717</v>
      </c>
    </row>
    <row r="51" spans="1:14" x14ac:dyDescent="0.2">
      <c r="A51" s="22">
        <f t="shared" si="8"/>
        <v>46</v>
      </c>
      <c r="B51" s="23">
        <f t="shared" si="9"/>
        <v>21.888127853881223</v>
      </c>
      <c r="C51" t="str">
        <f t="shared" si="0"/>
        <v>21 y 10.66 m</v>
      </c>
      <c r="D51" s="24">
        <f>IF(A51&gt;=$E$2,IF(A51&lt;$E$2+$H$2,$P$2,0),IF(B51&lt;Dashboard!$I$6,0,IF(A51&gt;=$F$2,Dashboard!$C$23*POWER(1+$C$2,A51-$F$2),Dashboard!$C$23)))</f>
        <v>0</v>
      </c>
      <c r="E51" s="24">
        <f>IF(A51&gt;=$F$2,0,IF(A51=0,Dashboard!$G$10,IF(B51&lt;Dashboard!$I$6,IF($J$2&lt;=Dashboard!$H$10,Dashboard!$H$10,MAX(Dashboard!$H$10,MIN($J$2,Dashboard!$H$10*POWER($J$2/Dashboard!$H$10,A51/$D$2)))),$I$2-D51-Dashboard!$I$10-Dashboard!$J$10-Dashboard!$F$10*$I$2)))</f>
        <v>1013.5962742991112</v>
      </c>
      <c r="F51" s="24">
        <f t="shared" si="1"/>
        <v>0</v>
      </c>
      <c r="G51" s="24">
        <f t="shared" si="2"/>
        <v>0</v>
      </c>
      <c r="H51" s="24">
        <f t="shared" si="3"/>
        <v>0</v>
      </c>
      <c r="I51" s="24">
        <f t="shared" si="4"/>
        <v>1013.5962742991112</v>
      </c>
      <c r="J51" s="25">
        <f t="shared" si="5"/>
        <v>7.9741404289037643E-3</v>
      </c>
      <c r="K51" s="24">
        <f t="shared" si="10"/>
        <v>185216.44798738594</v>
      </c>
      <c r="L51" s="24" t="str">
        <f t="shared" si="6"/>
        <v/>
      </c>
      <c r="M51" s="24">
        <f t="shared" si="7"/>
        <v>1359.8545271603493</v>
      </c>
      <c r="N51" s="24">
        <f>IF(M51&lt;=0,0,IF($E$2-A51&lt;12,(M51-E51)*Dashboard!$B$18,IF($Q$2+A51&gt;=$R$2,MAX(0,M51-E51*POWER(1+$C$2,$E$2-A51))*MAX(Dashboard!$C$18,Dashboard!$B$18),IF($S$2&lt;$R$2,(M51-E51)*0.5*Dashboard!$B$18,(E51*POWER(1+$A$2,$R$2-($Q$2+A51))-E51)*0.5*Dashboard!$B$18+MAX(0,M51-E51*POWER(1+$A$2,$R$2-($Q$2+A51))*POWER(1+$C$2,$S$2-$R$2))*MAX(Dashboard!$C$18,Dashboard!$B$18)))))</f>
        <v>125.05469726086957</v>
      </c>
    </row>
    <row r="52" spans="1:14" x14ac:dyDescent="0.2">
      <c r="A52" s="22">
        <f t="shared" si="8"/>
        <v>47</v>
      </c>
      <c r="B52" s="23">
        <f t="shared" si="9"/>
        <v>21.971461187214555</v>
      </c>
      <c r="C52" t="str">
        <f t="shared" si="0"/>
        <v>21 y 11.66 m</v>
      </c>
      <c r="D52" s="24">
        <f>IF(A52&gt;=$E$2,IF(A52&lt;$E$2+$H$2,$P$2,0),IF(B52&lt;Dashboard!$I$6,0,IF(A52&gt;=$F$2,Dashboard!$C$23*POWER(1+$C$2,A52-$F$2),Dashboard!$C$23)))</f>
        <v>0</v>
      </c>
      <c r="E52" s="24">
        <f>IF(A52&gt;=$F$2,0,IF(A52=0,Dashboard!$G$10,IF(B52&lt;Dashboard!$I$6,IF($J$2&lt;=Dashboard!$H$10,Dashboard!$H$10,MAX(Dashboard!$H$10,MIN($J$2,Dashboard!$H$10*POWER($J$2/Dashboard!$H$10,A52/$D$2)))),$I$2-D52-Dashboard!$I$10-Dashboard!$J$10-Dashboard!$F$10*$I$2)))</f>
        <v>1029.2873516290081</v>
      </c>
      <c r="F52" s="24">
        <f t="shared" si="1"/>
        <v>0</v>
      </c>
      <c r="G52" s="24">
        <f t="shared" si="2"/>
        <v>0</v>
      </c>
      <c r="H52" s="24">
        <f t="shared" si="3"/>
        <v>0</v>
      </c>
      <c r="I52" s="24">
        <f t="shared" si="4"/>
        <v>1029.2873516290081</v>
      </c>
      <c r="J52" s="25">
        <f t="shared" si="5"/>
        <v>7.9741404289037643E-3</v>
      </c>
      <c r="K52" s="24">
        <f t="shared" si="10"/>
        <v>187730.88498689269</v>
      </c>
      <c r="L52" s="24" t="str">
        <f t="shared" si="6"/>
        <v/>
      </c>
      <c r="M52" s="24">
        <f t="shared" si="7"/>
        <v>1369.9814650182111</v>
      </c>
      <c r="N52" s="24">
        <f>IF(M52&lt;=0,0,IF($E$2-A52&lt;12,(M52-E52)*Dashboard!$B$18,IF($Q$2+A52&gt;=$R$2,MAX(0,M52-E52*POWER(1+$C$2,$E$2-A52))*MAX(Dashboard!$C$18,Dashboard!$B$18),IF($S$2&lt;$R$2,(M52-E52)*0.5*Dashboard!$B$18,(E52*POWER(1+$A$2,$R$2-($Q$2+A52))-E52)*0.5*Dashboard!$B$18+MAX(0,M52-E52*POWER(1+$A$2,$R$2-($Q$2+A52))*POWER(1+$C$2,$S$2-$R$2))*MAX(Dashboard!$C$18,Dashboard!$B$18)))))</f>
        <v>122.92923584039355</v>
      </c>
    </row>
    <row r="53" spans="1:14" x14ac:dyDescent="0.2">
      <c r="A53" s="22">
        <f t="shared" si="8"/>
        <v>48</v>
      </c>
      <c r="B53" s="23">
        <f t="shared" si="9"/>
        <v>22.054794520547887</v>
      </c>
      <c r="C53" t="str">
        <f t="shared" si="0"/>
        <v>22 y 0.66 m</v>
      </c>
      <c r="D53" s="24">
        <f>IF(A53&gt;=$E$2,IF(A53&lt;$E$2+$H$2,$P$2,0),IF(B53&lt;Dashboard!$I$6,0,IF(A53&gt;=$F$2,Dashboard!$C$23*POWER(1+$C$2,A53-$F$2),Dashboard!$C$23)))</f>
        <v>0</v>
      </c>
      <c r="E53" s="24">
        <f>IF(A53&gt;=$F$2,0,IF(A53=0,Dashboard!$G$10,IF(B53&lt;Dashboard!$I$6,IF($J$2&lt;=Dashboard!$H$10,Dashboard!$H$10,MAX(Dashboard!$H$10,MIN($J$2,Dashboard!$H$10*POWER($J$2/Dashboard!$H$10,A53/$D$2)))),$I$2-D53-Dashboard!$I$10-Dashboard!$J$10-Dashboard!$F$10*$I$2)))</f>
        <v>1045.2213362327532</v>
      </c>
      <c r="F53" s="24">
        <f t="shared" si="1"/>
        <v>0</v>
      </c>
      <c r="G53" s="24">
        <f t="shared" si="2"/>
        <v>0</v>
      </c>
      <c r="H53" s="24">
        <f t="shared" si="3"/>
        <v>0</v>
      </c>
      <c r="I53" s="24">
        <f t="shared" si="4"/>
        <v>1045.2213362327532</v>
      </c>
      <c r="J53" s="25">
        <f t="shared" si="5"/>
        <v>7.9741404289037643E-3</v>
      </c>
      <c r="K53" s="24">
        <f t="shared" si="10"/>
        <v>190281.43350456771</v>
      </c>
      <c r="L53" s="24" t="str">
        <f t="shared" si="6"/>
        <v/>
      </c>
      <c r="M53" s="24">
        <f t="shared" si="7"/>
        <v>1380.1838189359003</v>
      </c>
      <c r="N53" s="24">
        <f>IF(M53&lt;=0,0,IF($E$2-A53&lt;12,(M53-E53)*Dashboard!$B$18,IF($Q$2+A53&gt;=$R$2,MAX(0,M53-E53*POWER(1+$C$2,$E$2-A53))*MAX(Dashboard!$C$18,Dashboard!$B$18),IF($S$2&lt;$R$2,(M53-E53)*0.5*Dashboard!$B$18,(E53*POWER(1+$A$2,$R$2-($Q$2+A53))-E53)*0.5*Dashboard!$B$18+MAX(0,M53-E53*POWER(1+$A$2,$R$2-($Q$2+A53))*POWER(1+$C$2,$S$2-$R$2))*MAX(Dashboard!$C$18,Dashboard!$B$18)))))</f>
        <v>120.74700632240425</v>
      </c>
    </row>
    <row r="54" spans="1:14" x14ac:dyDescent="0.2">
      <c r="A54" s="22">
        <f t="shared" si="8"/>
        <v>49</v>
      </c>
      <c r="B54" s="23">
        <f t="shared" si="9"/>
        <v>22.138127853881219</v>
      </c>
      <c r="C54" t="str">
        <f t="shared" si="0"/>
        <v>22 y 1.66 m</v>
      </c>
      <c r="D54" s="24">
        <f>IF(A54&gt;=$E$2,IF(A54&lt;$E$2+$H$2,$P$2,0),IF(B54&lt;Dashboard!$I$6,0,IF(A54&gt;=$F$2,Dashboard!$C$23*POWER(1+$C$2,A54-$F$2),Dashboard!$C$23)))</f>
        <v>0</v>
      </c>
      <c r="E54" s="24">
        <f>IF(A54&gt;=$F$2,0,IF(A54=0,Dashboard!$G$10,IF(B54&lt;Dashboard!$I$6,IF($J$2&lt;=Dashboard!$H$10,Dashboard!$H$10,MAX(Dashboard!$H$10,MIN($J$2,Dashboard!$H$10*POWER($J$2/Dashboard!$H$10,A54/$D$2)))),$I$2-D54-Dashboard!$I$10-Dashboard!$J$10-Dashboard!$F$10*$I$2)))</f>
        <v>1061.4019884604136</v>
      </c>
      <c r="F54" s="24">
        <f t="shared" si="1"/>
        <v>0</v>
      </c>
      <c r="G54" s="24">
        <f t="shared" si="2"/>
        <v>0</v>
      </c>
      <c r="H54" s="24">
        <f t="shared" si="3"/>
        <v>0</v>
      </c>
      <c r="I54" s="24">
        <f t="shared" si="4"/>
        <v>1061.4019884604136</v>
      </c>
      <c r="J54" s="25">
        <f t="shared" si="5"/>
        <v>7.9741404289037643E-3</v>
      </c>
      <c r="K54" s="24">
        <f t="shared" si="10"/>
        <v>192868.63013331417</v>
      </c>
      <c r="L54" s="24" t="str">
        <f t="shared" si="6"/>
        <v/>
      </c>
      <c r="M54" s="24">
        <f t="shared" si="7"/>
        <v>1390.4621505424268</v>
      </c>
      <c r="N54" s="24">
        <f>IF(M54&lt;=0,0,IF($E$2-A54&lt;12,(M54-E54)*Dashboard!$B$18,IF($Q$2+A54&gt;=$R$2,MAX(0,M54-E54*POWER(1+$C$2,$E$2-A54))*MAX(Dashboard!$C$18,Dashboard!$B$18),IF($S$2&lt;$R$2,(M54-E54)*0.5*Dashboard!$B$18,(E54*POWER(1+$A$2,$R$2-($Q$2+A54))-E54)*0.5*Dashboard!$B$18+MAX(0,M54-E54*POWER(1+$A$2,$R$2-($Q$2+A54))*POWER(1+$C$2,$S$2-$R$2))*MAX(Dashboard!$C$18,Dashboard!$B$18)))))</f>
        <v>118.50703763905742</v>
      </c>
    </row>
    <row r="55" spans="1:14" x14ac:dyDescent="0.2">
      <c r="A55" s="22">
        <f t="shared" si="8"/>
        <v>50</v>
      </c>
      <c r="B55" s="23">
        <f t="shared" si="9"/>
        <v>22.221461187214551</v>
      </c>
      <c r="C55" t="str">
        <f t="shared" si="0"/>
        <v>22 y 2.66 m</v>
      </c>
      <c r="D55" s="24">
        <f>IF(A55&gt;=$E$2,IF(A55&lt;$E$2+$H$2,$P$2,0),IF(B55&lt;Dashboard!$I$6,0,IF(A55&gt;=$F$2,Dashboard!$C$23*POWER(1+$C$2,A55-$F$2),Dashboard!$C$23)))</f>
        <v>0</v>
      </c>
      <c r="E55" s="24">
        <f>IF(A55&gt;=$F$2,0,IF(A55=0,Dashboard!$G$10,IF(B55&lt;Dashboard!$I$6,IF($J$2&lt;=Dashboard!$H$10,Dashboard!$H$10,MAX(Dashboard!$H$10,MIN($J$2,Dashboard!$H$10*POWER($J$2/Dashboard!$H$10,A55/$D$2)))),$I$2-D55-Dashboard!$I$10-Dashboard!$J$10-Dashboard!$F$10*$I$2)))</f>
        <v>1077.8331268745274</v>
      </c>
      <c r="F55" s="24">
        <f t="shared" si="1"/>
        <v>0</v>
      </c>
      <c r="G55" s="24">
        <f t="shared" si="2"/>
        <v>0</v>
      </c>
      <c r="H55" s="24">
        <f t="shared" si="3"/>
        <v>0</v>
      </c>
      <c r="I55" s="24">
        <f t="shared" si="4"/>
        <v>1077.8331268745274</v>
      </c>
      <c r="J55" s="25">
        <f t="shared" si="5"/>
        <v>7.9741404289037643E-3</v>
      </c>
      <c r="K55" s="24">
        <f t="shared" si="10"/>
        <v>195493.01959391468</v>
      </c>
      <c r="L55" s="24" t="str">
        <f t="shared" si="6"/>
        <v/>
      </c>
      <c r="M55" s="24">
        <f t="shared" si="7"/>
        <v>1400.8170256492931</v>
      </c>
      <c r="N55" s="24">
        <f>IF(M55&lt;=0,0,IF($E$2-A55&lt;12,(M55-E55)*Dashboard!$B$18,IF($Q$2+A55&gt;=$R$2,MAX(0,M55-E55*POWER(1+$C$2,$E$2-A55))*MAX(Dashboard!$C$18,Dashboard!$B$18),IF($S$2&lt;$R$2,(M55-E55)*0.5*Dashboard!$B$18,(E55*POWER(1+$A$2,$R$2-($Q$2+A55))-E55)*0.5*Dashboard!$B$18+MAX(0,M55-E55*POWER(1+$A$2,$R$2-($Q$2+A55))*POWER(1+$C$2,$S$2-$R$2))*MAX(Dashboard!$C$18,Dashboard!$B$18)))))</f>
        <v>116.20834414726089</v>
      </c>
    </row>
    <row r="56" spans="1:14" x14ac:dyDescent="0.2">
      <c r="A56" s="22">
        <f t="shared" si="8"/>
        <v>51</v>
      </c>
      <c r="B56" s="23">
        <f t="shared" si="9"/>
        <v>22.304794520547883</v>
      </c>
      <c r="C56" t="str">
        <f t="shared" si="0"/>
        <v>22 y 3.66 m</v>
      </c>
      <c r="D56" s="24">
        <f>IF(A56&gt;=$E$2,IF(A56&lt;$E$2+$H$2,$P$2,0),IF(B56&lt;Dashboard!$I$6,0,IF(A56&gt;=$F$2,Dashboard!$C$23*POWER(1+$C$2,A56-$F$2),Dashboard!$C$23)))</f>
        <v>0</v>
      </c>
      <c r="E56" s="24">
        <f>IF(A56&gt;=$F$2,0,IF(A56=0,Dashboard!$G$10,IF(B56&lt;Dashboard!$I$6,IF($J$2&lt;=Dashboard!$H$10,Dashboard!$H$10,MAX(Dashboard!$H$10,MIN($J$2,Dashboard!$H$10*POWER($J$2/Dashboard!$H$10,A56/$D$2)))),$I$2-D56-Dashboard!$I$10-Dashboard!$J$10-Dashboard!$F$10*$I$2)))</f>
        <v>1094.5186291512669</v>
      </c>
      <c r="F56" s="24">
        <f t="shared" si="1"/>
        <v>0</v>
      </c>
      <c r="G56" s="24">
        <f t="shared" si="2"/>
        <v>0</v>
      </c>
      <c r="H56" s="24">
        <f t="shared" si="3"/>
        <v>0</v>
      </c>
      <c r="I56" s="24">
        <f t="shared" si="4"/>
        <v>1094.5186291512669</v>
      </c>
      <c r="J56" s="25">
        <f t="shared" si="5"/>
        <v>7.9741404289037643E-3</v>
      </c>
      <c r="K56" s="24">
        <f t="shared" si="10"/>
        <v>198155.15485942917</v>
      </c>
      <c r="L56" s="24" t="str">
        <f t="shared" si="6"/>
        <v/>
      </c>
      <c r="M56" s="24">
        <f t="shared" si="7"/>
        <v>1411.2490142816418</v>
      </c>
      <c r="N56" s="24">
        <f>IF(M56&lt;=0,0,IF($E$2-A56&lt;12,(M56-E56)*Dashboard!$B$18,IF($Q$2+A56&gt;=$R$2,MAX(0,M56-E56*POWER(1+$C$2,$E$2-A56))*MAX(Dashboard!$C$18,Dashboard!$B$18),IF($S$2&lt;$R$2,(M56-E56)*0.5*Dashboard!$B$18,(E56*POWER(1+$A$2,$R$2-($Q$2+A56))-E56)*0.5*Dashboard!$B$18+MAX(0,M56-E56*POWER(1+$A$2,$R$2-($Q$2+A56))*POWER(1+$C$2,$S$2-$R$2))*MAX(Dashboard!$C$18,Dashboard!$B$18)))))</f>
        <v>113.84992542177724</v>
      </c>
    </row>
    <row r="57" spans="1:14" x14ac:dyDescent="0.2">
      <c r="A57" s="22">
        <f t="shared" si="8"/>
        <v>52</v>
      </c>
      <c r="B57" s="23">
        <f t="shared" si="9"/>
        <v>22.388127853881215</v>
      </c>
      <c r="C57" t="str">
        <f t="shared" si="0"/>
        <v>22 y 4.66 m</v>
      </c>
      <c r="D57" s="24">
        <f>IF(A57&gt;=$E$2,IF(A57&lt;$E$2+$H$2,$P$2,0),IF(B57&lt;Dashboard!$I$6,0,IF(A57&gt;=$F$2,Dashboard!$C$23*POWER(1+$C$2,A57-$F$2),Dashboard!$C$23)))</f>
        <v>0</v>
      </c>
      <c r="E57" s="24">
        <f>IF(A57&gt;=$F$2,0,IF(A57=0,Dashboard!$G$10,IF(B57&lt;Dashboard!$I$6,IF($J$2&lt;=Dashboard!$H$10,Dashboard!$H$10,MAX(Dashboard!$H$10,MIN($J$2,Dashboard!$H$10*POWER($J$2/Dashboard!$H$10,A57/$D$2)))),$I$2-D57-Dashboard!$I$10-Dashboard!$J$10-Dashboard!$F$10*$I$2)))</f>
        <v>1111.4624329955552</v>
      </c>
      <c r="F57" s="24">
        <f t="shared" si="1"/>
        <v>0</v>
      </c>
      <c r="G57" s="24">
        <f t="shared" si="2"/>
        <v>0</v>
      </c>
      <c r="H57" s="24">
        <f t="shared" si="3"/>
        <v>0</v>
      </c>
      <c r="I57" s="24">
        <f t="shared" si="4"/>
        <v>1111.4624329955552</v>
      </c>
      <c r="J57" s="25">
        <f t="shared" si="5"/>
        <v>7.9741404289037643E-3</v>
      </c>
      <c r="K57" s="24">
        <f t="shared" si="10"/>
        <v>200855.59728150713</v>
      </c>
      <c r="L57" s="24" t="str">
        <f t="shared" si="6"/>
        <v/>
      </c>
      <c r="M57" s="24">
        <f t="shared" si="7"/>
        <v>1421.7586907096365</v>
      </c>
      <c r="N57" s="24">
        <f>IF(M57&lt;=0,0,IF($E$2-A57&lt;12,(M57-E57)*Dashboard!$B$18,IF($Q$2+A57&gt;=$R$2,MAX(0,M57-E57*POWER(1+$C$2,$E$2-A57))*MAX(Dashboard!$C$18,Dashboard!$B$18),IF($S$2&lt;$R$2,(M57-E57)*0.5*Dashboard!$B$18,(E57*POWER(1+$A$2,$R$2-($Q$2+A57))-E57)*0.5*Dashboard!$B$18+MAX(0,M57-E57*POWER(1+$A$2,$R$2-($Q$2+A57))*POWER(1+$C$2,$S$2-$R$2))*MAX(Dashboard!$C$18,Dashboard!$B$18)))))</f>
        <v>111.43076604546889</v>
      </c>
    </row>
    <row r="58" spans="1:14" x14ac:dyDescent="0.2">
      <c r="A58" s="22">
        <f t="shared" si="8"/>
        <v>53</v>
      </c>
      <c r="B58" s="23">
        <f t="shared" si="9"/>
        <v>22.471461187214548</v>
      </c>
      <c r="C58" t="str">
        <f t="shared" si="0"/>
        <v>22 y 5.66 m</v>
      </c>
      <c r="D58" s="24">
        <f>IF(A58&gt;=$E$2,IF(A58&lt;$E$2+$H$2,$P$2,0),IF(B58&lt;Dashboard!$I$6,0,IF(A58&gt;=$F$2,Dashboard!$C$23*POWER(1+$C$2,A58-$F$2),Dashboard!$C$23)))</f>
        <v>0</v>
      </c>
      <c r="E58" s="24">
        <f>IF(A58&gt;=$F$2,0,IF(A58=0,Dashboard!$G$10,IF(B58&lt;Dashboard!$I$6,IF($J$2&lt;=Dashboard!$H$10,Dashboard!$H$10,MAX(Dashboard!$H$10,MIN($J$2,Dashboard!$H$10*POWER($J$2/Dashboard!$H$10,A58/$D$2)))),$I$2-D58-Dashboard!$I$10-Dashboard!$J$10-Dashboard!$F$10*$I$2)))</f>
        <v>1128.6685370703435</v>
      </c>
      <c r="F58" s="24">
        <f t="shared" si="1"/>
        <v>0</v>
      </c>
      <c r="G58" s="24">
        <f t="shared" si="2"/>
        <v>0</v>
      </c>
      <c r="H58" s="24">
        <f t="shared" si="3"/>
        <v>0</v>
      </c>
      <c r="I58" s="24">
        <f t="shared" si="4"/>
        <v>1128.6685370703435</v>
      </c>
      <c r="J58" s="25">
        <f t="shared" si="5"/>
        <v>7.9741404289037643E-3</v>
      </c>
      <c r="K58" s="24">
        <f t="shared" si="10"/>
        <v>203594.91671864383</v>
      </c>
      <c r="L58" s="24" t="str">
        <f t="shared" si="6"/>
        <v/>
      </c>
      <c r="M58" s="24">
        <f t="shared" si="7"/>
        <v>1432.3466334800717</v>
      </c>
      <c r="N58" s="24">
        <f>IF(M58&lt;=0,0,IF($E$2-A58&lt;12,(M58-E58)*Dashboard!$B$18,IF($Q$2+A58&gt;=$R$2,MAX(0,M58-E58*POWER(1+$C$2,$E$2-A58))*MAX(Dashboard!$C$18,Dashboard!$B$18),IF($S$2&lt;$R$2,(M58-E58)*0.5*Dashboard!$B$18,(E58*POWER(1+$A$2,$R$2-($Q$2+A58))-E58)*0.5*Dashboard!$B$18+MAX(0,M58-E58*POWER(1+$A$2,$R$2-($Q$2+A58))*POWER(1+$C$2,$S$2-$R$2))*MAX(Dashboard!$C$18,Dashboard!$B$18)))))</f>
        <v>108.94983539664506</v>
      </c>
    </row>
    <row r="59" spans="1:14" x14ac:dyDescent="0.2">
      <c r="A59" s="22">
        <f t="shared" si="8"/>
        <v>54</v>
      </c>
      <c r="B59" s="23">
        <f t="shared" si="9"/>
        <v>22.55479452054788</v>
      </c>
      <c r="C59" t="str">
        <f t="shared" si="0"/>
        <v>22 y 6.66 m</v>
      </c>
      <c r="D59" s="24">
        <f>IF(A59&gt;=$E$2,IF(A59&lt;$E$2+$H$2,$P$2,0),IF(B59&lt;Dashboard!$I$6,0,IF(A59&gt;=$F$2,Dashboard!$C$23*POWER(1+$C$2,A59-$F$2),Dashboard!$C$23)))</f>
        <v>0</v>
      </c>
      <c r="E59" s="24">
        <f>IF(A59&gt;=$F$2,0,IF(A59=0,Dashboard!$G$10,IF(B59&lt;Dashboard!$I$6,IF($J$2&lt;=Dashboard!$H$10,Dashboard!$H$10,MAX(Dashboard!$H$10,MIN($J$2,Dashboard!$H$10*POWER($J$2/Dashboard!$H$10,A59/$D$2)))),$I$2-D59-Dashboard!$I$10-Dashboard!$J$10-Dashboard!$F$10*$I$2)))</f>
        <v>1146.1410019402829</v>
      </c>
      <c r="F59" s="24">
        <f t="shared" si="1"/>
        <v>0</v>
      </c>
      <c r="G59" s="24">
        <f t="shared" si="2"/>
        <v>0</v>
      </c>
      <c r="H59" s="24">
        <f t="shared" si="3"/>
        <v>0</v>
      </c>
      <c r="I59" s="24">
        <f t="shared" si="4"/>
        <v>1146.1410019402829</v>
      </c>
      <c r="J59" s="25">
        <f t="shared" si="5"/>
        <v>7.9741404289037643E-3</v>
      </c>
      <c r="K59" s="24">
        <f t="shared" si="10"/>
        <v>206373.69166641033</v>
      </c>
      <c r="L59" s="24" t="str">
        <f t="shared" si="6"/>
        <v/>
      </c>
      <c r="M59" s="24">
        <f t="shared" si="7"/>
        <v>1443.013425448225</v>
      </c>
      <c r="N59" s="24">
        <f>IF(M59&lt;=0,0,IF($E$2-A59&lt;12,(M59-E59)*Dashboard!$B$18,IF($Q$2+A59&gt;=$R$2,MAX(0,M59-E59*POWER(1+$C$2,$E$2-A59))*MAX(Dashboard!$C$18,Dashboard!$B$18),IF($S$2&lt;$R$2,(M59-E59)*0.5*Dashboard!$B$18,(E59*POWER(1+$A$2,$R$2-($Q$2+A59))-E59)*0.5*Dashboard!$B$18+MAX(0,M59-E59*POWER(1+$A$2,$R$2-($Q$2+A59))*POWER(1+$C$2,$S$2-$R$2))*MAX(Dashboard!$C$18,Dashboard!$B$18)))))</f>
        <v>106.40608743347201</v>
      </c>
    </row>
    <row r="60" spans="1:14" x14ac:dyDescent="0.2">
      <c r="A60" s="22">
        <f t="shared" si="8"/>
        <v>55</v>
      </c>
      <c r="B60" s="23">
        <f t="shared" si="9"/>
        <v>22.638127853881212</v>
      </c>
      <c r="C60" t="str">
        <f t="shared" si="0"/>
        <v>22 y 7.66 m</v>
      </c>
      <c r="D60" s="24">
        <f>IF(A60&gt;=$E$2,IF(A60&lt;$E$2+$H$2,$P$2,0),IF(B60&lt;Dashboard!$I$6,0,IF(A60&gt;=$F$2,Dashboard!$C$23*POWER(1+$C$2,A60-$F$2),Dashboard!$C$23)))</f>
        <v>0</v>
      </c>
      <c r="E60" s="24">
        <f>IF(A60&gt;=$F$2,0,IF(A60=0,Dashboard!$G$10,IF(B60&lt;Dashboard!$I$6,IF($J$2&lt;=Dashboard!$H$10,Dashboard!$H$10,MAX(Dashboard!$H$10,MIN($J$2,Dashboard!$H$10*POWER($J$2/Dashboard!$H$10,A60/$D$2)))),$I$2-D60-Dashboard!$I$10-Dashboard!$J$10-Dashboard!$F$10*$I$2)))</f>
        <v>1163.8839510299945</v>
      </c>
      <c r="F60" s="24">
        <f t="shared" si="1"/>
        <v>0</v>
      </c>
      <c r="G60" s="24">
        <f t="shared" si="2"/>
        <v>0</v>
      </c>
      <c r="H60" s="24">
        <f t="shared" si="3"/>
        <v>0</v>
      </c>
      <c r="I60" s="24">
        <f t="shared" si="4"/>
        <v>1163.8839510299945</v>
      </c>
      <c r="J60" s="25">
        <f t="shared" si="5"/>
        <v>7.9741404289037643E-3</v>
      </c>
      <c r="K60" s="24">
        <f t="shared" si="10"/>
        <v>209192.50938968803</v>
      </c>
      <c r="L60" s="24" t="str">
        <f t="shared" si="6"/>
        <v/>
      </c>
      <c r="M60" s="24">
        <f t="shared" si="7"/>
        <v>1453.7596538099381</v>
      </c>
      <c r="N60" s="24">
        <f>IF(M60&lt;=0,0,IF($E$2-A60&lt;12,(M60-E60)*Dashboard!$B$18,IF($Q$2+A60&gt;=$R$2,MAX(0,M60-E60*POWER(1+$C$2,$E$2-A60))*MAX(Dashboard!$C$18,Dashboard!$B$18),IF($S$2&lt;$R$2,(M60-E60)*0.5*Dashboard!$B$18,(E60*POWER(1+$A$2,$R$2-($Q$2+A60))-E60)*0.5*Dashboard!$B$18+MAX(0,M60-E60*POWER(1+$A$2,$R$2-($Q$2+A60))*POWER(1+$C$2,$S$2-$R$2))*MAX(Dashboard!$C$18,Dashboard!$B$18)))))</f>
        <v>103.79846047540848</v>
      </c>
    </row>
    <row r="61" spans="1:14" x14ac:dyDescent="0.2">
      <c r="A61" s="22">
        <f t="shared" si="8"/>
        <v>56</v>
      </c>
      <c r="B61" s="23">
        <f t="shared" si="9"/>
        <v>22.721461187214544</v>
      </c>
      <c r="C61" t="str">
        <f t="shared" si="0"/>
        <v>22 y 8.66 m</v>
      </c>
      <c r="D61" s="24">
        <f>IF(A61&gt;=$E$2,IF(A61&lt;$E$2+$H$2,$P$2,0),IF(B61&lt;Dashboard!$I$6,0,IF(A61&gt;=$F$2,Dashboard!$C$23*POWER(1+$C$2,A61-$F$2),Dashboard!$C$23)))</f>
        <v>0</v>
      </c>
      <c r="E61" s="24">
        <f>IF(A61&gt;=$F$2,0,IF(A61=0,Dashboard!$G$10,IF(B61&lt;Dashboard!$I$6,IF($J$2&lt;=Dashboard!$H$10,Dashboard!$H$10,MAX(Dashboard!$H$10,MIN($J$2,Dashboard!$H$10*POWER($J$2/Dashboard!$H$10,A61/$D$2)))),$I$2-D61-Dashboard!$I$10-Dashboard!$J$10-Dashboard!$F$10*$I$2)))</f>
        <v>1181.901571597183</v>
      </c>
      <c r="F61" s="24">
        <f t="shared" si="1"/>
        <v>0</v>
      </c>
      <c r="G61" s="24">
        <f t="shared" si="2"/>
        <v>0</v>
      </c>
      <c r="H61" s="24">
        <f t="shared" si="3"/>
        <v>0</v>
      </c>
      <c r="I61" s="24">
        <f t="shared" si="4"/>
        <v>1181.901571597183</v>
      </c>
      <c r="J61" s="25">
        <f t="shared" si="5"/>
        <v>7.9741404289037643E-3</v>
      </c>
      <c r="K61" s="24">
        <f t="shared" si="10"/>
        <v>212051.9660569384</v>
      </c>
      <c r="L61" s="24" t="str">
        <f t="shared" si="6"/>
        <v/>
      </c>
      <c r="M61" s="24">
        <f t="shared" si="7"/>
        <v>1464.5859101339452</v>
      </c>
      <c r="N61" s="24">
        <f>IF(M61&lt;=0,0,IF($E$2-A61&lt;12,(M61-E61)*Dashboard!$B$18,IF($Q$2+A61&gt;=$R$2,MAX(0,M61-E61*POWER(1+$C$2,$E$2-A61))*MAX(Dashboard!$C$18,Dashboard!$B$18),IF($S$2&lt;$R$2,(M61-E61)*0.5*Dashboard!$B$18,(E61*POWER(1+$A$2,$R$2-($Q$2+A61))-E61)*0.5*Dashboard!$B$18+MAX(0,M61-E61*POWER(1+$A$2,$R$2-($Q$2+A61))*POWER(1+$C$2,$S$2-$R$2))*MAX(Dashboard!$C$18,Dashboard!$B$18)))))</f>
        <v>101.12587698162372</v>
      </c>
    </row>
    <row r="62" spans="1:14" x14ac:dyDescent="0.2">
      <c r="A62" s="22">
        <f t="shared" si="8"/>
        <v>57</v>
      </c>
      <c r="B62" s="23">
        <f t="shared" si="9"/>
        <v>22.804794520547876</v>
      </c>
      <c r="C62" t="str">
        <f t="shared" si="0"/>
        <v>22 y 9.66 m</v>
      </c>
      <c r="D62" s="24">
        <f>IF(A62&gt;=$E$2,IF(A62&lt;$E$2+$H$2,$P$2,0),IF(B62&lt;Dashboard!$I$6,0,IF(A62&gt;=$F$2,Dashboard!$C$23*POWER(1+$C$2,A62-$F$2),Dashboard!$C$23)))</f>
        <v>0</v>
      </c>
      <c r="E62" s="24">
        <f>IF(A62&gt;=$F$2,0,IF(A62=0,Dashboard!$G$10,IF(B62&lt;Dashboard!$I$6,IF($J$2&lt;=Dashboard!$H$10,Dashboard!$H$10,MAX(Dashboard!$H$10,MIN($J$2,Dashboard!$H$10*POWER($J$2/Dashboard!$H$10,A62/$D$2)))),$I$2-D62-Dashboard!$I$10-Dashboard!$J$10-Dashboard!$F$10*$I$2)))</f>
        <v>1200.1981157208106</v>
      </c>
      <c r="F62" s="24">
        <f t="shared" si="1"/>
        <v>0</v>
      </c>
      <c r="G62" s="24">
        <f t="shared" si="2"/>
        <v>0</v>
      </c>
      <c r="H62" s="24">
        <f t="shared" si="3"/>
        <v>0</v>
      </c>
      <c r="I62" s="24">
        <f t="shared" si="4"/>
        <v>1200.1981157208106</v>
      </c>
      <c r="J62" s="25">
        <f t="shared" si="5"/>
        <v>7.9741404289037643E-3</v>
      </c>
      <c r="K62" s="24">
        <f t="shared" si="10"/>
        <v>214952.66687653965</v>
      </c>
      <c r="L62" s="24" t="str">
        <f t="shared" si="6"/>
        <v/>
      </c>
      <c r="M62" s="24">
        <f t="shared" si="7"/>
        <v>1475.4927903944381</v>
      </c>
      <c r="N62" s="24">
        <f>IF(M62&lt;=0,0,IF($E$2-A62&lt;12,(M62-E62)*Dashboard!$B$18,IF($Q$2+A62&gt;=$R$2,MAX(0,M62-E62*POWER(1+$C$2,$E$2-A62))*MAX(Dashboard!$C$18,Dashboard!$B$18),IF($S$2&lt;$R$2,(M62-E62)*0.5*Dashboard!$B$18,(E62*POWER(1+$A$2,$R$2-($Q$2+A62))-E62)*0.5*Dashboard!$B$18+MAX(0,M62-E62*POWER(1+$A$2,$R$2-($Q$2+A62))*POWER(1+$C$2,$S$2-$R$2))*MAX(Dashboard!$C$18,Dashboard!$B$18)))))</f>
        <v>98.387243326356</v>
      </c>
    </row>
    <row r="63" spans="1:14" x14ac:dyDescent="0.2">
      <c r="A63" s="22">
        <f t="shared" si="8"/>
        <v>58</v>
      </c>
      <c r="B63" s="23">
        <f t="shared" si="9"/>
        <v>22.888127853881208</v>
      </c>
      <c r="C63" t="str">
        <f t="shared" si="0"/>
        <v>22 y 10.66 m</v>
      </c>
      <c r="D63" s="24">
        <f>IF(A63&gt;=$E$2,IF(A63&lt;$E$2+$H$2,$P$2,0),IF(B63&lt;Dashboard!$I$6,0,IF(A63&gt;=$F$2,Dashboard!$C$23*POWER(1+$C$2,A63-$F$2),Dashboard!$C$23)))</f>
        <v>0</v>
      </c>
      <c r="E63" s="24">
        <f>IF(A63&gt;=$F$2,0,IF(A63=0,Dashboard!$G$10,IF(B63&lt;Dashboard!$I$6,IF($J$2&lt;=Dashboard!$H$10,Dashboard!$H$10,MAX(Dashboard!$H$10,MIN($J$2,Dashboard!$H$10*POWER($J$2/Dashboard!$H$10,A63/$D$2)))),$I$2-D63-Dashboard!$I$10-Dashboard!$J$10-Dashboard!$F$10*$I$2)))</f>
        <v>1218.777901304567</v>
      </c>
      <c r="F63" s="24">
        <f t="shared" si="1"/>
        <v>0</v>
      </c>
      <c r="G63" s="24">
        <f t="shared" si="2"/>
        <v>0</v>
      </c>
      <c r="H63" s="24">
        <f t="shared" si="3"/>
        <v>0</v>
      </c>
      <c r="I63" s="24">
        <f t="shared" si="4"/>
        <v>1218.777901304567</v>
      </c>
      <c r="J63" s="25">
        <f t="shared" si="5"/>
        <v>7.9741404289037643E-3</v>
      </c>
      <c r="K63" s="24">
        <f t="shared" si="10"/>
        <v>217895.22623522175</v>
      </c>
      <c r="L63" s="24" t="str">
        <f t="shared" si="6"/>
        <v/>
      </c>
      <c r="M63" s="24">
        <f t="shared" si="7"/>
        <v>1486.48089500387</v>
      </c>
      <c r="N63" s="24">
        <f>IF(M63&lt;=0,0,IF($E$2-A63&lt;12,(M63-E63)*Dashboard!$B$18,IF($Q$2+A63&gt;=$R$2,MAX(0,M63-E63*POWER(1+$C$2,$E$2-A63))*MAX(Dashboard!$C$18,Dashboard!$B$18),IF($S$2&lt;$R$2,(M63-E63)*0.5*Dashboard!$B$18,(E63*POWER(1+$A$2,$R$2-($Q$2+A63))-E63)*0.5*Dashboard!$B$18+MAX(0,M63-E63*POWER(1+$A$2,$R$2-($Q$2+A63))*POWER(1+$C$2,$S$2-$R$2))*MAX(Dashboard!$C$18,Dashboard!$B$18)))))</f>
        <v>95.581449571172897</v>
      </c>
    </row>
    <row r="64" spans="1:14" x14ac:dyDescent="0.2">
      <c r="A64" s="22">
        <f t="shared" si="8"/>
        <v>59</v>
      </c>
      <c r="B64" s="23">
        <f t="shared" si="9"/>
        <v>22.97146118721454</v>
      </c>
      <c r="C64" t="str">
        <f t="shared" si="0"/>
        <v>22 y 11.66 m</v>
      </c>
      <c r="D64" s="24">
        <f>IF(A64&gt;=$E$2,IF(A64&lt;$E$2+$H$2,$P$2,0),IF(B64&lt;Dashboard!$I$6,0,IF(A64&gt;=$F$2,Dashboard!$C$23*POWER(1+$C$2,A64-$F$2),Dashboard!$C$23)))</f>
        <v>0</v>
      </c>
      <c r="E64" s="24">
        <f>IF(A64&gt;=$F$2,0,IF(A64=0,Dashboard!$G$10,IF(B64&lt;Dashboard!$I$6,IF($J$2&lt;=Dashboard!$H$10,Dashboard!$H$10,MAX(Dashboard!$H$10,MIN($J$2,Dashboard!$H$10*POWER($J$2/Dashboard!$H$10,A64/$D$2)))),$I$2-D64-Dashboard!$I$10-Dashboard!$J$10-Dashboard!$F$10*$I$2)))</f>
        <v>1237.6453130958771</v>
      </c>
      <c r="F64" s="24">
        <f t="shared" si="1"/>
        <v>0</v>
      </c>
      <c r="G64" s="24">
        <f t="shared" si="2"/>
        <v>0</v>
      </c>
      <c r="H64" s="24">
        <f t="shared" si="3"/>
        <v>0</v>
      </c>
      <c r="I64" s="24">
        <f t="shared" si="4"/>
        <v>1237.6453130958771</v>
      </c>
      <c r="J64" s="25">
        <f t="shared" si="5"/>
        <v>7.9741404289037643E-3</v>
      </c>
      <c r="K64" s="24">
        <f t="shared" si="10"/>
        <v>220880.26783863286</v>
      </c>
      <c r="L64" s="24" t="str">
        <f t="shared" si="6"/>
        <v/>
      </c>
      <c r="M64" s="24">
        <f t="shared" si="7"/>
        <v>1497.5508288460123</v>
      </c>
      <c r="N64" s="24">
        <f>IF(M64&lt;=0,0,IF($E$2-A64&lt;12,(M64-E64)*Dashboard!$B$18,IF($Q$2+A64&gt;=$R$2,MAX(0,M64-E64*POWER(1+$C$2,$E$2-A64))*MAX(Dashboard!$C$18,Dashboard!$B$18),IF($S$2&lt;$R$2,(M64-E64)*0.5*Dashboard!$B$18,(E64*POWER(1+$A$2,$R$2-($Q$2+A64))-E64)*0.5*Dashboard!$B$18+MAX(0,M64-E64*POWER(1+$A$2,$R$2-($Q$2+A64))*POWER(1+$C$2,$S$2-$R$2))*MAX(Dashboard!$C$18,Dashboard!$B$18)))))</f>
        <v>92.707369234090294</v>
      </c>
    </row>
    <row r="65" spans="1:14" x14ac:dyDescent="0.2">
      <c r="A65" s="22">
        <f t="shared" si="8"/>
        <v>60</v>
      </c>
      <c r="B65" s="23">
        <f t="shared" si="9"/>
        <v>23.054794520547873</v>
      </c>
      <c r="C65" t="str">
        <f t="shared" si="0"/>
        <v>23 y 0.66 m</v>
      </c>
      <c r="D65" s="24">
        <f>IF(A65&gt;=$E$2,IF(A65&lt;$E$2+$H$2,$P$2,0),IF(B65&lt;Dashboard!$I$6,0,IF(A65&gt;=$F$2,Dashboard!$C$23*POWER(1+$C$2,A65-$F$2),Dashboard!$C$23)))</f>
        <v>0</v>
      </c>
      <c r="E65" s="24">
        <f>IF(A65&gt;=$F$2,0,IF(A65=0,Dashboard!$G$10,IF(B65&lt;Dashboard!$I$6,IF($J$2&lt;=Dashboard!$H$10,Dashboard!$H$10,MAX(Dashboard!$H$10,MIN($J$2,Dashboard!$H$10*POWER($J$2/Dashboard!$H$10,A65/$D$2)))),$I$2-D65-Dashboard!$I$10-Dashboard!$J$10-Dashboard!$F$10*$I$2)))</f>
        <v>1256.8048037206831</v>
      </c>
      <c r="F65" s="24">
        <f t="shared" si="1"/>
        <v>0</v>
      </c>
      <c r="G65" s="24">
        <f t="shared" si="2"/>
        <v>0</v>
      </c>
      <c r="H65" s="24">
        <f t="shared" si="3"/>
        <v>0</v>
      </c>
      <c r="I65" s="24">
        <f t="shared" si="4"/>
        <v>1256.8048037206831</v>
      </c>
      <c r="J65" s="25">
        <f t="shared" si="5"/>
        <v>7.9741404289037643E-3</v>
      </c>
      <c r="K65" s="24">
        <f t="shared" si="10"/>
        <v>223908.42485406925</v>
      </c>
      <c r="L65" s="24" t="str">
        <f t="shared" si="6"/>
        <v/>
      </c>
      <c r="M65" s="24">
        <f t="shared" si="7"/>
        <v>1508.7032013092507</v>
      </c>
      <c r="N65" s="24">
        <f>IF(M65&lt;=0,0,IF($E$2-A65&lt;12,(M65-E65)*Dashboard!$B$18,IF($Q$2+A65&gt;=$R$2,MAX(0,M65-E65*POWER(1+$C$2,$E$2-A65))*MAX(Dashboard!$C$18,Dashboard!$B$18),IF($S$2&lt;$R$2,(M65-E65)*0.5*Dashboard!$B$18,(E65*POWER(1+$A$2,$R$2-($Q$2+A65))-E65)*0.5*Dashboard!$B$18+MAX(0,M65-E65*POWER(1+$A$2,$R$2-($Q$2+A65))*POWER(1+$C$2,$S$2-$R$2))*MAX(Dashboard!$C$18,Dashboard!$B$18)))))</f>
        <v>89.763859055503673</v>
      </c>
    </row>
    <row r="66" spans="1:14" x14ac:dyDescent="0.2">
      <c r="A66" s="22">
        <f t="shared" si="8"/>
        <v>61</v>
      </c>
      <c r="B66" s="23">
        <f t="shared" si="9"/>
        <v>23.138127853881205</v>
      </c>
      <c r="C66" t="str">
        <f t="shared" si="0"/>
        <v>23 y 1.66 m</v>
      </c>
      <c r="D66" s="24">
        <f>IF(A66&gt;=$E$2,IF(A66&lt;$E$2+$H$2,$P$2,0),IF(B66&lt;Dashboard!$I$6,0,IF(A66&gt;=$F$2,Dashboard!$C$23*POWER(1+$C$2,A66-$F$2),Dashboard!$C$23)))</f>
        <v>0</v>
      </c>
      <c r="E66" s="24">
        <f>IF(A66&gt;=$F$2,0,IF(A66=0,Dashboard!$G$10,IF(B66&lt;Dashboard!$I$6,IF($J$2&lt;=Dashboard!$H$10,Dashboard!$H$10,MAX(Dashboard!$H$10,MIN($J$2,Dashboard!$H$10*POWER($J$2/Dashboard!$H$10,A66/$D$2)))),$I$2-D66-Dashboard!$I$10-Dashboard!$J$10-Dashboard!$F$10*$I$2)))</f>
        <v>1276.2608947342414</v>
      </c>
      <c r="F66" s="24">
        <f t="shared" si="1"/>
        <v>0</v>
      </c>
      <c r="G66" s="24">
        <f t="shared" si="2"/>
        <v>0</v>
      </c>
      <c r="H66" s="24">
        <f t="shared" si="3"/>
        <v>0</v>
      </c>
      <c r="I66" s="24">
        <f t="shared" si="4"/>
        <v>1276.2608947342414</v>
      </c>
      <c r="J66" s="25">
        <f t="shared" si="5"/>
        <v>7.9741404289037643E-3</v>
      </c>
      <c r="K66" s="24">
        <f t="shared" si="10"/>
        <v>226980.34005540301</v>
      </c>
      <c r="L66" s="24" t="str">
        <f t="shared" si="6"/>
        <v/>
      </c>
      <c r="M66" s="24">
        <f t="shared" si="7"/>
        <v>1519.9386263201311</v>
      </c>
      <c r="N66" s="24">
        <f>IF(M66&lt;=0,0,IF($E$2-A66&lt;12,(M66-E66)*Dashboard!$B$18,IF($Q$2+A66&gt;=$R$2,MAX(0,M66-E66*POWER(1+$C$2,$E$2-A66))*MAX(Dashboard!$C$18,Dashboard!$B$18),IF($S$2&lt;$R$2,(M66-E66)*0.5*Dashboard!$B$18,(E66*POWER(1+$A$2,$R$2-($Q$2+A66))-E66)*0.5*Dashboard!$B$18+MAX(0,M66-E66*POWER(1+$A$2,$R$2-($Q$2+A66))*POWER(1+$C$2,$S$2-$R$2))*MAX(Dashboard!$C$18,Dashboard!$B$18)))))</f>
        <v>86.74975876089664</v>
      </c>
    </row>
    <row r="67" spans="1:14" x14ac:dyDescent="0.2">
      <c r="A67" s="22">
        <f t="shared" si="8"/>
        <v>62</v>
      </c>
      <c r="B67" s="23">
        <f t="shared" si="9"/>
        <v>23.221461187214537</v>
      </c>
      <c r="C67" t="str">
        <f t="shared" si="0"/>
        <v>23 y 2.66 m</v>
      </c>
      <c r="D67" s="24">
        <f>IF(A67&gt;=$E$2,IF(A67&lt;$E$2+$H$2,$P$2,0),IF(B67&lt;Dashboard!$I$6,0,IF(A67&gt;=$F$2,Dashboard!$C$23*POWER(1+$C$2,A67-$F$2),Dashboard!$C$23)))</f>
        <v>0</v>
      </c>
      <c r="E67" s="24">
        <f>IF(A67&gt;=$F$2,0,IF(A67=0,Dashboard!$G$10,IF(B67&lt;Dashboard!$I$6,IF($J$2&lt;=Dashboard!$H$10,Dashboard!$H$10,MAX(Dashboard!$H$10,MIN($J$2,Dashboard!$H$10*POWER($J$2/Dashboard!$H$10,A67/$D$2)))),$I$2-D67-Dashboard!$I$10-Dashboard!$J$10-Dashboard!$F$10*$I$2)))</f>
        <v>1296.0181776881925</v>
      </c>
      <c r="F67" s="24">
        <f t="shared" si="1"/>
        <v>0</v>
      </c>
      <c r="G67" s="24">
        <f t="shared" si="2"/>
        <v>0</v>
      </c>
      <c r="H67" s="24">
        <f t="shared" si="3"/>
        <v>0</v>
      </c>
      <c r="I67" s="24">
        <f t="shared" si="4"/>
        <v>1296.0181776881925</v>
      </c>
      <c r="J67" s="25">
        <f t="shared" si="5"/>
        <v>7.9741404289037643E-3</v>
      </c>
      <c r="K67" s="24">
        <f t="shared" si="10"/>
        <v>230096.6659702406</v>
      </c>
      <c r="L67" s="24" t="str">
        <f t="shared" si="6"/>
        <v/>
      </c>
      <c r="M67" s="24">
        <f t="shared" si="7"/>
        <v>1531.2577223771557</v>
      </c>
      <c r="N67" s="24">
        <f>IF(M67&lt;=0,0,IF($E$2-A67&lt;12,(M67-E67)*Dashboard!$B$18,IF($Q$2+A67&gt;=$R$2,MAX(0,M67-E67*POWER(1+$C$2,$E$2-A67))*MAX(Dashboard!$C$18,Dashboard!$B$18),IF($S$2&lt;$R$2,(M67-E67)*0.5*Dashboard!$B$18,(E67*POWER(1+$A$2,$R$2-($Q$2+A67))-E67)*0.5*Dashboard!$B$18+MAX(0,M67-E67*POWER(1+$A$2,$R$2-($Q$2+A67))*POWER(1+$C$2,$S$2-$R$2))*MAX(Dashboard!$C$18,Dashboard!$B$18)))))</f>
        <v>83.663890820271732</v>
      </c>
    </row>
    <row r="68" spans="1:14" x14ac:dyDescent="0.2">
      <c r="A68" s="22">
        <f t="shared" si="8"/>
        <v>63</v>
      </c>
      <c r="B68" s="23">
        <f t="shared" si="9"/>
        <v>23.304794520547869</v>
      </c>
      <c r="C68" t="str">
        <f t="shared" si="0"/>
        <v>23 y 3.66 m</v>
      </c>
      <c r="D68" s="24">
        <f>IF(A68&gt;=$E$2,IF(A68&lt;$E$2+$H$2,$P$2,0),IF(B68&lt;Dashboard!$I$6,0,IF(A68&gt;=$F$2,Dashboard!$C$23*POWER(1+$C$2,A68-$F$2),Dashboard!$C$23)))</f>
        <v>0</v>
      </c>
      <c r="E68" s="24">
        <f>IF(A68&gt;=$F$2,0,IF(A68=0,Dashboard!$G$10,IF(B68&lt;Dashboard!$I$6,IF($J$2&lt;=Dashboard!$H$10,Dashboard!$H$10,MAX(Dashboard!$H$10,MIN($J$2,Dashboard!$H$10*POWER($J$2/Dashboard!$H$10,A68/$D$2)))),$I$2-D68-Dashboard!$I$10-Dashboard!$J$10-Dashboard!$F$10*$I$2)))</f>
        <v>1316.0813152141466</v>
      </c>
      <c r="F68" s="24">
        <f t="shared" si="1"/>
        <v>0</v>
      </c>
      <c r="G68" s="24">
        <f t="shared" si="2"/>
        <v>0</v>
      </c>
      <c r="H68" s="24">
        <f t="shared" si="3"/>
        <v>0</v>
      </c>
      <c r="I68" s="24">
        <f t="shared" si="4"/>
        <v>1316.0813152141466</v>
      </c>
      <c r="J68" s="25">
        <f t="shared" si="5"/>
        <v>7.9741404289037643E-3</v>
      </c>
      <c r="K68" s="24">
        <f t="shared" si="10"/>
        <v>233258.06502934737</v>
      </c>
      <c r="L68" s="24" t="str">
        <f t="shared" si="6"/>
        <v/>
      </c>
      <c r="M68" s="24">
        <f t="shared" si="7"/>
        <v>1542.6611125848319</v>
      </c>
      <c r="N68" s="24">
        <f>IF(M68&lt;=0,0,IF($E$2-A68&lt;12,(M68-E68)*Dashboard!$B$18,IF($Q$2+A68&gt;=$R$2,MAX(0,M68-E68*POWER(1+$C$2,$E$2-A68))*MAX(Dashboard!$C$18,Dashboard!$B$18),IF($S$2&lt;$R$2,(M68-E68)*0.5*Dashboard!$B$18,(E68*POWER(1+$A$2,$R$2-($Q$2+A68))-E68)*0.5*Dashboard!$B$18+MAX(0,M68-E68*POWER(1+$A$2,$R$2-($Q$2+A68))*POWER(1+$C$2,$S$2-$R$2))*MAX(Dashboard!$C$18,Dashboard!$B$18)))))</f>
        <v>80.505060204269</v>
      </c>
    </row>
    <row r="69" spans="1:14" x14ac:dyDescent="0.2">
      <c r="A69" s="22">
        <f t="shared" si="8"/>
        <v>64</v>
      </c>
      <c r="B69" s="23">
        <f t="shared" si="9"/>
        <v>23.388127853881201</v>
      </c>
      <c r="C69" t="str">
        <f t="shared" ref="C69:C132" si="11">INT(B69)&amp;" y "&amp;ROUND((B69-INT(B69))*12,2)&amp;" m"</f>
        <v>23 y 4.66 m</v>
      </c>
      <c r="D69" s="24">
        <f>IF(A69&gt;=$E$2,IF(A69&lt;$E$2+$H$2,$P$2,0),IF(B69&lt;Dashboard!$I$6,0,IF(A69&gt;=$F$2,Dashboard!$C$23*POWER(1+$C$2,A69-$F$2),Dashboard!$C$23)))</f>
        <v>0</v>
      </c>
      <c r="E69" s="24">
        <f>IF(A69&gt;=$F$2,0,IF(A69=0,Dashboard!$G$10,IF(B69&lt;Dashboard!$I$6,IF($J$2&lt;=Dashboard!$H$10,Dashboard!$H$10,MAX(Dashboard!$H$10,MIN($J$2,Dashboard!$H$10*POWER($J$2/Dashboard!$H$10,A69/$D$2)))),$I$2-D69-Dashboard!$I$10-Dashboard!$J$10-Dashboard!$F$10*$I$2)))</f>
        <v>1336.4550421240419</v>
      </c>
      <c r="F69" s="24">
        <f t="shared" ref="F69:F132" si="12">IF(A69&gt;=$F$2,$X$2*POWER(1+$C$2,A69-$F$2)+D69,0)</f>
        <v>0</v>
      </c>
      <c r="G69" s="24">
        <f t="shared" ref="G69:G132" si="13">IF(F69&lt;=0,0,IF(F69*12&lt;=18200,F69,IF(F69*12&lt;=40712,(18200+(F69*12-18200)/0.84)/12,IF(F69*12&lt;=103712,(45000+(F69*12-40712)/0.7)/12,IF(F69*12&lt;=138362,(135000+(F69*12-103712)/0.63)/12,(190000+(F69*12-138362)/0.55)/12)))))</f>
        <v>0</v>
      </c>
      <c r="H69" s="24">
        <f t="shared" ref="H69:H132" si="14">IF(A69=$E$2,$W$2,0)</f>
        <v>0</v>
      </c>
      <c r="I69" s="24">
        <f t="shared" ref="I69:I132" si="15">E69-G69-H69</f>
        <v>1336.4550421240419</v>
      </c>
      <c r="J69" s="25">
        <f t="shared" ref="J69:J132" si="16">IF(A69&gt;=$F$2,$B$2,$A$2)</f>
        <v>7.9741404289037643E-3</v>
      </c>
      <c r="K69" s="24">
        <f t="shared" si="10"/>
        <v>236465.20971837259</v>
      </c>
      <c r="L69" s="24" t="str">
        <f t="shared" ref="L69:L132" si="17">IF(A69&gt;=$F$2,K69,"")</f>
        <v/>
      </c>
      <c r="M69" s="24">
        <f t="shared" ref="M69:M132" si="18">IF(AND(A69&lt;$E$2,E69&gt;0),E69*POWER(1+$A$2,$E$2-A69),0)</f>
        <v>1554.1494246879722</v>
      </c>
      <c r="N69" s="24">
        <f>IF(M69&lt;=0,0,IF($E$2-A69&lt;12,(M69-E69)*Dashboard!$B$18,IF($Q$2+A69&gt;=$R$2,MAX(0,M69-E69*POWER(1+$C$2,$E$2-A69))*MAX(Dashboard!$C$18,Dashboard!$B$18),IF($S$2&lt;$R$2,(M69-E69)*0.5*Dashboard!$B$18,(E69*POWER(1+$A$2,$R$2-($Q$2+A69))-E69)*0.5*Dashboard!$B$18+MAX(0,M69-E69*POWER(1+$A$2,$R$2-($Q$2+A69))*POWER(1+$C$2,$S$2-$R$2))*MAX(Dashboard!$C$18,Dashboard!$B$18)))))</f>
        <v>77.27205413692262</v>
      </c>
    </row>
    <row r="70" spans="1:14" x14ac:dyDescent="0.2">
      <c r="A70" s="22">
        <f t="shared" ref="A70:A133" si="19">A69+1</f>
        <v>65</v>
      </c>
      <c r="B70" s="23">
        <f t="shared" ref="B70:B133" si="20">B69+1/12</f>
        <v>23.471461187214533</v>
      </c>
      <c r="C70" t="str">
        <f t="shared" si="11"/>
        <v>23 y 5.66 m</v>
      </c>
      <c r="D70" s="24">
        <f>IF(A70&gt;=$E$2,IF(A70&lt;$E$2+$H$2,$P$2,0),IF(B70&lt;Dashboard!$I$6,0,IF(A70&gt;=$F$2,Dashboard!$C$23*POWER(1+$C$2,A70-$F$2),Dashboard!$C$23)))</f>
        <v>0</v>
      </c>
      <c r="E70" s="24">
        <f>IF(A70&gt;=$F$2,0,IF(A70=0,Dashboard!$G$10,IF(B70&lt;Dashboard!$I$6,IF($J$2&lt;=Dashboard!$H$10,Dashboard!$H$10,MAX(Dashboard!$H$10,MIN($J$2,Dashboard!$H$10*POWER($J$2/Dashboard!$H$10,A70/$D$2)))),$I$2-D70-Dashboard!$I$10-Dashboard!$J$10-Dashboard!$F$10*$I$2)))</f>
        <v>1357.1441665275424</v>
      </c>
      <c r="F70" s="24">
        <f t="shared" si="12"/>
        <v>0</v>
      </c>
      <c r="G70" s="24">
        <f t="shared" si="13"/>
        <v>0</v>
      </c>
      <c r="H70" s="24">
        <f t="shared" si="14"/>
        <v>0</v>
      </c>
      <c r="I70" s="24">
        <f t="shared" si="15"/>
        <v>1357.1441665275424</v>
      </c>
      <c r="J70" s="25">
        <f t="shared" si="16"/>
        <v>7.9741404289037643E-3</v>
      </c>
      <c r="K70" s="24">
        <f t="shared" ref="K70:K133" si="21">(K69+I70)*(1+J70)</f>
        <v>239718.78273191079</v>
      </c>
      <c r="L70" s="24" t="str">
        <f t="shared" si="17"/>
        <v/>
      </c>
      <c r="M70" s="24">
        <f t="shared" si="18"/>
        <v>1565.7232911062522</v>
      </c>
      <c r="N70" s="24">
        <f>IF(M70&lt;=0,0,IF($E$2-A70&lt;12,(M70-E70)*Dashboard!$B$18,IF($Q$2+A70&gt;=$R$2,MAX(0,M70-E70*POWER(1+$C$2,$E$2-A70))*MAX(Dashboard!$C$18,Dashboard!$B$18),IF($S$2&lt;$R$2,(M70-E70)*0.5*Dashboard!$B$18,(E70*POWER(1+$A$2,$R$2-($Q$2+A70))-E70)*0.5*Dashboard!$B$18+MAX(0,M70-E70*POWER(1+$A$2,$R$2-($Q$2+A70))*POWER(1+$C$2,$S$2-$R$2))*MAX(Dashboard!$C$18,Dashboard!$B$18)))))</f>
        <v>73.963641845007189</v>
      </c>
    </row>
    <row r="71" spans="1:14" x14ac:dyDescent="0.2">
      <c r="A71" s="22">
        <f t="shared" si="19"/>
        <v>66</v>
      </c>
      <c r="B71" s="23">
        <f t="shared" si="20"/>
        <v>23.554794520547865</v>
      </c>
      <c r="C71" t="str">
        <f t="shared" si="11"/>
        <v>23 y 6.66 m</v>
      </c>
      <c r="D71" s="24">
        <f>IF(A71&gt;=$E$2,IF(A71&lt;$E$2+$H$2,$P$2,0),IF(B71&lt;Dashboard!$I$6,0,IF(A71&gt;=$F$2,Dashboard!$C$23*POWER(1+$C$2,A71-$F$2),Dashboard!$C$23)))</f>
        <v>0</v>
      </c>
      <c r="E71" s="24">
        <f>IF(A71&gt;=$F$2,0,IF(A71=0,Dashboard!$G$10,IF(B71&lt;Dashboard!$I$6,IF($J$2&lt;=Dashboard!$H$10,Dashboard!$H$10,MAX(Dashboard!$H$10,MIN($J$2,Dashboard!$H$10*POWER($J$2/Dashboard!$H$10,A71/$D$2)))),$I$2-D71-Dashboard!$I$10-Dashboard!$J$10-Dashboard!$F$10*$I$2)))</f>
        <v>1378.1535709667285</v>
      </c>
      <c r="F71" s="24">
        <f t="shared" si="12"/>
        <v>0</v>
      </c>
      <c r="G71" s="24">
        <f t="shared" si="13"/>
        <v>0</v>
      </c>
      <c r="H71" s="24">
        <f t="shared" si="14"/>
        <v>0</v>
      </c>
      <c r="I71" s="24">
        <f t="shared" si="15"/>
        <v>1378.1535709667285</v>
      </c>
      <c r="J71" s="25">
        <f t="shared" si="16"/>
        <v>7.9741404289037643E-3</v>
      </c>
      <c r="K71" s="24">
        <f t="shared" si="21"/>
        <v>243019.47712993514</v>
      </c>
      <c r="L71" s="24" t="str">
        <f t="shared" si="17"/>
        <v/>
      </c>
      <c r="M71" s="24">
        <f t="shared" si="18"/>
        <v>1577.3833489690226</v>
      </c>
      <c r="N71" s="24">
        <f>IF(M71&lt;=0,0,IF($E$2-A71&lt;12,(M71-E71)*Dashboard!$B$18,IF($Q$2+A71&gt;=$R$2,MAX(0,M71-E71*POWER(1+$C$2,$E$2-A71))*MAX(Dashboard!$C$18,Dashboard!$B$18),IF($S$2&lt;$R$2,(M71-E71)*0.5*Dashboard!$B$18,(E71*POWER(1+$A$2,$R$2-($Q$2+A71))-E71)*0.5*Dashboard!$B$18+MAX(0,M71-E71*POWER(1+$A$2,$R$2-($Q$2+A71))*POWER(1+$C$2,$S$2-$R$2))*MAX(Dashboard!$C$18,Dashboard!$B$18)))))</f>
        <v>70.57857430393419</v>
      </c>
    </row>
    <row r="72" spans="1:14" x14ac:dyDescent="0.2">
      <c r="A72" s="22">
        <f t="shared" si="19"/>
        <v>67</v>
      </c>
      <c r="B72" s="23">
        <f t="shared" si="20"/>
        <v>23.638127853881198</v>
      </c>
      <c r="C72" t="str">
        <f t="shared" si="11"/>
        <v>23 y 7.66 m</v>
      </c>
      <c r="D72" s="24">
        <f>IF(A72&gt;=$E$2,IF(A72&lt;$E$2+$H$2,$P$2,0),IF(B72&lt;Dashboard!$I$6,0,IF(A72&gt;=$F$2,Dashboard!$C$23*POWER(1+$C$2,A72-$F$2),Dashboard!$C$23)))</f>
        <v>0</v>
      </c>
      <c r="E72" s="24">
        <f>IF(A72&gt;=$F$2,0,IF(A72=0,Dashboard!$G$10,IF(B72&lt;Dashboard!$I$6,IF($J$2&lt;=Dashboard!$H$10,Dashboard!$H$10,MAX(Dashboard!$H$10,MIN($J$2,Dashboard!$H$10*POWER($J$2/Dashboard!$H$10,A72/$D$2)))),$I$2-D72-Dashboard!$I$10-Dashboard!$J$10-Dashboard!$F$10*$I$2)))</f>
        <v>1399.4882135683558</v>
      </c>
      <c r="F72" s="24">
        <f t="shared" si="12"/>
        <v>0</v>
      </c>
      <c r="G72" s="24">
        <f t="shared" si="13"/>
        <v>0</v>
      </c>
      <c r="H72" s="24">
        <f t="shared" si="14"/>
        <v>0</v>
      </c>
      <c r="I72" s="24">
        <f t="shared" si="15"/>
        <v>1399.4882135683558</v>
      </c>
      <c r="J72" s="25">
        <f t="shared" si="16"/>
        <v>7.9741404289037643E-3</v>
      </c>
      <c r="K72" s="24">
        <f t="shared" si="21"/>
        <v>246367.99649663994</v>
      </c>
      <c r="L72" s="24" t="str">
        <f t="shared" si="17"/>
        <v/>
      </c>
      <c r="M72" s="24">
        <f t="shared" si="18"/>
        <v>1589.1302401503849</v>
      </c>
      <c r="N72" s="24">
        <f>IF(M72&lt;=0,0,IF($E$2-A72&lt;12,(M72-E72)*Dashboard!$B$18,IF($Q$2+A72&gt;=$R$2,MAX(0,M72-E72*POWER(1+$C$2,$E$2-A72))*MAX(Dashboard!$C$18,Dashboard!$B$18),IF($S$2&lt;$R$2,(M72-E72)*0.5*Dashboard!$B$18,(E72*POWER(1+$A$2,$R$2-($Q$2+A72))-E72)*0.5*Dashboard!$B$18+MAX(0,M72-E72*POWER(1+$A$2,$R$2-($Q$2+A72))*POWER(1+$C$2,$S$2-$R$2))*MAX(Dashboard!$C$18,Dashboard!$B$18)))))</f>
        <v>67.115583980146113</v>
      </c>
    </row>
    <row r="73" spans="1:14" x14ac:dyDescent="0.2">
      <c r="A73" s="22">
        <f t="shared" si="19"/>
        <v>68</v>
      </c>
      <c r="B73" s="23">
        <f t="shared" si="20"/>
        <v>23.72146118721453</v>
      </c>
      <c r="C73" t="str">
        <f t="shared" si="11"/>
        <v>23 y 8.66 m</v>
      </c>
      <c r="D73" s="24">
        <f>IF(A73&gt;=$E$2,IF(A73&lt;$E$2+$H$2,$P$2,0),IF(B73&lt;Dashboard!$I$6,0,IF(A73&gt;=$F$2,Dashboard!$C$23*POWER(1+$C$2,A73-$F$2),Dashboard!$C$23)))</f>
        <v>0</v>
      </c>
      <c r="E73" s="24">
        <f>IF(A73&gt;=$F$2,0,IF(A73=0,Dashboard!$G$10,IF(B73&lt;Dashboard!$I$6,IF($J$2&lt;=Dashboard!$H$10,Dashboard!$H$10,MAX(Dashboard!$H$10,MIN($J$2,Dashboard!$H$10*POWER($J$2/Dashboard!$H$10,A73/$D$2)))),$I$2-D73-Dashboard!$I$10-Dashboard!$J$10-Dashboard!$F$10*$I$2)))</f>
        <v>1421.1531292139514</v>
      </c>
      <c r="F73" s="24">
        <f t="shared" si="12"/>
        <v>0</v>
      </c>
      <c r="G73" s="24">
        <f t="shared" si="13"/>
        <v>0</v>
      </c>
      <c r="H73" s="24">
        <f t="shared" si="14"/>
        <v>0</v>
      </c>
      <c r="I73" s="24">
        <f t="shared" si="15"/>
        <v>1421.1531292139514</v>
      </c>
      <c r="J73" s="25">
        <f t="shared" si="16"/>
        <v>7.9741404289037643E-3</v>
      </c>
      <c r="K73" s="24">
        <f t="shared" si="21"/>
        <v>249765.05510172911</v>
      </c>
      <c r="L73" s="24" t="str">
        <f t="shared" si="17"/>
        <v/>
      </c>
      <c r="M73" s="24">
        <f t="shared" si="18"/>
        <v>1600.9646113045235</v>
      </c>
      <c r="N73" s="24">
        <f>IF(M73&lt;=0,0,IF($E$2-A73&lt;12,(M73-E73)*Dashboard!$B$18,IF($Q$2+A73&gt;=$R$2,MAX(0,M73-E73*POWER(1+$C$2,$E$2-A73))*MAX(Dashboard!$C$18,Dashboard!$B$18),IF($S$2&lt;$R$2,(M73-E73)*0.5*Dashboard!$B$18,(E73*POWER(1+$A$2,$R$2-($Q$2+A73))-E73)*0.5*Dashboard!$B$18+MAX(0,M73-E73*POWER(1+$A$2,$R$2-($Q$2+A73))*POWER(1+$C$2,$S$2-$R$2))*MAX(Dashboard!$C$18,Dashboard!$B$18)))))</f>
        <v>63.573384569961974</v>
      </c>
    </row>
    <row r="74" spans="1:14" x14ac:dyDescent="0.2">
      <c r="A74" s="22">
        <f t="shared" si="19"/>
        <v>69</v>
      </c>
      <c r="B74" s="23">
        <f t="shared" si="20"/>
        <v>23.804794520547862</v>
      </c>
      <c r="C74" t="str">
        <f t="shared" si="11"/>
        <v>23 y 9.66 m</v>
      </c>
      <c r="D74" s="24">
        <f>IF(A74&gt;=$E$2,IF(A74&lt;$E$2+$H$2,$P$2,0),IF(B74&lt;Dashboard!$I$6,0,IF(A74&gt;=$F$2,Dashboard!$C$23*POWER(1+$C$2,A74-$F$2),Dashboard!$C$23)))</f>
        <v>0</v>
      </c>
      <c r="E74" s="24">
        <f>IF(A74&gt;=$F$2,0,IF(A74=0,Dashboard!$G$10,IF(B74&lt;Dashboard!$I$6,IF($J$2&lt;=Dashboard!$H$10,Dashboard!$H$10,MAX(Dashboard!$H$10,MIN($J$2,Dashboard!$H$10*POWER($J$2/Dashboard!$H$10,A74/$D$2)))),$I$2-D74-Dashboard!$I$10-Dashboard!$J$10-Dashboard!$F$10*$I$2)))</f>
        <v>1443.1534307280237</v>
      </c>
      <c r="F74" s="24">
        <f t="shared" si="12"/>
        <v>0</v>
      </c>
      <c r="G74" s="24">
        <f t="shared" si="13"/>
        <v>0</v>
      </c>
      <c r="H74" s="24">
        <f t="shared" si="14"/>
        <v>0</v>
      </c>
      <c r="I74" s="24">
        <f t="shared" si="15"/>
        <v>1443.1534307280237</v>
      </c>
      <c r="J74" s="25">
        <f t="shared" si="16"/>
        <v>7.9741404289037643E-3</v>
      </c>
      <c r="K74" s="24">
        <f t="shared" si="21"/>
        <v>253211.37806418832</v>
      </c>
      <c r="L74" s="24" t="str">
        <f t="shared" si="17"/>
        <v/>
      </c>
      <c r="M74" s="24">
        <f t="shared" si="18"/>
        <v>1612.8871139013067</v>
      </c>
      <c r="N74" s="24">
        <f>IF(M74&lt;=0,0,IF($E$2-A74&lt;12,(M74-E74)*Dashboard!$B$18,IF($Q$2+A74&gt;=$R$2,MAX(0,M74-E74*POWER(1+$C$2,$E$2-A74))*MAX(Dashboard!$C$18,Dashboard!$B$18),IF($S$2&lt;$R$2,(M74-E74)*0.5*Dashboard!$B$18,(E74*POWER(1+$A$2,$R$2-($Q$2+A74))-E74)*0.5*Dashboard!$B$18+MAX(0,M74-E74*POWER(1+$A$2,$R$2-($Q$2+A74))*POWER(1+$C$2,$S$2-$R$2))*MAX(Dashboard!$C$18,Dashboard!$B$18)))))</f>
        <v>59.950670734828094</v>
      </c>
    </row>
    <row r="75" spans="1:14" x14ac:dyDescent="0.2">
      <c r="A75" s="22">
        <f t="shared" si="19"/>
        <v>70</v>
      </c>
      <c r="B75" s="23">
        <f t="shared" si="20"/>
        <v>23.888127853881194</v>
      </c>
      <c r="C75" t="str">
        <f t="shared" si="11"/>
        <v>23 y 10.66 m</v>
      </c>
      <c r="D75" s="24">
        <f>IF(A75&gt;=$E$2,IF(A75&lt;$E$2+$H$2,$P$2,0),IF(B75&lt;Dashboard!$I$6,0,IF(A75&gt;=$F$2,Dashboard!$C$23*POWER(1+$C$2,A75-$F$2),Dashboard!$C$23)))</f>
        <v>0</v>
      </c>
      <c r="E75" s="24">
        <f>IF(A75&gt;=$F$2,0,IF(A75=0,Dashboard!$G$10,IF(B75&lt;Dashboard!$I$6,IF($J$2&lt;=Dashboard!$H$10,Dashboard!$H$10,MAX(Dashboard!$H$10,MIN($J$2,Dashboard!$H$10*POWER($J$2/Dashboard!$H$10,A75/$D$2)))),$I$2-D75-Dashboard!$I$10-Dashboard!$J$10-Dashboard!$F$10*$I$2)))</f>
        <v>1465.4943100846669</v>
      </c>
      <c r="F75" s="24">
        <f t="shared" si="12"/>
        <v>0</v>
      </c>
      <c r="G75" s="24">
        <f t="shared" si="13"/>
        <v>0</v>
      </c>
      <c r="H75" s="24">
        <f t="shared" si="14"/>
        <v>0</v>
      </c>
      <c r="I75" s="24">
        <f t="shared" si="15"/>
        <v>1465.4943100846669</v>
      </c>
      <c r="J75" s="25">
        <f t="shared" si="16"/>
        <v>7.9741404289037643E-3</v>
      </c>
      <c r="K75" s="24">
        <f t="shared" si="21"/>
        <v>256707.70151857944</v>
      </c>
      <c r="L75" s="24" t="str">
        <f t="shared" si="17"/>
        <v/>
      </c>
      <c r="M75" s="24">
        <f t="shared" si="18"/>
        <v>1624.8984042621462</v>
      </c>
      <c r="N75" s="24">
        <f>IF(M75&lt;=0,0,IF($E$2-A75&lt;12,(M75-E75)*Dashboard!$B$18,IF($Q$2+A75&gt;=$R$2,MAX(0,M75-E75*POWER(1+$C$2,$E$2-A75))*MAX(Dashboard!$C$18,Dashboard!$B$18),IF($S$2&lt;$R$2,(M75-E75)*0.5*Dashboard!$B$18,(E75*POWER(1+$A$2,$R$2-($Q$2+A75))-E75)*0.5*Dashboard!$B$18+MAX(0,M75-E75*POWER(1+$A$2,$R$2-($Q$2+A75))*POWER(1+$C$2,$S$2-$R$2))*MAX(Dashboard!$C$18,Dashboard!$B$18)))))</f>
        <v>56.246117832921414</v>
      </c>
    </row>
    <row r="76" spans="1:14" x14ac:dyDescent="0.2">
      <c r="A76" s="22">
        <f t="shared" si="19"/>
        <v>71</v>
      </c>
      <c r="B76" s="23">
        <f t="shared" si="20"/>
        <v>23.971461187214526</v>
      </c>
      <c r="C76" t="str">
        <f t="shared" si="11"/>
        <v>23 y 11.66 m</v>
      </c>
      <c r="D76" s="24">
        <f>IF(A76&gt;=$E$2,IF(A76&lt;$E$2+$H$2,$P$2,0),IF(B76&lt;Dashboard!$I$6,0,IF(A76&gt;=$F$2,Dashboard!$C$23*POWER(1+$C$2,A76-$F$2),Dashboard!$C$23)))</f>
        <v>0</v>
      </c>
      <c r="E76" s="24">
        <f>IF(A76&gt;=$F$2,0,IF(A76=0,Dashboard!$G$10,IF(B76&lt;Dashboard!$I$6,IF($J$2&lt;=Dashboard!$H$10,Dashboard!$H$10,MAX(Dashboard!$H$10,MIN($J$2,Dashboard!$H$10*POWER($J$2/Dashboard!$H$10,A76/$D$2)))),$I$2-D76-Dashboard!$I$10-Dashboard!$J$10-Dashboard!$F$10*$I$2)))</f>
        <v>1488.1810396328426</v>
      </c>
      <c r="F76" s="24">
        <f t="shared" si="12"/>
        <v>0</v>
      </c>
      <c r="G76" s="24">
        <f t="shared" si="13"/>
        <v>0</v>
      </c>
      <c r="H76" s="24">
        <f t="shared" si="14"/>
        <v>0</v>
      </c>
      <c r="I76" s="24">
        <f t="shared" si="15"/>
        <v>1488.1810396328426</v>
      </c>
      <c r="J76" s="25">
        <f t="shared" si="16"/>
        <v>7.9741404289037643E-3</v>
      </c>
      <c r="K76" s="24">
        <f t="shared" si="21"/>
        <v>260254.77278389622</v>
      </c>
      <c r="L76" s="24" t="str">
        <f t="shared" si="17"/>
        <v/>
      </c>
      <c r="M76" s="24">
        <f t="shared" si="18"/>
        <v>1636.9991435961274</v>
      </c>
      <c r="N76" s="24">
        <f>IF(M76&lt;=0,0,IF($E$2-A76&lt;12,(M76-E76)*Dashboard!$B$18,IF($Q$2+A76&gt;=$R$2,MAX(0,M76-E76*POWER(1+$C$2,$E$2-A76))*MAX(Dashboard!$C$18,Dashboard!$B$18),IF($S$2&lt;$R$2,(M76-E76)*0.5*Dashboard!$B$18,(E76*POWER(1+$A$2,$R$2-($Q$2+A76))-E76)*0.5*Dashboard!$B$18+MAX(0,M76-E76*POWER(1+$A$2,$R$2-($Q$2+A76))*POWER(1+$C$2,$S$2-$R$2))*MAX(Dashboard!$C$18,Dashboard!$B$18)))))</f>
        <v>52.458381647058978</v>
      </c>
    </row>
    <row r="77" spans="1:14" x14ac:dyDescent="0.2">
      <c r="A77" s="22">
        <f t="shared" si="19"/>
        <v>72</v>
      </c>
      <c r="B77" s="23">
        <f t="shared" si="20"/>
        <v>24.054794520547858</v>
      </c>
      <c r="C77" t="str">
        <f t="shared" si="11"/>
        <v>24 y 0.66 m</v>
      </c>
      <c r="D77" s="24">
        <f>IF(A77&gt;=$E$2,IF(A77&lt;$E$2+$H$2,$P$2,0),IF(B77&lt;Dashboard!$I$6,0,IF(A77&gt;=$F$2,Dashboard!$C$23*POWER(1+$C$2,A77-$F$2),Dashboard!$C$23)))</f>
        <v>0</v>
      </c>
      <c r="E77" s="24">
        <f>IF(A77&gt;=$F$2,0,IF(A77=0,Dashboard!$G$10,IF(B77&lt;Dashboard!$I$6,IF($J$2&lt;=Dashboard!$H$10,Dashboard!$H$10,MAX(Dashboard!$H$10,MIN($J$2,Dashboard!$H$10*POWER($J$2/Dashboard!$H$10,A77/$D$2)))),$I$2-D77-Dashboard!$I$10-Dashboard!$J$10-Dashboard!$F$10*$I$2)))</f>
        <v>1511.2189733406321</v>
      </c>
      <c r="F77" s="24">
        <f t="shared" si="12"/>
        <v>0</v>
      </c>
      <c r="G77" s="24">
        <f t="shared" si="13"/>
        <v>0</v>
      </c>
      <c r="H77" s="24">
        <f t="shared" si="14"/>
        <v>0</v>
      </c>
      <c r="I77" s="24">
        <f t="shared" si="15"/>
        <v>1511.2189733406321</v>
      </c>
      <c r="J77" s="25">
        <f t="shared" si="16"/>
        <v>7.9741404289037643E-3</v>
      </c>
      <c r="K77" s="24">
        <f t="shared" si="21"/>
        <v>263853.35053502035</v>
      </c>
      <c r="L77" s="24" t="str">
        <f t="shared" si="17"/>
        <v/>
      </c>
      <c r="M77" s="24">
        <f t="shared" si="18"/>
        <v>1649.1899980364099</v>
      </c>
      <c r="N77" s="24">
        <f>IF(M77&lt;=0,0,IF($E$2-A77&lt;12,(M77-E77)*Dashboard!$B$18,IF($Q$2+A77&gt;=$R$2,MAX(0,M77-E77*POWER(1+$C$2,$E$2-A77))*MAX(Dashboard!$C$18,Dashboard!$B$18),IF($S$2&lt;$R$2,(M77-E77)*0.5*Dashboard!$B$18,(E77*POWER(1+$A$2,$R$2-($Q$2+A77))-E77)*0.5*Dashboard!$B$18+MAX(0,M77-E77*POWER(1+$A$2,$R$2-($Q$2+A77))*POWER(1+$C$2,$S$2-$R$2))*MAX(Dashboard!$C$18,Dashboard!$B$18)))))</f>
        <v>64.846381607015516</v>
      </c>
    </row>
    <row r="78" spans="1:14" x14ac:dyDescent="0.2">
      <c r="A78" s="22">
        <f t="shared" si="19"/>
        <v>73</v>
      </c>
      <c r="B78" s="23">
        <f t="shared" si="20"/>
        <v>24.138127853881191</v>
      </c>
      <c r="C78" t="str">
        <f t="shared" si="11"/>
        <v>24 y 1.66 m</v>
      </c>
      <c r="D78" s="24">
        <f>IF(A78&gt;=$E$2,IF(A78&lt;$E$2+$H$2,$P$2,0),IF(B78&lt;Dashboard!$I$6,0,IF(A78&gt;=$F$2,Dashboard!$C$23*POWER(1+$C$2,A78-$F$2),Dashboard!$C$23)))</f>
        <v>0</v>
      </c>
      <c r="E78" s="24">
        <f>IF(A78&gt;=$F$2,0,IF(A78=0,Dashboard!$G$10,IF(B78&lt;Dashboard!$I$6,IF($J$2&lt;=Dashboard!$H$10,Dashboard!$H$10,MAX(Dashboard!$H$10,MIN($J$2,Dashboard!$H$10*POWER($J$2/Dashboard!$H$10,A78/$D$2)))),$I$2-D78-Dashboard!$I$10-Dashboard!$J$10-Dashboard!$F$10*$I$2)))</f>
        <v>1534.6135480587486</v>
      </c>
      <c r="F78" s="24">
        <f t="shared" si="12"/>
        <v>0</v>
      </c>
      <c r="G78" s="24">
        <f t="shared" si="13"/>
        <v>0</v>
      </c>
      <c r="H78" s="24">
        <f t="shared" si="14"/>
        <v>0</v>
      </c>
      <c r="I78" s="24">
        <f t="shared" si="15"/>
        <v>1534.6135480587486</v>
      </c>
      <c r="J78" s="25">
        <f t="shared" si="16"/>
        <v>7.9741404289037643E-3</v>
      </c>
      <c r="K78" s="24">
        <f t="shared" si="21"/>
        <v>267504.20497681841</v>
      </c>
      <c r="L78" s="24" t="str">
        <f t="shared" si="17"/>
        <v/>
      </c>
      <c r="M78" s="24">
        <f t="shared" si="18"/>
        <v>1661.4716386768962</v>
      </c>
      <c r="N78" s="24">
        <f>IF(M78&lt;=0,0,IF($E$2-A78&lt;12,(M78-E78)*Dashboard!$B$18,IF($Q$2+A78&gt;=$R$2,MAX(0,M78-E78*POWER(1+$C$2,$E$2-A78))*MAX(Dashboard!$C$18,Dashboard!$B$18),IF($S$2&lt;$R$2,(M78-E78)*0.5*Dashboard!$B$18,(E78*POWER(1+$A$2,$R$2-($Q$2+A78))-E78)*0.5*Dashboard!$B$18+MAX(0,M78-E78*POWER(1+$A$2,$R$2-($Q$2+A78))*POWER(1+$C$2,$S$2-$R$2))*MAX(Dashboard!$C$18,Dashboard!$B$18)))))</f>
        <v>59.623302590529356</v>
      </c>
    </row>
    <row r="79" spans="1:14" x14ac:dyDescent="0.2">
      <c r="A79" s="22">
        <f t="shared" si="19"/>
        <v>74</v>
      </c>
      <c r="B79" s="23">
        <f t="shared" si="20"/>
        <v>24.221461187214523</v>
      </c>
      <c r="C79" t="str">
        <f t="shared" si="11"/>
        <v>24 y 2.66 m</v>
      </c>
      <c r="D79" s="24">
        <f>IF(A79&gt;=$E$2,IF(A79&lt;$E$2+$H$2,$P$2,0),IF(B79&lt;Dashboard!$I$6,0,IF(A79&gt;=$F$2,Dashboard!$C$23*POWER(1+$C$2,A79-$F$2),Dashboard!$C$23)))</f>
        <v>0</v>
      </c>
      <c r="E79" s="24">
        <f>IF(A79&gt;=$F$2,0,IF(A79=0,Dashboard!$G$10,IF(B79&lt;Dashboard!$I$6,IF($J$2&lt;=Dashboard!$H$10,Dashboard!$H$10,MAX(Dashboard!$H$10,MIN($J$2,Dashboard!$H$10*POWER($J$2/Dashboard!$H$10,A79/$D$2)))),$I$2-D79-Dashboard!$I$10-Dashboard!$J$10-Dashboard!$F$10*$I$2)))</f>
        <v>1558.370284803611</v>
      </c>
      <c r="F79" s="24">
        <f t="shared" si="12"/>
        <v>0</v>
      </c>
      <c r="G79" s="24">
        <f t="shared" si="13"/>
        <v>0</v>
      </c>
      <c r="H79" s="24">
        <f t="shared" si="14"/>
        <v>0</v>
      </c>
      <c r="I79" s="24">
        <f t="shared" si="15"/>
        <v>1558.370284803611</v>
      </c>
      <c r="J79" s="25">
        <f t="shared" si="16"/>
        <v>7.9741404289037643E-3</v>
      </c>
      <c r="K79" s="24">
        <f t="shared" si="21"/>
        <v>271208.11802092067</v>
      </c>
      <c r="L79" s="24" t="str">
        <f t="shared" si="17"/>
        <v/>
      </c>
      <c r="M79" s="24">
        <f t="shared" si="18"/>
        <v>1673.8447416091753</v>
      </c>
      <c r="N79" s="24">
        <f>IF(M79&lt;=0,0,IF($E$2-A79&lt;12,(M79-E79)*Dashboard!$B$18,IF($Q$2+A79&gt;=$R$2,MAX(0,M79-E79*POWER(1+$C$2,$E$2-A79))*MAX(Dashboard!$C$18,Dashboard!$B$18),IF($S$2&lt;$R$2,(M79-E79)*0.5*Dashboard!$B$18,(E79*POWER(1+$A$2,$R$2-($Q$2+A79))-E79)*0.5*Dashboard!$B$18+MAX(0,M79-E79*POWER(1+$A$2,$R$2-($Q$2+A79))*POWER(1+$C$2,$S$2-$R$2))*MAX(Dashboard!$C$18,Dashboard!$B$18)))))</f>
        <v>54.272994698615257</v>
      </c>
    </row>
    <row r="80" spans="1:14" x14ac:dyDescent="0.2">
      <c r="A80" s="22">
        <f t="shared" si="19"/>
        <v>75</v>
      </c>
      <c r="B80" s="23">
        <f t="shared" si="20"/>
        <v>24.304794520547855</v>
      </c>
      <c r="C80" t="str">
        <f t="shared" si="11"/>
        <v>24 y 3.66 m</v>
      </c>
      <c r="D80" s="24">
        <f>IF(A80&gt;=$E$2,IF(A80&lt;$E$2+$H$2,$P$2,0),IF(B80&lt;Dashboard!$I$6,0,IF(A80&gt;=$F$2,Dashboard!$C$23*POWER(1+$C$2,A80-$F$2),Dashboard!$C$23)))</f>
        <v>0</v>
      </c>
      <c r="E80" s="24">
        <f>IF(A80&gt;=$F$2,0,IF(A80=0,Dashboard!$G$10,IF(B80&lt;Dashboard!$I$6,IF($J$2&lt;=Dashboard!$H$10,Dashboard!$H$10,MAX(Dashboard!$H$10,MIN($J$2,Dashboard!$H$10*POWER($J$2/Dashboard!$H$10,A80/$D$2)))),$I$2-D80-Dashboard!$I$10-Dashboard!$J$10-Dashboard!$F$10*$I$2)))</f>
        <v>1582.4947900602776</v>
      </c>
      <c r="F80" s="24">
        <f t="shared" si="12"/>
        <v>0</v>
      </c>
      <c r="G80" s="24">
        <f t="shared" si="13"/>
        <v>0</v>
      </c>
      <c r="H80" s="24">
        <f t="shared" si="14"/>
        <v>0</v>
      </c>
      <c r="I80" s="24">
        <f t="shared" si="15"/>
        <v>1582.4947900602776</v>
      </c>
      <c r="J80" s="25">
        <f t="shared" si="16"/>
        <v>7.9741404289037643E-3</v>
      </c>
      <c r="K80" s="24">
        <f t="shared" si="21"/>
        <v>274965.88346522243</v>
      </c>
      <c r="L80" s="24" t="str">
        <f t="shared" si="17"/>
        <v/>
      </c>
      <c r="M80" s="24">
        <f t="shared" si="18"/>
        <v>1686.3099879597403</v>
      </c>
      <c r="N80" s="24">
        <f>IF(M80&lt;=0,0,IF($E$2-A80&lt;12,(M80-E80)*Dashboard!$B$18,IF($Q$2+A80&gt;=$R$2,MAX(0,M80-E80*POWER(1+$C$2,$E$2-A80))*MAX(Dashboard!$C$18,Dashboard!$B$18),IF($S$2&lt;$R$2,(M80-E80)*0.5*Dashboard!$B$18,(E80*POWER(1+$A$2,$R$2-($Q$2+A80))-E80)*0.5*Dashboard!$B$18+MAX(0,M80-E80*POWER(1+$A$2,$R$2-($Q$2+A80))*POWER(1+$C$2,$S$2-$R$2))*MAX(Dashboard!$C$18,Dashboard!$B$18)))))</f>
        <v>48.793143012747443</v>
      </c>
    </row>
    <row r="81" spans="1:14" x14ac:dyDescent="0.2">
      <c r="A81" s="22">
        <f t="shared" si="19"/>
        <v>76</v>
      </c>
      <c r="B81" s="23">
        <f t="shared" si="20"/>
        <v>24.388127853881187</v>
      </c>
      <c r="C81" t="str">
        <f t="shared" si="11"/>
        <v>24 y 4.66 m</v>
      </c>
      <c r="D81" s="24">
        <f>IF(A81&gt;=$E$2,IF(A81&lt;$E$2+$H$2,$P$2,0),IF(B81&lt;Dashboard!$I$6,0,IF(A81&gt;=$F$2,Dashboard!$C$23*POWER(1+$C$2,A81-$F$2),Dashboard!$C$23)))</f>
        <v>0</v>
      </c>
      <c r="E81" s="24">
        <f>IF(A81&gt;=$F$2,0,IF(A81=0,Dashboard!$G$10,IF(B81&lt;Dashboard!$I$6,IF($J$2&lt;=Dashboard!$H$10,Dashboard!$H$10,MAX(Dashboard!$H$10,MIN($J$2,Dashboard!$H$10*POWER($J$2/Dashboard!$H$10,A81/$D$2)))),$I$2-D81-Dashboard!$I$10-Dashboard!$J$10-Dashboard!$F$10*$I$2)))</f>
        <v>1606.9927571055541</v>
      </c>
      <c r="F81" s="24">
        <f t="shared" si="12"/>
        <v>0</v>
      </c>
      <c r="G81" s="24">
        <f t="shared" si="13"/>
        <v>0</v>
      </c>
      <c r="H81" s="24">
        <f t="shared" si="14"/>
        <v>0</v>
      </c>
      <c r="I81" s="24">
        <f t="shared" si="15"/>
        <v>1606.9927571055541</v>
      </c>
      <c r="J81" s="25">
        <f t="shared" si="16"/>
        <v>7.9741404289037643E-3</v>
      </c>
      <c r="K81" s="24">
        <f t="shared" si="21"/>
        <v>278778.30717615067</v>
      </c>
      <c r="L81" s="24" t="str">
        <f t="shared" si="17"/>
        <v/>
      </c>
      <c r="M81" s="24">
        <f t="shared" si="18"/>
        <v>1698.8680639274835</v>
      </c>
      <c r="N81" s="24">
        <f>IF(M81&lt;=0,0,IF($E$2-A81&lt;12,(M81-E81)*Dashboard!$B$18,IF($Q$2+A81&gt;=$R$2,MAX(0,M81-E81*POWER(1+$C$2,$E$2-A81))*MAX(Dashboard!$C$18,Dashboard!$B$18),IF($S$2&lt;$R$2,(M81-E81)*0.5*Dashboard!$B$18,(E81*POWER(1+$A$2,$R$2-($Q$2+A81))-E81)*0.5*Dashboard!$B$18+MAX(0,M81-E81*POWER(1+$A$2,$R$2-($Q$2+A81))*POWER(1+$C$2,$S$2-$R$2))*MAX(Dashboard!$C$18,Dashboard!$B$18)))))</f>
        <v>43.181394206306798</v>
      </c>
    </row>
    <row r="82" spans="1:14" x14ac:dyDescent="0.2">
      <c r="A82" s="22">
        <f t="shared" si="19"/>
        <v>77</v>
      </c>
      <c r="B82" s="23">
        <f t="shared" si="20"/>
        <v>24.471461187214519</v>
      </c>
      <c r="C82" t="str">
        <f t="shared" si="11"/>
        <v>24 y 5.66 m</v>
      </c>
      <c r="D82" s="24">
        <f>IF(A82&gt;=$E$2,IF(A82&lt;$E$2+$H$2,$P$2,0),IF(B82&lt;Dashboard!$I$6,0,IF(A82&gt;=$F$2,Dashboard!$C$23*POWER(1+$C$2,A82-$F$2),Dashboard!$C$23)))</f>
        <v>0</v>
      </c>
      <c r="E82" s="24">
        <f>IF(A82&gt;=$F$2,0,IF(A82=0,Dashboard!$G$10,IF(B82&lt;Dashboard!$I$6,IF($J$2&lt;=Dashboard!$H$10,Dashboard!$H$10,MAX(Dashboard!$H$10,MIN($J$2,Dashboard!$H$10*POWER($J$2/Dashboard!$H$10,A82/$D$2)))),$I$2-D82-Dashboard!$I$10-Dashboard!$J$10-Dashboard!$F$10*$I$2)))</f>
        <v>1631.8699673515803</v>
      </c>
      <c r="F82" s="24">
        <f t="shared" si="12"/>
        <v>0</v>
      </c>
      <c r="G82" s="24">
        <f t="shared" si="13"/>
        <v>0</v>
      </c>
      <c r="H82" s="24">
        <f t="shared" si="14"/>
        <v>0</v>
      </c>
      <c r="I82" s="24">
        <f t="shared" si="15"/>
        <v>1631.8699673515803</v>
      </c>
      <c r="J82" s="25">
        <f t="shared" si="16"/>
        <v>7.9741404289037643E-3</v>
      </c>
      <c r="K82" s="24">
        <f t="shared" si="21"/>
        <v>282646.20727373834</v>
      </c>
      <c r="L82" s="24" t="str">
        <f t="shared" si="17"/>
        <v/>
      </c>
      <c r="M82" s="24">
        <f t="shared" si="18"/>
        <v>1711.519660821474</v>
      </c>
      <c r="N82" s="24">
        <f>IF(M82&lt;=0,0,IF($E$2-A82&lt;12,(M82-E82)*Dashboard!$B$18,IF($Q$2+A82&gt;=$R$2,MAX(0,M82-E82*POWER(1+$C$2,$E$2-A82))*MAX(Dashboard!$C$18,Dashboard!$B$18),IF($S$2&lt;$R$2,(M82-E82)*0.5*Dashboard!$B$18,(E82*POWER(1+$A$2,$R$2-($Q$2+A82))-E82)*0.5*Dashboard!$B$18+MAX(0,M82-E82*POWER(1+$A$2,$R$2-($Q$2+A82))*POWER(1+$C$2,$S$2-$R$2))*MAX(Dashboard!$C$18,Dashboard!$B$18)))))</f>
        <v>37.435355930850029</v>
      </c>
    </row>
    <row r="83" spans="1:14" x14ac:dyDescent="0.2">
      <c r="A83" s="22">
        <f t="shared" si="19"/>
        <v>78</v>
      </c>
      <c r="B83" s="23">
        <f t="shared" si="20"/>
        <v>24.554794520547851</v>
      </c>
      <c r="C83" t="str">
        <f t="shared" si="11"/>
        <v>24 y 6.66 m</v>
      </c>
      <c r="D83" s="24">
        <f>IF(A83&gt;=$E$2,IF(A83&lt;$E$2+$H$2,$P$2,0),IF(B83&lt;Dashboard!$I$6,0,IF(A83&gt;=$F$2,Dashboard!$C$23*POWER(1+$C$2,A83-$F$2),Dashboard!$C$23)))</f>
        <v>0</v>
      </c>
      <c r="E83" s="24">
        <f>IF(A83&gt;=$F$2,0,IF(A83=0,Dashboard!$G$10,IF(B83&lt;Dashboard!$I$6,IF($J$2&lt;=Dashboard!$H$10,Dashboard!$H$10,MAX(Dashboard!$H$10,MIN($J$2,Dashboard!$H$10*POWER($J$2/Dashboard!$H$10,A83/$D$2)))),$I$2-D83-Dashboard!$I$10-Dashboard!$J$10-Dashboard!$F$10*$I$2)))</f>
        <v>1657.132291710217</v>
      </c>
      <c r="F83" s="24">
        <f t="shared" si="12"/>
        <v>0</v>
      </c>
      <c r="G83" s="24">
        <f t="shared" si="13"/>
        <v>0</v>
      </c>
      <c r="H83" s="24">
        <f t="shared" si="14"/>
        <v>0</v>
      </c>
      <c r="I83" s="24">
        <f t="shared" si="15"/>
        <v>1657.132291710217</v>
      </c>
      <c r="J83" s="25">
        <f t="shared" si="16"/>
        <v>7.9741404289037643E-3</v>
      </c>
      <c r="K83" s="24">
        <f t="shared" si="21"/>
        <v>286570.4143195498</v>
      </c>
      <c r="L83" s="24" t="str">
        <f t="shared" si="17"/>
        <v/>
      </c>
      <c r="M83" s="24">
        <f t="shared" si="18"/>
        <v>1724.2654750990066</v>
      </c>
      <c r="N83" s="24">
        <f>IF(M83&lt;=0,0,IF($E$2-A83&lt;12,(M83-E83)*Dashboard!$B$18,IF($Q$2+A83&gt;=$R$2,MAX(0,M83-E83*POWER(1+$C$2,$E$2-A83))*MAX(Dashboard!$C$18,Dashboard!$B$18),IF($S$2&lt;$R$2,(M83-E83)*0.5*Dashboard!$B$18,(E83*POWER(1+$A$2,$R$2-($Q$2+A83))-E83)*0.5*Dashboard!$B$18+MAX(0,M83-E83*POWER(1+$A$2,$R$2-($Q$2+A83))*POWER(1+$C$2,$S$2-$R$2))*MAX(Dashboard!$C$18,Dashboard!$B$18)))))</f>
        <v>31.552596192731098</v>
      </c>
    </row>
    <row r="84" spans="1:14" x14ac:dyDescent="0.2">
      <c r="A84" s="22">
        <f t="shared" si="19"/>
        <v>79</v>
      </c>
      <c r="B84" s="23">
        <f t="shared" si="20"/>
        <v>24.638127853881183</v>
      </c>
      <c r="C84" t="str">
        <f t="shared" si="11"/>
        <v>24 y 7.66 m</v>
      </c>
      <c r="D84" s="24">
        <f>IF(A84&gt;=$E$2,IF(A84&lt;$E$2+$H$2,$P$2,0),IF(B84&lt;Dashboard!$I$6,0,IF(A84&gt;=$F$2,Dashboard!$C$23*POWER(1+$C$2,A84-$F$2),Dashboard!$C$23)))</f>
        <v>0</v>
      </c>
      <c r="E84" s="24">
        <f>IF(A84&gt;=$F$2,0,IF(A84=0,Dashboard!$G$10,IF(B84&lt;Dashboard!$I$6,IF($J$2&lt;=Dashboard!$H$10,Dashboard!$H$10,MAX(Dashboard!$H$10,MIN($J$2,Dashboard!$H$10*POWER($J$2/Dashboard!$H$10,A84/$D$2)))),$I$2-D84-Dashboard!$I$10-Dashboard!$J$10-Dashboard!$F$10*$I$2)))</f>
        <v>1682.7856919785577</v>
      </c>
      <c r="F84" s="24">
        <f t="shared" si="12"/>
        <v>0</v>
      </c>
      <c r="G84" s="24">
        <f t="shared" si="13"/>
        <v>0</v>
      </c>
      <c r="H84" s="24">
        <f t="shared" si="14"/>
        <v>0</v>
      </c>
      <c r="I84" s="24">
        <f t="shared" si="15"/>
        <v>1682.7856919785577</v>
      </c>
      <c r="J84" s="25">
        <f t="shared" si="16"/>
        <v>7.9741404289037643E-3</v>
      </c>
      <c r="K84" s="24">
        <f t="shared" si="21"/>
        <v>290551.77150750119</v>
      </c>
      <c r="L84" s="24" t="str">
        <f t="shared" si="17"/>
        <v/>
      </c>
      <c r="M84" s="24">
        <f t="shared" si="18"/>
        <v>1737.1062084039484</v>
      </c>
      <c r="N84" s="24">
        <f>IF(M84&lt;=0,0,IF($E$2-A84&lt;12,(M84-E84)*Dashboard!$B$18,IF($Q$2+A84&gt;=$R$2,MAX(0,M84-E84*POWER(1+$C$2,$E$2-A84))*MAX(Dashboard!$C$18,Dashboard!$B$18),IF($S$2&lt;$R$2,(M84-E84)*0.5*Dashboard!$B$18,(E84*POWER(1+$A$2,$R$2-($Q$2+A84))-E84)*0.5*Dashboard!$B$18+MAX(0,M84-E84*POWER(1+$A$2,$R$2-($Q$2+A84))*POWER(1+$C$2,$S$2-$R$2))*MAX(Dashboard!$C$18,Dashboard!$B$18)))))</f>
        <v>25.530642719933617</v>
      </c>
    </row>
    <row r="85" spans="1:14" x14ac:dyDescent="0.2">
      <c r="A85" s="22">
        <f t="shared" si="19"/>
        <v>80</v>
      </c>
      <c r="B85" s="23">
        <f t="shared" si="20"/>
        <v>24.721461187214516</v>
      </c>
      <c r="C85" t="str">
        <f t="shared" si="11"/>
        <v>24 y 8.66 m</v>
      </c>
      <c r="D85" s="24">
        <f>IF(A85&gt;=$E$2,IF(A85&lt;$E$2+$H$2,$P$2,0),IF(B85&lt;Dashboard!$I$6,0,IF(A85&gt;=$F$2,Dashboard!$C$23*POWER(1+$C$2,A85-$F$2),Dashboard!$C$23)))</f>
        <v>0</v>
      </c>
      <c r="E85" s="24">
        <f>IF(A85&gt;=$F$2,0,IF(A85=0,Dashboard!$G$10,IF(B85&lt;Dashboard!$I$6,IF($J$2&lt;=Dashboard!$H$10,Dashboard!$H$10,MAX(Dashboard!$H$10,MIN($J$2,Dashboard!$H$10*POWER($J$2/Dashboard!$H$10,A85/$D$2)))),$I$2-D85-Dashboard!$I$10-Dashboard!$J$10-Dashboard!$F$10*$I$2)))</f>
        <v>1708.8362222458859</v>
      </c>
      <c r="F85" s="24">
        <f t="shared" si="12"/>
        <v>0</v>
      </c>
      <c r="G85" s="24">
        <f t="shared" si="13"/>
        <v>0</v>
      </c>
      <c r="H85" s="24">
        <f t="shared" si="14"/>
        <v>0</v>
      </c>
      <c r="I85" s="24">
        <f t="shared" si="15"/>
        <v>1708.8362222458859</v>
      </c>
      <c r="J85" s="25">
        <f t="shared" si="16"/>
        <v>7.9741404289037643E-3</v>
      </c>
      <c r="K85" s="24">
        <f t="shared" si="21"/>
        <v>294591.13485762081</v>
      </c>
      <c r="L85" s="24" t="str">
        <f t="shared" si="17"/>
        <v/>
      </c>
      <c r="M85" s="24">
        <f t="shared" si="18"/>
        <v>1750.042567605361</v>
      </c>
      <c r="N85" s="24">
        <f>IF(M85&lt;=0,0,IF($E$2-A85&lt;12,(M85-E85)*Dashboard!$B$18,IF($Q$2+A85&gt;=$R$2,MAX(0,M85-E85*POWER(1+$C$2,$E$2-A85))*MAX(Dashboard!$C$18,Dashboard!$B$18),IF($S$2&lt;$R$2,(M85-E85)*0.5*Dashboard!$B$18,(E85*POWER(1+$A$2,$R$2-($Q$2+A85))-E85)*0.5*Dashboard!$B$18+MAX(0,M85-E85*POWER(1+$A$2,$R$2-($Q$2+A85))*POWER(1+$C$2,$S$2-$R$2))*MAX(Dashboard!$C$18,Dashboard!$B$18)))))</f>
        <v>19.366982318953301</v>
      </c>
    </row>
    <row r="86" spans="1:14" x14ac:dyDescent="0.2">
      <c r="A86" s="22">
        <f t="shared" si="19"/>
        <v>81</v>
      </c>
      <c r="B86" s="23">
        <f t="shared" si="20"/>
        <v>24.804794520547848</v>
      </c>
      <c r="C86" t="str">
        <f t="shared" si="11"/>
        <v>24 y 9.66 m</v>
      </c>
      <c r="D86" s="24">
        <f>IF(A86&gt;=$E$2,IF(A86&lt;$E$2+$H$2,$P$2,0),IF(B86&lt;Dashboard!$I$6,0,IF(A86&gt;=$F$2,Dashboard!$C$23*POWER(1+$C$2,A86-$F$2),Dashboard!$C$23)))</f>
        <v>0</v>
      </c>
      <c r="E86" s="24">
        <f>IF(A86&gt;=$F$2,0,IF(A86=0,Dashboard!$G$10,IF(B86&lt;Dashboard!$I$6,IF($J$2&lt;=Dashboard!$H$10,Dashboard!$H$10,MAX(Dashboard!$H$10,MIN($J$2,Dashboard!$H$10*POWER($J$2/Dashboard!$H$10,A86/$D$2)))),$I$2-D86-Dashboard!$I$10-Dashboard!$J$10-Dashboard!$F$10*$I$2)))</f>
        <v>1735.2900303224103</v>
      </c>
      <c r="F86" s="24">
        <f t="shared" si="12"/>
        <v>0</v>
      </c>
      <c r="G86" s="24">
        <f t="shared" si="13"/>
        <v>0</v>
      </c>
      <c r="H86" s="24">
        <f t="shared" si="14"/>
        <v>0</v>
      </c>
      <c r="I86" s="24">
        <f t="shared" si="15"/>
        <v>1735.2900303224103</v>
      </c>
      <c r="J86" s="25">
        <f t="shared" si="16"/>
        <v>7.9741404289037643E-3</v>
      </c>
      <c r="K86" s="24">
        <f t="shared" si="21"/>
        <v>298689.37341279467</v>
      </c>
      <c r="L86" s="24" t="str">
        <f t="shared" si="17"/>
        <v/>
      </c>
      <c r="M86" s="24">
        <f t="shared" si="18"/>
        <v>1763.07526483641</v>
      </c>
      <c r="N86" s="24">
        <f>IF(M86&lt;=0,0,IF($E$2-A86&lt;12,(M86-E86)*Dashboard!$B$18,IF($Q$2+A86&gt;=$R$2,MAX(0,M86-E86*POWER(1+$C$2,$E$2-A86))*MAX(Dashboard!$C$18,Dashboard!$B$18),IF($S$2&lt;$R$2,(M86-E86)*0.5*Dashboard!$B$18,(E86*POWER(1+$A$2,$R$2-($Q$2+A86))-E86)*0.5*Dashboard!$B$18+MAX(0,M86-E86*POWER(1+$A$2,$R$2-($Q$2+A86))*POWER(1+$C$2,$S$2-$R$2))*MAX(Dashboard!$C$18,Dashboard!$B$18)))))</f>
        <v>13.059060221579877</v>
      </c>
    </row>
    <row r="87" spans="1:14" x14ac:dyDescent="0.2">
      <c r="A87" s="22">
        <f t="shared" si="19"/>
        <v>82</v>
      </c>
      <c r="B87" s="23">
        <f t="shared" si="20"/>
        <v>24.88812785388118</v>
      </c>
      <c r="C87" t="str">
        <f t="shared" si="11"/>
        <v>24 y 10.66 m</v>
      </c>
      <c r="D87" s="24">
        <f>IF(A87&gt;=$E$2,IF(A87&lt;$E$2+$H$2,$P$2,0),IF(B87&lt;Dashboard!$I$6,0,IF(A87&gt;=$F$2,Dashboard!$C$23*POWER(1+$C$2,A87-$F$2),Dashboard!$C$23)))</f>
        <v>0</v>
      </c>
      <c r="E87" s="24">
        <f>IF(A87&gt;=$F$2,0,IF(A87=0,Dashboard!$G$10,IF(B87&lt;Dashboard!$I$6,IF($J$2&lt;=Dashboard!$H$10,Dashboard!$H$10,MAX(Dashboard!$H$10,MIN($J$2,Dashboard!$H$10*POWER($J$2/Dashboard!$H$10,A87/$D$2)))),$I$2-D87-Dashboard!$I$10-Dashboard!$J$10-Dashboard!$F$10*$I$2)))</f>
        <v>1762.1533591901257</v>
      </c>
      <c r="F87" s="24">
        <f t="shared" si="12"/>
        <v>0</v>
      </c>
      <c r="G87" s="24">
        <f t="shared" si="13"/>
        <v>0</v>
      </c>
      <c r="H87" s="24">
        <f t="shared" si="14"/>
        <v>0</v>
      </c>
      <c r="I87" s="24">
        <f t="shared" si="15"/>
        <v>1762.1533591901257</v>
      </c>
      <c r="J87" s="25">
        <f t="shared" si="16"/>
        <v>7.9741404289037643E-3</v>
      </c>
      <c r="K87" s="24">
        <f t="shared" si="21"/>
        <v>302847.36943854316</v>
      </c>
      <c r="L87" s="24" t="str">
        <f t="shared" si="17"/>
        <v/>
      </c>
      <c r="M87" s="24">
        <f t="shared" si="18"/>
        <v>1776.2050175335723</v>
      </c>
      <c r="N87" s="24">
        <f>IF(M87&lt;=0,0,IF($E$2-A87&lt;12,(M87-E87)*Dashboard!$B$18,IF($Q$2+A87&gt;=$R$2,MAX(0,M87-E87*POWER(1+$C$2,$E$2-A87))*MAX(Dashboard!$C$18,Dashboard!$B$18),IF($S$2&lt;$R$2,(M87-E87)*0.5*Dashboard!$B$18,(E87*POWER(1+$A$2,$R$2-($Q$2+A87))-E87)*0.5*Dashboard!$B$18+MAX(0,M87-E87*POWER(1+$A$2,$R$2-($Q$2+A87))*POWER(1+$C$2,$S$2-$R$2))*MAX(Dashboard!$C$18,Dashboard!$B$18)))))</f>
        <v>6.6042794214199301</v>
      </c>
    </row>
    <row r="88" spans="1:14" x14ac:dyDescent="0.2">
      <c r="A88" s="22">
        <f t="shared" si="19"/>
        <v>83</v>
      </c>
      <c r="B88" s="23">
        <f t="shared" si="20"/>
        <v>24.971461187214512</v>
      </c>
      <c r="C88" t="str">
        <f t="shared" si="11"/>
        <v>24 y 11.66 m</v>
      </c>
      <c r="D88" s="24">
        <f>IF(A88&gt;=$E$2,IF(A88&lt;$E$2+$H$2,$P$2,0),IF(B88&lt;Dashboard!$I$6,0,IF(A88&gt;=$F$2,Dashboard!$C$23*POWER(1+$C$2,A88-$F$2),Dashboard!$C$23)))</f>
        <v>5092.3674515238745</v>
      </c>
      <c r="E88" s="24">
        <f>IF(A88&gt;=$F$2,0,IF(A88=0,Dashboard!$G$10,IF(B88&lt;Dashboard!$I$6,IF($J$2&lt;=Dashboard!$H$10,Dashboard!$H$10,MAX(Dashboard!$H$10,MIN($J$2,Dashboard!$H$10*POWER($J$2/Dashboard!$H$10,A88/$D$2)))),$I$2-D88-Dashboard!$I$10-Dashboard!$J$10-Dashboard!$F$10*$I$2)))</f>
        <v>1789.4325484761255</v>
      </c>
      <c r="F88" s="24">
        <f t="shared" si="12"/>
        <v>0</v>
      </c>
      <c r="G88" s="24">
        <f t="shared" si="13"/>
        <v>0</v>
      </c>
      <c r="H88" s="24">
        <f t="shared" si="14"/>
        <v>51751.156207676788</v>
      </c>
      <c r="I88" s="24">
        <f t="shared" si="15"/>
        <v>-49961.723659200659</v>
      </c>
      <c r="J88" s="25">
        <f t="shared" si="16"/>
        <v>7.9741404289037643E-3</v>
      </c>
      <c r="K88" s="24">
        <f t="shared" si="21"/>
        <v>254902.19143124099</v>
      </c>
      <c r="L88" s="24" t="str">
        <f t="shared" si="17"/>
        <v/>
      </c>
      <c r="M88" s="24">
        <f t="shared" si="18"/>
        <v>0</v>
      </c>
      <c r="N88" s="24">
        <f>IF(M88&lt;=0,0,IF($E$2-A88&lt;12,(M88-E88)*Dashboard!$B$18,IF($Q$2+A88&gt;=$R$2,MAX(0,M88-E88*POWER(1+$C$2,$E$2-A88))*MAX(Dashboard!$C$18,Dashboard!$B$18),IF($S$2&lt;$R$2,(M88-E88)*0.5*Dashboard!$B$18,(E88*POWER(1+$A$2,$R$2-($Q$2+A88))-E88)*0.5*Dashboard!$B$18+MAX(0,M88-E88*POWER(1+$A$2,$R$2-($Q$2+A88))*POWER(1+$C$2,$S$2-$R$2))*MAX(Dashboard!$C$18,Dashboard!$B$18)))))</f>
        <v>0</v>
      </c>
    </row>
    <row r="89" spans="1:14" x14ac:dyDescent="0.2">
      <c r="A89" s="22">
        <f t="shared" si="19"/>
        <v>84</v>
      </c>
      <c r="B89" s="23">
        <f t="shared" si="20"/>
        <v>25.054794520547844</v>
      </c>
      <c r="C89" t="str">
        <f t="shared" si="11"/>
        <v>25 y 0.66 m</v>
      </c>
      <c r="D89" s="24">
        <f>IF(A89&gt;=$E$2,IF(A89&lt;$E$2+$H$2,$P$2,0),IF(B89&lt;Dashboard!$I$6,0,IF(A89&gt;=$F$2,Dashboard!$C$23*POWER(1+$C$2,A89-$F$2),Dashboard!$C$23)))</f>
        <v>5092.3674515238745</v>
      </c>
      <c r="E89" s="24">
        <f>IF(A89&gt;=$F$2,0,IF(A89=0,Dashboard!$G$10,IF(B89&lt;Dashboard!$I$6,IF($J$2&lt;=Dashboard!$H$10,Dashboard!$H$10,MAX(Dashboard!$H$10,MIN($J$2,Dashboard!$H$10*POWER($J$2/Dashboard!$H$10,A89/$D$2)))),$I$2-D89-Dashboard!$I$10-Dashboard!$J$10-Dashboard!$F$10*$I$2)))</f>
        <v>1789.4325484761255</v>
      </c>
      <c r="F89" s="24">
        <f t="shared" si="12"/>
        <v>0</v>
      </c>
      <c r="G89" s="24">
        <f t="shared" si="13"/>
        <v>0</v>
      </c>
      <c r="H89" s="24">
        <f t="shared" si="14"/>
        <v>0</v>
      </c>
      <c r="I89" s="24">
        <f t="shared" si="15"/>
        <v>1789.4325484761255</v>
      </c>
      <c r="J89" s="25">
        <f t="shared" si="16"/>
        <v>7.9741404289037643E-3</v>
      </c>
      <c r="K89" s="24">
        <f t="shared" si="21"/>
        <v>258738.51903625473</v>
      </c>
      <c r="L89" s="24" t="str">
        <f t="shared" si="17"/>
        <v/>
      </c>
      <c r="M89" s="24">
        <f t="shared" si="18"/>
        <v>0</v>
      </c>
      <c r="N89" s="24">
        <f>IF(M89&lt;=0,0,IF($E$2-A89&lt;12,(M89-E89)*Dashboard!$B$18,IF($Q$2+A89&gt;=$R$2,MAX(0,M89-E89*POWER(1+$C$2,$E$2-A89))*MAX(Dashboard!$C$18,Dashboard!$B$18),IF($S$2&lt;$R$2,(M89-E89)*0.5*Dashboard!$B$18,(E89*POWER(1+$A$2,$R$2-($Q$2+A89))-E89)*0.5*Dashboard!$B$18+MAX(0,M89-E89*POWER(1+$A$2,$R$2-($Q$2+A89))*POWER(1+$C$2,$S$2-$R$2))*MAX(Dashboard!$C$18,Dashboard!$B$18)))))</f>
        <v>0</v>
      </c>
    </row>
    <row r="90" spans="1:14" x14ac:dyDescent="0.2">
      <c r="A90" s="22">
        <f t="shared" si="19"/>
        <v>85</v>
      </c>
      <c r="B90" s="23">
        <f t="shared" si="20"/>
        <v>25.138127853881176</v>
      </c>
      <c r="C90" t="str">
        <f t="shared" si="11"/>
        <v>25 y 1.66 m</v>
      </c>
      <c r="D90" s="24">
        <f>IF(A90&gt;=$E$2,IF(A90&lt;$E$2+$H$2,$P$2,0),IF(B90&lt;Dashboard!$I$6,0,IF(A90&gt;=$F$2,Dashboard!$C$23*POWER(1+$C$2,A90-$F$2),Dashboard!$C$23)))</f>
        <v>5092.3674515238745</v>
      </c>
      <c r="E90" s="24">
        <f>IF(A90&gt;=$F$2,0,IF(A90=0,Dashboard!$G$10,IF(B90&lt;Dashboard!$I$6,IF($J$2&lt;=Dashboard!$H$10,Dashboard!$H$10,MAX(Dashboard!$H$10,MIN($J$2,Dashboard!$H$10*POWER($J$2/Dashboard!$H$10,A90/$D$2)))),$I$2-D90-Dashboard!$I$10-Dashboard!$J$10-Dashboard!$F$10*$I$2)))</f>
        <v>1789.4325484761255</v>
      </c>
      <c r="F90" s="24">
        <f t="shared" si="12"/>
        <v>0</v>
      </c>
      <c r="G90" s="24">
        <f t="shared" si="13"/>
        <v>0</v>
      </c>
      <c r="H90" s="24">
        <f t="shared" si="14"/>
        <v>0</v>
      </c>
      <c r="I90" s="24">
        <f t="shared" si="15"/>
        <v>1789.4325484761255</v>
      </c>
      <c r="J90" s="25">
        <f t="shared" si="16"/>
        <v>7.9741404289037643E-3</v>
      </c>
      <c r="K90" s="24">
        <f t="shared" si="21"/>
        <v>262605.43805632216</v>
      </c>
      <c r="L90" s="24" t="str">
        <f t="shared" si="17"/>
        <v/>
      </c>
      <c r="M90" s="24">
        <f t="shared" si="18"/>
        <v>0</v>
      </c>
      <c r="N90" s="24">
        <f>IF(M90&lt;=0,0,IF($E$2-A90&lt;12,(M90-E90)*Dashboard!$B$18,IF($Q$2+A90&gt;=$R$2,MAX(0,M90-E90*POWER(1+$C$2,$E$2-A90))*MAX(Dashboard!$C$18,Dashboard!$B$18),IF($S$2&lt;$R$2,(M90-E90)*0.5*Dashboard!$B$18,(E90*POWER(1+$A$2,$R$2-($Q$2+A90))-E90)*0.5*Dashboard!$B$18+MAX(0,M90-E90*POWER(1+$A$2,$R$2-($Q$2+A90))*POWER(1+$C$2,$S$2-$R$2))*MAX(Dashboard!$C$18,Dashboard!$B$18)))))</f>
        <v>0</v>
      </c>
    </row>
    <row r="91" spans="1:14" x14ac:dyDescent="0.2">
      <c r="A91" s="22">
        <f t="shared" si="19"/>
        <v>86</v>
      </c>
      <c r="B91" s="23">
        <f t="shared" si="20"/>
        <v>25.221461187214508</v>
      </c>
      <c r="C91" t="str">
        <f t="shared" si="11"/>
        <v>25 y 2.66 m</v>
      </c>
      <c r="D91" s="24">
        <f>IF(A91&gt;=$E$2,IF(A91&lt;$E$2+$H$2,$P$2,0),IF(B91&lt;Dashboard!$I$6,0,IF(A91&gt;=$F$2,Dashboard!$C$23*POWER(1+$C$2,A91-$F$2),Dashboard!$C$23)))</f>
        <v>5092.3674515238745</v>
      </c>
      <c r="E91" s="24">
        <f>IF(A91&gt;=$F$2,0,IF(A91=0,Dashboard!$G$10,IF(B91&lt;Dashboard!$I$6,IF($J$2&lt;=Dashboard!$H$10,Dashboard!$H$10,MAX(Dashboard!$H$10,MIN($J$2,Dashboard!$H$10*POWER($J$2/Dashboard!$H$10,A91/$D$2)))),$I$2-D91-Dashboard!$I$10-Dashboard!$J$10-Dashboard!$F$10*$I$2)))</f>
        <v>1789.4325484761255</v>
      </c>
      <c r="F91" s="24">
        <f t="shared" si="12"/>
        <v>0</v>
      </c>
      <c r="G91" s="24">
        <f t="shared" si="13"/>
        <v>0</v>
      </c>
      <c r="H91" s="24">
        <f t="shared" si="14"/>
        <v>0</v>
      </c>
      <c r="I91" s="24">
        <f t="shared" si="15"/>
        <v>1789.4325484761255</v>
      </c>
      <c r="J91" s="25">
        <f t="shared" si="16"/>
        <v>7.9741404289037643E-3</v>
      </c>
      <c r="K91" s="24">
        <f t="shared" si="21"/>
        <v>266503.19243168284</v>
      </c>
      <c r="L91" s="24" t="str">
        <f t="shared" si="17"/>
        <v/>
      </c>
      <c r="M91" s="24">
        <f t="shared" si="18"/>
        <v>0</v>
      </c>
      <c r="N91" s="24">
        <f>IF(M91&lt;=0,0,IF($E$2-A91&lt;12,(M91-E91)*Dashboard!$B$18,IF($Q$2+A91&gt;=$R$2,MAX(0,M91-E91*POWER(1+$C$2,$E$2-A91))*MAX(Dashboard!$C$18,Dashboard!$B$18),IF($S$2&lt;$R$2,(M91-E91)*0.5*Dashboard!$B$18,(E91*POWER(1+$A$2,$R$2-($Q$2+A91))-E91)*0.5*Dashboard!$B$18+MAX(0,M91-E91*POWER(1+$A$2,$R$2-($Q$2+A91))*POWER(1+$C$2,$S$2-$R$2))*MAX(Dashboard!$C$18,Dashboard!$B$18)))))</f>
        <v>0</v>
      </c>
    </row>
    <row r="92" spans="1:14" x14ac:dyDescent="0.2">
      <c r="A92" s="22">
        <f t="shared" si="19"/>
        <v>87</v>
      </c>
      <c r="B92" s="23">
        <f t="shared" si="20"/>
        <v>25.304794520547841</v>
      </c>
      <c r="C92" t="str">
        <f t="shared" si="11"/>
        <v>25 y 3.66 m</v>
      </c>
      <c r="D92" s="24">
        <f>IF(A92&gt;=$E$2,IF(A92&lt;$E$2+$H$2,$P$2,0),IF(B92&lt;Dashboard!$I$6,0,IF(A92&gt;=$F$2,Dashboard!$C$23*POWER(1+$C$2,A92-$F$2),Dashboard!$C$23)))</f>
        <v>5092.3674515238745</v>
      </c>
      <c r="E92" s="24">
        <f>IF(A92&gt;=$F$2,0,IF(A92=0,Dashboard!$G$10,IF(B92&lt;Dashboard!$I$6,IF($J$2&lt;=Dashboard!$H$10,Dashboard!$H$10,MAX(Dashboard!$H$10,MIN($J$2,Dashboard!$H$10*POWER($J$2/Dashboard!$H$10,A92/$D$2)))),$I$2-D92-Dashboard!$I$10-Dashboard!$J$10-Dashboard!$F$10*$I$2)))</f>
        <v>1789.4325484761255</v>
      </c>
      <c r="F92" s="24">
        <f t="shared" si="12"/>
        <v>0</v>
      </c>
      <c r="G92" s="24">
        <f t="shared" si="13"/>
        <v>0</v>
      </c>
      <c r="H92" s="24">
        <f t="shared" si="14"/>
        <v>0</v>
      </c>
      <c r="I92" s="24">
        <f t="shared" si="15"/>
        <v>1789.4325484761255</v>
      </c>
      <c r="J92" s="25">
        <f t="shared" si="16"/>
        <v>7.9741404289037643E-3</v>
      </c>
      <c r="K92" s="24">
        <f t="shared" si="21"/>
        <v>270432.02804778999</v>
      </c>
      <c r="L92" s="24" t="str">
        <f t="shared" si="17"/>
        <v/>
      </c>
      <c r="M92" s="24">
        <f t="shared" si="18"/>
        <v>0</v>
      </c>
      <c r="N92" s="24">
        <f>IF(M92&lt;=0,0,IF($E$2-A92&lt;12,(M92-E92)*Dashboard!$B$18,IF($Q$2+A92&gt;=$R$2,MAX(0,M92-E92*POWER(1+$C$2,$E$2-A92))*MAX(Dashboard!$C$18,Dashboard!$B$18),IF($S$2&lt;$R$2,(M92-E92)*0.5*Dashboard!$B$18,(E92*POWER(1+$A$2,$R$2-($Q$2+A92))-E92)*0.5*Dashboard!$B$18+MAX(0,M92-E92*POWER(1+$A$2,$R$2-($Q$2+A92))*POWER(1+$C$2,$S$2-$R$2))*MAX(Dashboard!$C$18,Dashboard!$B$18)))))</f>
        <v>0</v>
      </c>
    </row>
    <row r="93" spans="1:14" x14ac:dyDescent="0.2">
      <c r="A93" s="22">
        <f t="shared" si="19"/>
        <v>88</v>
      </c>
      <c r="B93" s="23">
        <f t="shared" si="20"/>
        <v>25.388127853881173</v>
      </c>
      <c r="C93" t="str">
        <f t="shared" si="11"/>
        <v>25 y 4.66 m</v>
      </c>
      <c r="D93" s="24">
        <f>IF(A93&gt;=$E$2,IF(A93&lt;$E$2+$H$2,$P$2,0),IF(B93&lt;Dashboard!$I$6,0,IF(A93&gt;=$F$2,Dashboard!$C$23*POWER(1+$C$2,A93-$F$2),Dashboard!$C$23)))</f>
        <v>5092.3674515238745</v>
      </c>
      <c r="E93" s="24">
        <f>IF(A93&gt;=$F$2,0,IF(A93=0,Dashboard!$G$10,IF(B93&lt;Dashboard!$I$6,IF($J$2&lt;=Dashboard!$H$10,Dashboard!$H$10,MAX(Dashboard!$H$10,MIN($J$2,Dashboard!$H$10*POWER($J$2/Dashboard!$H$10,A93/$D$2)))),$I$2-D93-Dashboard!$I$10-Dashboard!$J$10-Dashboard!$F$10*$I$2)))</f>
        <v>1789.4325484761255</v>
      </c>
      <c r="F93" s="24">
        <f t="shared" si="12"/>
        <v>0</v>
      </c>
      <c r="G93" s="24">
        <f t="shared" si="13"/>
        <v>0</v>
      </c>
      <c r="H93" s="24">
        <f t="shared" si="14"/>
        <v>0</v>
      </c>
      <c r="I93" s="24">
        <f t="shared" si="15"/>
        <v>1789.4325484761255</v>
      </c>
      <c r="J93" s="25">
        <f t="shared" si="16"/>
        <v>7.9741404289037643E-3</v>
      </c>
      <c r="K93" s="24">
        <f t="shared" si="21"/>
        <v>274392.19275082205</v>
      </c>
      <c r="L93" s="24" t="str">
        <f t="shared" si="17"/>
        <v/>
      </c>
      <c r="M93" s="24">
        <f t="shared" si="18"/>
        <v>0</v>
      </c>
      <c r="N93" s="24">
        <f>IF(M93&lt;=0,0,IF($E$2-A93&lt;12,(M93-E93)*Dashboard!$B$18,IF($Q$2+A93&gt;=$R$2,MAX(0,M93-E93*POWER(1+$C$2,$E$2-A93))*MAX(Dashboard!$C$18,Dashboard!$B$18),IF($S$2&lt;$R$2,(M93-E93)*0.5*Dashboard!$B$18,(E93*POWER(1+$A$2,$R$2-($Q$2+A93))-E93)*0.5*Dashboard!$B$18+MAX(0,M93-E93*POWER(1+$A$2,$R$2-($Q$2+A93))*POWER(1+$C$2,$S$2-$R$2))*MAX(Dashboard!$C$18,Dashboard!$B$18)))))</f>
        <v>0</v>
      </c>
    </row>
    <row r="94" spans="1:14" x14ac:dyDescent="0.2">
      <c r="A94" s="22">
        <f t="shared" si="19"/>
        <v>89</v>
      </c>
      <c r="B94" s="23">
        <f t="shared" si="20"/>
        <v>25.471461187214505</v>
      </c>
      <c r="C94" t="str">
        <f t="shared" si="11"/>
        <v>25 y 5.66 m</v>
      </c>
      <c r="D94" s="24">
        <f>IF(A94&gt;=$E$2,IF(A94&lt;$E$2+$H$2,$P$2,0),IF(B94&lt;Dashboard!$I$6,0,IF(A94&gt;=$F$2,Dashboard!$C$23*POWER(1+$C$2,A94-$F$2),Dashboard!$C$23)))</f>
        <v>5092.3674515238745</v>
      </c>
      <c r="E94" s="24">
        <f>IF(A94&gt;=$F$2,0,IF(A94=0,Dashboard!$G$10,IF(B94&lt;Dashboard!$I$6,IF($J$2&lt;=Dashboard!$H$10,Dashboard!$H$10,MAX(Dashboard!$H$10,MIN($J$2,Dashboard!$H$10*POWER($J$2/Dashboard!$H$10,A94/$D$2)))),$I$2-D94-Dashboard!$I$10-Dashboard!$J$10-Dashboard!$F$10*$I$2)))</f>
        <v>1789.4325484761255</v>
      </c>
      <c r="F94" s="24">
        <f t="shared" si="12"/>
        <v>0</v>
      </c>
      <c r="G94" s="24">
        <f t="shared" si="13"/>
        <v>0</v>
      </c>
      <c r="H94" s="24">
        <f t="shared" si="14"/>
        <v>0</v>
      </c>
      <c r="I94" s="24">
        <f t="shared" si="15"/>
        <v>1789.4325484761255</v>
      </c>
      <c r="J94" s="25">
        <f t="shared" si="16"/>
        <v>7.9741404289037643E-3</v>
      </c>
      <c r="K94" s="24">
        <f t="shared" si="21"/>
        <v>278383.93636331771</v>
      </c>
      <c r="L94" s="24" t="str">
        <f t="shared" si="17"/>
        <v/>
      </c>
      <c r="M94" s="24">
        <f t="shared" si="18"/>
        <v>0</v>
      </c>
      <c r="N94" s="24">
        <f>IF(M94&lt;=0,0,IF($E$2-A94&lt;12,(M94-E94)*Dashboard!$B$18,IF($Q$2+A94&gt;=$R$2,MAX(0,M94-E94*POWER(1+$C$2,$E$2-A94))*MAX(Dashboard!$C$18,Dashboard!$B$18),IF($S$2&lt;$R$2,(M94-E94)*0.5*Dashboard!$B$18,(E94*POWER(1+$A$2,$R$2-($Q$2+A94))-E94)*0.5*Dashboard!$B$18+MAX(0,M94-E94*POWER(1+$A$2,$R$2-($Q$2+A94))*POWER(1+$C$2,$S$2-$R$2))*MAX(Dashboard!$C$18,Dashboard!$B$18)))))</f>
        <v>0</v>
      </c>
    </row>
    <row r="95" spans="1:14" x14ac:dyDescent="0.2">
      <c r="A95" s="22">
        <f t="shared" si="19"/>
        <v>90</v>
      </c>
      <c r="B95" s="23">
        <f t="shared" si="20"/>
        <v>25.554794520547837</v>
      </c>
      <c r="C95" t="str">
        <f t="shared" si="11"/>
        <v>25 y 6.66 m</v>
      </c>
      <c r="D95" s="24">
        <f>IF(A95&gt;=$E$2,IF(A95&lt;$E$2+$H$2,$P$2,0),IF(B95&lt;Dashboard!$I$6,0,IF(A95&gt;=$F$2,Dashboard!$C$23*POWER(1+$C$2,A95-$F$2),Dashboard!$C$23)))</f>
        <v>5092.3674515238745</v>
      </c>
      <c r="E95" s="24">
        <f>IF(A95&gt;=$F$2,0,IF(A95=0,Dashboard!$G$10,IF(B95&lt;Dashboard!$I$6,IF($J$2&lt;=Dashboard!$H$10,Dashboard!$H$10,MAX(Dashboard!$H$10,MIN($J$2,Dashboard!$H$10*POWER($J$2/Dashboard!$H$10,A95/$D$2)))),$I$2-D95-Dashboard!$I$10-Dashboard!$J$10-Dashboard!$F$10*$I$2)))</f>
        <v>1789.4325484761255</v>
      </c>
      <c r="F95" s="24">
        <f t="shared" si="12"/>
        <v>0</v>
      </c>
      <c r="G95" s="24">
        <f t="shared" si="13"/>
        <v>0</v>
      </c>
      <c r="H95" s="24">
        <f t="shared" si="14"/>
        <v>0</v>
      </c>
      <c r="I95" s="24">
        <f t="shared" si="15"/>
        <v>1789.4325484761255</v>
      </c>
      <c r="J95" s="25">
        <f t="shared" si="16"/>
        <v>7.9741404289037643E-3</v>
      </c>
      <c r="K95" s="24">
        <f t="shared" si="21"/>
        <v>282407.51069993555</v>
      </c>
      <c r="L95" s="24" t="str">
        <f t="shared" si="17"/>
        <v/>
      </c>
      <c r="M95" s="24">
        <f t="shared" si="18"/>
        <v>0</v>
      </c>
      <c r="N95" s="24">
        <f>IF(M95&lt;=0,0,IF($E$2-A95&lt;12,(M95-E95)*Dashboard!$B$18,IF($Q$2+A95&gt;=$R$2,MAX(0,M95-E95*POWER(1+$C$2,$E$2-A95))*MAX(Dashboard!$C$18,Dashboard!$B$18),IF($S$2&lt;$R$2,(M95-E95)*0.5*Dashboard!$B$18,(E95*POWER(1+$A$2,$R$2-($Q$2+A95))-E95)*0.5*Dashboard!$B$18+MAX(0,M95-E95*POWER(1+$A$2,$R$2-($Q$2+A95))*POWER(1+$C$2,$S$2-$R$2))*MAX(Dashboard!$C$18,Dashboard!$B$18)))))</f>
        <v>0</v>
      </c>
    </row>
    <row r="96" spans="1:14" x14ac:dyDescent="0.2">
      <c r="A96" s="22">
        <f t="shared" si="19"/>
        <v>91</v>
      </c>
      <c r="B96" s="23">
        <f t="shared" si="20"/>
        <v>25.638127853881169</v>
      </c>
      <c r="C96" t="str">
        <f t="shared" si="11"/>
        <v>25 y 7.66 m</v>
      </c>
      <c r="D96" s="24">
        <f>IF(A96&gt;=$E$2,IF(A96&lt;$E$2+$H$2,$P$2,0),IF(B96&lt;Dashboard!$I$6,0,IF(A96&gt;=$F$2,Dashboard!$C$23*POWER(1+$C$2,A96-$F$2),Dashboard!$C$23)))</f>
        <v>5092.3674515238745</v>
      </c>
      <c r="E96" s="24">
        <f>IF(A96&gt;=$F$2,0,IF(A96=0,Dashboard!$G$10,IF(B96&lt;Dashboard!$I$6,IF($J$2&lt;=Dashboard!$H$10,Dashboard!$H$10,MAX(Dashboard!$H$10,MIN($J$2,Dashboard!$H$10*POWER($J$2/Dashboard!$H$10,A96/$D$2)))),$I$2-D96-Dashboard!$I$10-Dashboard!$J$10-Dashboard!$F$10*$I$2)))</f>
        <v>1789.4325484761255</v>
      </c>
      <c r="F96" s="24">
        <f t="shared" si="12"/>
        <v>0</v>
      </c>
      <c r="G96" s="24">
        <f t="shared" si="13"/>
        <v>0</v>
      </c>
      <c r="H96" s="24">
        <f t="shared" si="14"/>
        <v>0</v>
      </c>
      <c r="I96" s="24">
        <f t="shared" si="15"/>
        <v>1789.4325484761255</v>
      </c>
      <c r="J96" s="25">
        <f t="shared" si="16"/>
        <v>7.9741404289037643E-3</v>
      </c>
      <c r="K96" s="24">
        <f t="shared" si="21"/>
        <v>286463.16958333971</v>
      </c>
      <c r="L96" s="24" t="str">
        <f t="shared" si="17"/>
        <v/>
      </c>
      <c r="M96" s="24">
        <f t="shared" si="18"/>
        <v>0</v>
      </c>
      <c r="N96" s="24">
        <f>IF(M96&lt;=0,0,IF($E$2-A96&lt;12,(M96-E96)*Dashboard!$B$18,IF($Q$2+A96&gt;=$R$2,MAX(0,M96-E96*POWER(1+$C$2,$E$2-A96))*MAX(Dashboard!$C$18,Dashboard!$B$18),IF($S$2&lt;$R$2,(M96-E96)*0.5*Dashboard!$B$18,(E96*POWER(1+$A$2,$R$2-($Q$2+A96))-E96)*0.5*Dashboard!$B$18+MAX(0,M96-E96*POWER(1+$A$2,$R$2-($Q$2+A96))*POWER(1+$C$2,$S$2-$R$2))*MAX(Dashboard!$C$18,Dashboard!$B$18)))))</f>
        <v>0</v>
      </c>
    </row>
    <row r="97" spans="1:14" x14ac:dyDescent="0.2">
      <c r="A97" s="22">
        <f t="shared" si="19"/>
        <v>92</v>
      </c>
      <c r="B97" s="23">
        <f t="shared" si="20"/>
        <v>25.721461187214501</v>
      </c>
      <c r="C97" t="str">
        <f t="shared" si="11"/>
        <v>25 y 8.66 m</v>
      </c>
      <c r="D97" s="24">
        <f>IF(A97&gt;=$E$2,IF(A97&lt;$E$2+$H$2,$P$2,0),IF(B97&lt;Dashboard!$I$6,0,IF(A97&gt;=$F$2,Dashboard!$C$23*POWER(1+$C$2,A97-$F$2),Dashboard!$C$23)))</f>
        <v>5092.3674515238745</v>
      </c>
      <c r="E97" s="24">
        <f>IF(A97&gt;=$F$2,0,IF(A97=0,Dashboard!$G$10,IF(B97&lt;Dashboard!$I$6,IF($J$2&lt;=Dashboard!$H$10,Dashboard!$H$10,MAX(Dashboard!$H$10,MIN($J$2,Dashboard!$H$10*POWER($J$2/Dashboard!$H$10,A97/$D$2)))),$I$2-D97-Dashboard!$I$10-Dashboard!$J$10-Dashboard!$F$10*$I$2)))</f>
        <v>1789.4325484761255</v>
      </c>
      <c r="F97" s="24">
        <f t="shared" si="12"/>
        <v>0</v>
      </c>
      <c r="G97" s="24">
        <f t="shared" si="13"/>
        <v>0</v>
      </c>
      <c r="H97" s="24">
        <f t="shared" si="14"/>
        <v>0</v>
      </c>
      <c r="I97" s="24">
        <f t="shared" si="15"/>
        <v>1789.4325484761255</v>
      </c>
      <c r="J97" s="25">
        <f t="shared" si="16"/>
        <v>7.9741404289037643E-3</v>
      </c>
      <c r="K97" s="24">
        <f t="shared" si="21"/>
        <v>290551.16886021191</v>
      </c>
      <c r="L97" s="24" t="str">
        <f t="shared" si="17"/>
        <v/>
      </c>
      <c r="M97" s="24">
        <f t="shared" si="18"/>
        <v>0</v>
      </c>
      <c r="N97" s="24">
        <f>IF(M97&lt;=0,0,IF($E$2-A97&lt;12,(M97-E97)*Dashboard!$B$18,IF($Q$2+A97&gt;=$R$2,MAX(0,M97-E97*POWER(1+$C$2,$E$2-A97))*MAX(Dashboard!$C$18,Dashboard!$B$18),IF($S$2&lt;$R$2,(M97-E97)*0.5*Dashboard!$B$18,(E97*POWER(1+$A$2,$R$2-($Q$2+A97))-E97)*0.5*Dashboard!$B$18+MAX(0,M97-E97*POWER(1+$A$2,$R$2-($Q$2+A97))*POWER(1+$C$2,$S$2-$R$2))*MAX(Dashboard!$C$18,Dashboard!$B$18)))))</f>
        <v>0</v>
      </c>
    </row>
    <row r="98" spans="1:14" x14ac:dyDescent="0.2">
      <c r="A98" s="22">
        <f t="shared" si="19"/>
        <v>93</v>
      </c>
      <c r="B98" s="23">
        <f t="shared" si="20"/>
        <v>25.804794520547834</v>
      </c>
      <c r="C98" t="str">
        <f t="shared" si="11"/>
        <v>25 y 9.66 m</v>
      </c>
      <c r="D98" s="24">
        <f>IF(A98&gt;=$E$2,IF(A98&lt;$E$2+$H$2,$P$2,0),IF(B98&lt;Dashboard!$I$6,0,IF(A98&gt;=$F$2,Dashboard!$C$23*POWER(1+$C$2,A98-$F$2),Dashboard!$C$23)))</f>
        <v>5092.3674515238745</v>
      </c>
      <c r="E98" s="24">
        <f>IF(A98&gt;=$F$2,0,IF(A98=0,Dashboard!$G$10,IF(B98&lt;Dashboard!$I$6,IF($J$2&lt;=Dashboard!$H$10,Dashboard!$H$10,MAX(Dashboard!$H$10,MIN($J$2,Dashboard!$H$10*POWER($J$2/Dashboard!$H$10,A98/$D$2)))),$I$2-D98-Dashboard!$I$10-Dashboard!$J$10-Dashboard!$F$10*$I$2)))</f>
        <v>1789.4325484761255</v>
      </c>
      <c r="F98" s="24">
        <f t="shared" si="12"/>
        <v>0</v>
      </c>
      <c r="G98" s="24">
        <f t="shared" si="13"/>
        <v>0</v>
      </c>
      <c r="H98" s="24">
        <f t="shared" si="14"/>
        <v>0</v>
      </c>
      <c r="I98" s="24">
        <f t="shared" si="15"/>
        <v>1789.4325484761255</v>
      </c>
      <c r="J98" s="25">
        <f t="shared" si="16"/>
        <v>7.9741404289037643E-3</v>
      </c>
      <c r="K98" s="24">
        <f t="shared" si="21"/>
        <v>294671.76641739113</v>
      </c>
      <c r="L98" s="24" t="str">
        <f t="shared" si="17"/>
        <v/>
      </c>
      <c r="M98" s="24">
        <f t="shared" si="18"/>
        <v>0</v>
      </c>
      <c r="N98" s="24">
        <f>IF(M98&lt;=0,0,IF($E$2-A98&lt;12,(M98-E98)*Dashboard!$B$18,IF($Q$2+A98&gt;=$R$2,MAX(0,M98-E98*POWER(1+$C$2,$E$2-A98))*MAX(Dashboard!$C$18,Dashboard!$B$18),IF($S$2&lt;$R$2,(M98-E98)*0.5*Dashboard!$B$18,(E98*POWER(1+$A$2,$R$2-($Q$2+A98))-E98)*0.5*Dashboard!$B$18+MAX(0,M98-E98*POWER(1+$A$2,$R$2-($Q$2+A98))*POWER(1+$C$2,$S$2-$R$2))*MAX(Dashboard!$C$18,Dashboard!$B$18)))))</f>
        <v>0</v>
      </c>
    </row>
    <row r="99" spans="1:14" x14ac:dyDescent="0.2">
      <c r="A99" s="22">
        <f t="shared" si="19"/>
        <v>94</v>
      </c>
      <c r="B99" s="23">
        <f t="shared" si="20"/>
        <v>25.888127853881166</v>
      </c>
      <c r="C99" t="str">
        <f t="shared" si="11"/>
        <v>25 y 10.66 m</v>
      </c>
      <c r="D99" s="24">
        <f>IF(A99&gt;=$E$2,IF(A99&lt;$E$2+$H$2,$P$2,0),IF(B99&lt;Dashboard!$I$6,0,IF(A99&gt;=$F$2,Dashboard!$C$23*POWER(1+$C$2,A99-$F$2),Dashboard!$C$23)))</f>
        <v>5092.3674515238745</v>
      </c>
      <c r="E99" s="24">
        <f>IF(A99&gt;=$F$2,0,IF(A99=0,Dashboard!$G$10,IF(B99&lt;Dashboard!$I$6,IF($J$2&lt;=Dashboard!$H$10,Dashboard!$H$10,MAX(Dashboard!$H$10,MIN($J$2,Dashboard!$H$10*POWER($J$2/Dashboard!$H$10,A99/$D$2)))),$I$2-D99-Dashboard!$I$10-Dashboard!$J$10-Dashboard!$F$10*$I$2)))</f>
        <v>1789.4325484761255</v>
      </c>
      <c r="F99" s="24">
        <f t="shared" si="12"/>
        <v>0</v>
      </c>
      <c r="G99" s="24">
        <f t="shared" si="13"/>
        <v>0</v>
      </c>
      <c r="H99" s="24">
        <f t="shared" si="14"/>
        <v>0</v>
      </c>
      <c r="I99" s="24">
        <f t="shared" si="15"/>
        <v>1789.4325484761255</v>
      </c>
      <c r="J99" s="25">
        <f t="shared" si="16"/>
        <v>7.9741404289037643E-3</v>
      </c>
      <c r="K99" s="24">
        <f t="shared" si="21"/>
        <v>298825.22219814226</v>
      </c>
      <c r="L99" s="24" t="str">
        <f t="shared" si="17"/>
        <v/>
      </c>
      <c r="M99" s="24">
        <f t="shared" si="18"/>
        <v>0</v>
      </c>
      <c r="N99" s="24">
        <f>IF(M99&lt;=0,0,IF($E$2-A99&lt;12,(M99-E99)*Dashboard!$B$18,IF($Q$2+A99&gt;=$R$2,MAX(0,M99-E99*POWER(1+$C$2,$E$2-A99))*MAX(Dashboard!$C$18,Dashboard!$B$18),IF($S$2&lt;$R$2,(M99-E99)*0.5*Dashboard!$B$18,(E99*POWER(1+$A$2,$R$2-($Q$2+A99))-E99)*0.5*Dashboard!$B$18+MAX(0,M99-E99*POWER(1+$A$2,$R$2-($Q$2+A99))*POWER(1+$C$2,$S$2-$R$2))*MAX(Dashboard!$C$18,Dashboard!$B$18)))))</f>
        <v>0</v>
      </c>
    </row>
    <row r="100" spans="1:14" x14ac:dyDescent="0.2">
      <c r="A100" s="22">
        <f t="shared" si="19"/>
        <v>95</v>
      </c>
      <c r="B100" s="23">
        <f t="shared" si="20"/>
        <v>25.971461187214498</v>
      </c>
      <c r="C100" t="str">
        <f t="shared" si="11"/>
        <v>25 y 11.66 m</v>
      </c>
      <c r="D100" s="24">
        <f>IF(A100&gt;=$E$2,IF(A100&lt;$E$2+$H$2,$P$2,0),IF(B100&lt;Dashboard!$I$6,0,IF(A100&gt;=$F$2,Dashboard!$C$23*POWER(1+$C$2,A100-$F$2),Dashboard!$C$23)))</f>
        <v>5092.3674515238745</v>
      </c>
      <c r="E100" s="24">
        <f>IF(A100&gt;=$F$2,0,IF(A100=0,Dashboard!$G$10,IF(B100&lt;Dashboard!$I$6,IF($J$2&lt;=Dashboard!$H$10,Dashboard!$H$10,MAX(Dashboard!$H$10,MIN($J$2,Dashboard!$H$10*POWER($J$2/Dashboard!$H$10,A100/$D$2)))),$I$2-D100-Dashboard!$I$10-Dashboard!$J$10-Dashboard!$F$10*$I$2)))</f>
        <v>1789.4325484761255</v>
      </c>
      <c r="F100" s="24">
        <f t="shared" si="12"/>
        <v>0</v>
      </c>
      <c r="G100" s="24">
        <f t="shared" si="13"/>
        <v>0</v>
      </c>
      <c r="H100" s="24">
        <f t="shared" si="14"/>
        <v>0</v>
      </c>
      <c r="I100" s="24">
        <f t="shared" si="15"/>
        <v>1789.4325484761255</v>
      </c>
      <c r="J100" s="25">
        <f t="shared" si="16"/>
        <v>7.9741404289037643E-3</v>
      </c>
      <c r="K100" s="24">
        <f t="shared" si="21"/>
        <v>303011.79821855435</v>
      </c>
      <c r="L100" s="24" t="str">
        <f t="shared" si="17"/>
        <v/>
      </c>
      <c r="M100" s="24">
        <f t="shared" si="18"/>
        <v>0</v>
      </c>
      <c r="N100" s="24">
        <f>IF(M100&lt;=0,0,IF($E$2-A100&lt;12,(M100-E100)*Dashboard!$B$18,IF($Q$2+A100&gt;=$R$2,MAX(0,M100-E100*POWER(1+$C$2,$E$2-A100))*MAX(Dashboard!$C$18,Dashboard!$B$18),IF($S$2&lt;$R$2,(M100-E100)*0.5*Dashboard!$B$18,(E100*POWER(1+$A$2,$R$2-($Q$2+A100))-E100)*0.5*Dashboard!$B$18+MAX(0,M100-E100*POWER(1+$A$2,$R$2-($Q$2+A100))*POWER(1+$C$2,$S$2-$R$2))*MAX(Dashboard!$C$18,Dashboard!$B$18)))))</f>
        <v>0</v>
      </c>
    </row>
    <row r="101" spans="1:14" x14ac:dyDescent="0.2">
      <c r="A101" s="22">
        <f t="shared" si="19"/>
        <v>96</v>
      </c>
      <c r="B101" s="23">
        <f t="shared" si="20"/>
        <v>26.05479452054783</v>
      </c>
      <c r="C101" t="str">
        <f t="shared" si="11"/>
        <v>26 y 0.66 m</v>
      </c>
      <c r="D101" s="24">
        <f>IF(A101&gt;=$E$2,IF(A101&lt;$E$2+$H$2,$P$2,0),IF(B101&lt;Dashboard!$I$6,0,IF(A101&gt;=$F$2,Dashboard!$C$23*POWER(1+$C$2,A101-$F$2),Dashboard!$C$23)))</f>
        <v>5092.3674515238745</v>
      </c>
      <c r="E101" s="24">
        <f>IF(A101&gt;=$F$2,0,IF(A101=0,Dashboard!$G$10,IF(B101&lt;Dashboard!$I$6,IF($J$2&lt;=Dashboard!$H$10,Dashboard!$H$10,MAX(Dashboard!$H$10,MIN($J$2,Dashboard!$H$10*POWER($J$2/Dashboard!$H$10,A101/$D$2)))),$I$2-D101-Dashboard!$I$10-Dashboard!$J$10-Dashboard!$F$10*$I$2)))</f>
        <v>1789.4325484761255</v>
      </c>
      <c r="F101" s="24">
        <f t="shared" si="12"/>
        <v>0</v>
      </c>
      <c r="G101" s="24">
        <f t="shared" si="13"/>
        <v>0</v>
      </c>
      <c r="H101" s="24">
        <f t="shared" si="14"/>
        <v>0</v>
      </c>
      <c r="I101" s="24">
        <f t="shared" si="15"/>
        <v>1789.4325484761255</v>
      </c>
      <c r="J101" s="25">
        <f t="shared" si="16"/>
        <v>7.9741404289037643E-3</v>
      </c>
      <c r="K101" s="24">
        <f t="shared" si="21"/>
        <v>307231.7585840695</v>
      </c>
      <c r="L101" s="24" t="str">
        <f t="shared" si="17"/>
        <v/>
      </c>
      <c r="M101" s="24">
        <f t="shared" si="18"/>
        <v>0</v>
      </c>
      <c r="N101" s="24">
        <f>IF(M101&lt;=0,0,IF($E$2-A101&lt;12,(M101-E101)*Dashboard!$B$18,IF($Q$2+A101&gt;=$R$2,MAX(0,M101-E101*POWER(1+$C$2,$E$2-A101))*MAX(Dashboard!$C$18,Dashboard!$B$18),IF($S$2&lt;$R$2,(M101-E101)*0.5*Dashboard!$B$18,(E101*POWER(1+$A$2,$R$2-($Q$2+A101))-E101)*0.5*Dashboard!$B$18+MAX(0,M101-E101*POWER(1+$A$2,$R$2-($Q$2+A101))*POWER(1+$C$2,$S$2-$R$2))*MAX(Dashboard!$C$18,Dashboard!$B$18)))))</f>
        <v>0</v>
      </c>
    </row>
    <row r="102" spans="1:14" x14ac:dyDescent="0.2">
      <c r="A102" s="22">
        <f t="shared" si="19"/>
        <v>97</v>
      </c>
      <c r="B102" s="23">
        <f t="shared" si="20"/>
        <v>26.138127853881162</v>
      </c>
      <c r="C102" t="str">
        <f t="shared" si="11"/>
        <v>26 y 1.66 m</v>
      </c>
      <c r="D102" s="24">
        <f>IF(A102&gt;=$E$2,IF(A102&lt;$E$2+$H$2,$P$2,0),IF(B102&lt;Dashboard!$I$6,0,IF(A102&gt;=$F$2,Dashboard!$C$23*POWER(1+$C$2,A102-$F$2),Dashboard!$C$23)))</f>
        <v>5092.3674515238745</v>
      </c>
      <c r="E102" s="24">
        <f>IF(A102&gt;=$F$2,0,IF(A102=0,Dashboard!$G$10,IF(B102&lt;Dashboard!$I$6,IF($J$2&lt;=Dashboard!$H$10,Dashboard!$H$10,MAX(Dashboard!$H$10,MIN($J$2,Dashboard!$H$10*POWER($J$2/Dashboard!$H$10,A102/$D$2)))),$I$2-D102-Dashboard!$I$10-Dashboard!$J$10-Dashboard!$F$10*$I$2)))</f>
        <v>1789.4325484761255</v>
      </c>
      <c r="F102" s="24">
        <f t="shared" si="12"/>
        <v>0</v>
      </c>
      <c r="G102" s="24">
        <f t="shared" si="13"/>
        <v>0</v>
      </c>
      <c r="H102" s="24">
        <f t="shared" si="14"/>
        <v>0</v>
      </c>
      <c r="I102" s="24">
        <f t="shared" si="15"/>
        <v>1789.4325484761255</v>
      </c>
      <c r="J102" s="25">
        <f t="shared" si="16"/>
        <v>7.9741404289037643E-3</v>
      </c>
      <c r="K102" s="24">
        <f t="shared" si="21"/>
        <v>311485.36950614367</v>
      </c>
      <c r="L102" s="24" t="str">
        <f t="shared" si="17"/>
        <v/>
      </c>
      <c r="M102" s="24">
        <f t="shared" si="18"/>
        <v>0</v>
      </c>
      <c r="N102" s="24">
        <f>IF(M102&lt;=0,0,IF($E$2-A102&lt;12,(M102-E102)*Dashboard!$B$18,IF($Q$2+A102&gt;=$R$2,MAX(0,M102-E102*POWER(1+$C$2,$E$2-A102))*MAX(Dashboard!$C$18,Dashboard!$B$18),IF($S$2&lt;$R$2,(M102-E102)*0.5*Dashboard!$B$18,(E102*POWER(1+$A$2,$R$2-($Q$2+A102))-E102)*0.5*Dashboard!$B$18+MAX(0,M102-E102*POWER(1+$A$2,$R$2-($Q$2+A102))*POWER(1+$C$2,$S$2-$R$2))*MAX(Dashboard!$C$18,Dashboard!$B$18)))))</f>
        <v>0</v>
      </c>
    </row>
    <row r="103" spans="1:14" x14ac:dyDescent="0.2">
      <c r="A103" s="22">
        <f t="shared" si="19"/>
        <v>98</v>
      </c>
      <c r="B103" s="23">
        <f t="shared" si="20"/>
        <v>26.221461187214494</v>
      </c>
      <c r="C103" t="str">
        <f t="shared" si="11"/>
        <v>26 y 2.66 m</v>
      </c>
      <c r="D103" s="24">
        <f>IF(A103&gt;=$E$2,IF(A103&lt;$E$2+$H$2,$P$2,0),IF(B103&lt;Dashboard!$I$6,0,IF(A103&gt;=$F$2,Dashboard!$C$23*POWER(1+$C$2,A103-$F$2),Dashboard!$C$23)))</f>
        <v>5092.3674515238745</v>
      </c>
      <c r="E103" s="24">
        <f>IF(A103&gt;=$F$2,0,IF(A103=0,Dashboard!$G$10,IF(B103&lt;Dashboard!$I$6,IF($J$2&lt;=Dashboard!$H$10,Dashboard!$H$10,MAX(Dashboard!$H$10,MIN($J$2,Dashboard!$H$10*POWER($J$2/Dashboard!$H$10,A103/$D$2)))),$I$2-D103-Dashboard!$I$10-Dashboard!$J$10-Dashboard!$F$10*$I$2)))</f>
        <v>1789.4325484761255</v>
      </c>
      <c r="F103" s="24">
        <f t="shared" si="12"/>
        <v>0</v>
      </c>
      <c r="G103" s="24">
        <f t="shared" si="13"/>
        <v>0</v>
      </c>
      <c r="H103" s="24">
        <f t="shared" si="14"/>
        <v>0</v>
      </c>
      <c r="I103" s="24">
        <f t="shared" si="15"/>
        <v>1789.4325484761255</v>
      </c>
      <c r="J103" s="25">
        <f t="shared" si="16"/>
        <v>7.9741404289037643E-3</v>
      </c>
      <c r="K103" s="24">
        <f t="shared" si="21"/>
        <v>315772.89931904041</v>
      </c>
      <c r="L103" s="24" t="str">
        <f t="shared" si="17"/>
        <v/>
      </c>
      <c r="M103" s="24">
        <f t="shared" si="18"/>
        <v>0</v>
      </c>
      <c r="N103" s="24">
        <f>IF(M103&lt;=0,0,IF($E$2-A103&lt;12,(M103-E103)*Dashboard!$B$18,IF($Q$2+A103&gt;=$R$2,MAX(0,M103-E103*POWER(1+$C$2,$E$2-A103))*MAX(Dashboard!$C$18,Dashboard!$B$18),IF($S$2&lt;$R$2,(M103-E103)*0.5*Dashboard!$B$18,(E103*POWER(1+$A$2,$R$2-($Q$2+A103))-E103)*0.5*Dashboard!$B$18+MAX(0,M103-E103*POWER(1+$A$2,$R$2-($Q$2+A103))*POWER(1+$C$2,$S$2-$R$2))*MAX(Dashboard!$C$18,Dashboard!$B$18)))))</f>
        <v>0</v>
      </c>
    </row>
    <row r="104" spans="1:14" x14ac:dyDescent="0.2">
      <c r="A104" s="22">
        <f t="shared" si="19"/>
        <v>99</v>
      </c>
      <c r="B104" s="23">
        <f t="shared" si="20"/>
        <v>26.304794520547826</v>
      </c>
      <c r="C104" t="str">
        <f t="shared" si="11"/>
        <v>26 y 3.66 m</v>
      </c>
      <c r="D104" s="24">
        <f>IF(A104&gt;=$E$2,IF(A104&lt;$E$2+$H$2,$P$2,0),IF(B104&lt;Dashboard!$I$6,0,IF(A104&gt;=$F$2,Dashboard!$C$23*POWER(1+$C$2,A104-$F$2),Dashboard!$C$23)))</f>
        <v>5092.3674515238745</v>
      </c>
      <c r="E104" s="24">
        <f>IF(A104&gt;=$F$2,0,IF(A104=0,Dashboard!$G$10,IF(B104&lt;Dashboard!$I$6,IF($J$2&lt;=Dashboard!$H$10,Dashboard!$H$10,MAX(Dashboard!$H$10,MIN($J$2,Dashboard!$H$10*POWER($J$2/Dashboard!$H$10,A104/$D$2)))),$I$2-D104-Dashboard!$I$10-Dashboard!$J$10-Dashboard!$F$10*$I$2)))</f>
        <v>1789.4325484761255</v>
      </c>
      <c r="F104" s="24">
        <f t="shared" si="12"/>
        <v>0</v>
      </c>
      <c r="G104" s="24">
        <f t="shared" si="13"/>
        <v>0</v>
      </c>
      <c r="H104" s="24">
        <f t="shared" si="14"/>
        <v>0</v>
      </c>
      <c r="I104" s="24">
        <f t="shared" si="15"/>
        <v>1789.4325484761255</v>
      </c>
      <c r="J104" s="25">
        <f t="shared" si="16"/>
        <v>7.9741404289037643E-3</v>
      </c>
      <c r="K104" s="24">
        <f t="shared" si="21"/>
        <v>320094.61849675828</v>
      </c>
      <c r="L104" s="24" t="str">
        <f t="shared" si="17"/>
        <v/>
      </c>
      <c r="M104" s="24">
        <f t="shared" si="18"/>
        <v>0</v>
      </c>
      <c r="N104" s="24">
        <f>IF(M104&lt;=0,0,IF($E$2-A104&lt;12,(M104-E104)*Dashboard!$B$18,IF($Q$2+A104&gt;=$R$2,MAX(0,M104-E104*POWER(1+$C$2,$E$2-A104))*MAX(Dashboard!$C$18,Dashboard!$B$18),IF($S$2&lt;$R$2,(M104-E104)*0.5*Dashboard!$B$18,(E104*POWER(1+$A$2,$R$2-($Q$2+A104))-E104)*0.5*Dashboard!$B$18+MAX(0,M104-E104*POWER(1+$A$2,$R$2-($Q$2+A104))*POWER(1+$C$2,$S$2-$R$2))*MAX(Dashboard!$C$18,Dashboard!$B$18)))))</f>
        <v>0</v>
      </c>
    </row>
    <row r="105" spans="1:14" x14ac:dyDescent="0.2">
      <c r="A105" s="22">
        <f t="shared" si="19"/>
        <v>100</v>
      </c>
      <c r="B105" s="23">
        <f t="shared" si="20"/>
        <v>26.388127853881159</v>
      </c>
      <c r="C105" t="str">
        <f t="shared" si="11"/>
        <v>26 y 4.66 m</v>
      </c>
      <c r="D105" s="24">
        <f>IF(A105&gt;=$E$2,IF(A105&lt;$E$2+$H$2,$P$2,0),IF(B105&lt;Dashboard!$I$6,0,IF(A105&gt;=$F$2,Dashboard!$C$23*POWER(1+$C$2,A105-$F$2),Dashboard!$C$23)))</f>
        <v>5092.3674515238745</v>
      </c>
      <c r="E105" s="24">
        <f>IF(A105&gt;=$F$2,0,IF(A105=0,Dashboard!$G$10,IF(B105&lt;Dashboard!$I$6,IF($J$2&lt;=Dashboard!$H$10,Dashboard!$H$10,MAX(Dashboard!$H$10,MIN($J$2,Dashboard!$H$10*POWER($J$2/Dashboard!$H$10,A105/$D$2)))),$I$2-D105-Dashboard!$I$10-Dashboard!$J$10-Dashboard!$F$10*$I$2)))</f>
        <v>1789.4325484761255</v>
      </c>
      <c r="F105" s="24">
        <f t="shared" si="12"/>
        <v>0</v>
      </c>
      <c r="G105" s="24">
        <f t="shared" si="13"/>
        <v>0</v>
      </c>
      <c r="H105" s="24">
        <f t="shared" si="14"/>
        <v>0</v>
      </c>
      <c r="I105" s="24">
        <f t="shared" si="15"/>
        <v>1789.4325484761255</v>
      </c>
      <c r="J105" s="25">
        <f t="shared" si="16"/>
        <v>7.9741404289037643E-3</v>
      </c>
      <c r="K105" s="24">
        <f t="shared" si="21"/>
        <v>324450.79967009358</v>
      </c>
      <c r="L105" s="24" t="str">
        <f t="shared" si="17"/>
        <v/>
      </c>
      <c r="M105" s="24">
        <f t="shared" si="18"/>
        <v>0</v>
      </c>
      <c r="N105" s="24">
        <f>IF(M105&lt;=0,0,IF($E$2-A105&lt;12,(M105-E105)*Dashboard!$B$18,IF($Q$2+A105&gt;=$R$2,MAX(0,M105-E105*POWER(1+$C$2,$E$2-A105))*MAX(Dashboard!$C$18,Dashboard!$B$18),IF($S$2&lt;$R$2,(M105-E105)*0.5*Dashboard!$B$18,(E105*POWER(1+$A$2,$R$2-($Q$2+A105))-E105)*0.5*Dashboard!$B$18+MAX(0,M105-E105*POWER(1+$A$2,$R$2-($Q$2+A105))*POWER(1+$C$2,$S$2-$R$2))*MAX(Dashboard!$C$18,Dashboard!$B$18)))))</f>
        <v>0</v>
      </c>
    </row>
    <row r="106" spans="1:14" x14ac:dyDescent="0.2">
      <c r="A106" s="22">
        <f t="shared" si="19"/>
        <v>101</v>
      </c>
      <c r="B106" s="23">
        <f t="shared" si="20"/>
        <v>26.471461187214491</v>
      </c>
      <c r="C106" t="str">
        <f t="shared" si="11"/>
        <v>26 y 5.66 m</v>
      </c>
      <c r="D106" s="24">
        <f>IF(A106&gt;=$E$2,IF(A106&lt;$E$2+$H$2,$P$2,0),IF(B106&lt;Dashboard!$I$6,0,IF(A106&gt;=$F$2,Dashboard!$C$23*POWER(1+$C$2,A106-$F$2),Dashboard!$C$23)))</f>
        <v>5092.3674515238745</v>
      </c>
      <c r="E106" s="24">
        <f>IF(A106&gt;=$F$2,0,IF(A106=0,Dashboard!$G$10,IF(B106&lt;Dashboard!$I$6,IF($J$2&lt;=Dashboard!$H$10,Dashboard!$H$10,MAX(Dashboard!$H$10,MIN($J$2,Dashboard!$H$10*POWER($J$2/Dashboard!$H$10,A106/$D$2)))),$I$2-D106-Dashboard!$I$10-Dashboard!$J$10-Dashboard!$F$10*$I$2)))</f>
        <v>1789.4325484761255</v>
      </c>
      <c r="F106" s="24">
        <f t="shared" si="12"/>
        <v>0</v>
      </c>
      <c r="G106" s="24">
        <f t="shared" si="13"/>
        <v>0</v>
      </c>
      <c r="H106" s="24">
        <f t="shared" si="14"/>
        <v>0</v>
      </c>
      <c r="I106" s="24">
        <f t="shared" si="15"/>
        <v>1789.4325484761255</v>
      </c>
      <c r="J106" s="25">
        <f t="shared" si="16"/>
        <v>7.9741404289037643E-3</v>
      </c>
      <c r="K106" s="24">
        <f t="shared" si="21"/>
        <v>328841.71764383878</v>
      </c>
      <c r="L106" s="24" t="str">
        <f t="shared" si="17"/>
        <v/>
      </c>
      <c r="M106" s="24">
        <f t="shared" si="18"/>
        <v>0</v>
      </c>
      <c r="N106" s="24">
        <f>IF(M106&lt;=0,0,IF($E$2-A106&lt;12,(M106-E106)*Dashboard!$B$18,IF($Q$2+A106&gt;=$R$2,MAX(0,M106-E106*POWER(1+$C$2,$E$2-A106))*MAX(Dashboard!$C$18,Dashboard!$B$18),IF($S$2&lt;$R$2,(M106-E106)*0.5*Dashboard!$B$18,(E106*POWER(1+$A$2,$R$2-($Q$2+A106))-E106)*0.5*Dashboard!$B$18+MAX(0,M106-E106*POWER(1+$A$2,$R$2-($Q$2+A106))*POWER(1+$C$2,$S$2-$R$2))*MAX(Dashboard!$C$18,Dashboard!$B$18)))))</f>
        <v>0</v>
      </c>
    </row>
    <row r="107" spans="1:14" x14ac:dyDescent="0.2">
      <c r="A107" s="22">
        <f t="shared" si="19"/>
        <v>102</v>
      </c>
      <c r="B107" s="23">
        <f t="shared" si="20"/>
        <v>26.554794520547823</v>
      </c>
      <c r="C107" t="str">
        <f t="shared" si="11"/>
        <v>26 y 6.66 m</v>
      </c>
      <c r="D107" s="24">
        <f>IF(A107&gt;=$E$2,IF(A107&lt;$E$2+$H$2,$P$2,0),IF(B107&lt;Dashboard!$I$6,0,IF(A107&gt;=$F$2,Dashboard!$C$23*POWER(1+$C$2,A107-$F$2),Dashboard!$C$23)))</f>
        <v>5092.3674515238745</v>
      </c>
      <c r="E107" s="24">
        <f>IF(A107&gt;=$F$2,0,IF(A107=0,Dashboard!$G$10,IF(B107&lt;Dashboard!$I$6,IF($J$2&lt;=Dashboard!$H$10,Dashboard!$H$10,MAX(Dashboard!$H$10,MIN($J$2,Dashboard!$H$10*POWER($J$2/Dashboard!$H$10,A107/$D$2)))),$I$2-D107-Dashboard!$I$10-Dashboard!$J$10-Dashboard!$F$10*$I$2)))</f>
        <v>1789.4325484761255</v>
      </c>
      <c r="F107" s="24">
        <f t="shared" si="12"/>
        <v>0</v>
      </c>
      <c r="G107" s="24">
        <f t="shared" si="13"/>
        <v>0</v>
      </c>
      <c r="H107" s="24">
        <f t="shared" si="14"/>
        <v>0</v>
      </c>
      <c r="I107" s="24">
        <f t="shared" si="15"/>
        <v>1789.4325484761255</v>
      </c>
      <c r="J107" s="25">
        <f t="shared" si="16"/>
        <v>7.9741404289037643E-3</v>
      </c>
      <c r="K107" s="24">
        <f t="shared" si="21"/>
        <v>333267.64941411844</v>
      </c>
      <c r="L107" s="24" t="str">
        <f t="shared" si="17"/>
        <v/>
      </c>
      <c r="M107" s="24">
        <f t="shared" si="18"/>
        <v>0</v>
      </c>
      <c r="N107" s="24">
        <f>IF(M107&lt;=0,0,IF($E$2-A107&lt;12,(M107-E107)*Dashboard!$B$18,IF($Q$2+A107&gt;=$R$2,MAX(0,M107-E107*POWER(1+$C$2,$E$2-A107))*MAX(Dashboard!$C$18,Dashboard!$B$18),IF($S$2&lt;$R$2,(M107-E107)*0.5*Dashboard!$B$18,(E107*POWER(1+$A$2,$R$2-($Q$2+A107))-E107)*0.5*Dashboard!$B$18+MAX(0,M107-E107*POWER(1+$A$2,$R$2-($Q$2+A107))*POWER(1+$C$2,$S$2-$R$2))*MAX(Dashboard!$C$18,Dashboard!$B$18)))))</f>
        <v>0</v>
      </c>
    </row>
    <row r="108" spans="1:14" x14ac:dyDescent="0.2">
      <c r="A108" s="22">
        <f t="shared" si="19"/>
        <v>103</v>
      </c>
      <c r="B108" s="23">
        <f t="shared" si="20"/>
        <v>26.638127853881155</v>
      </c>
      <c r="C108" t="str">
        <f t="shared" si="11"/>
        <v>26 y 7.66 m</v>
      </c>
      <c r="D108" s="24">
        <f>IF(A108&gt;=$E$2,IF(A108&lt;$E$2+$H$2,$P$2,0),IF(B108&lt;Dashboard!$I$6,0,IF(A108&gt;=$F$2,Dashboard!$C$23*POWER(1+$C$2,A108-$F$2),Dashboard!$C$23)))</f>
        <v>5092.3674515238745</v>
      </c>
      <c r="E108" s="24">
        <f>IF(A108&gt;=$F$2,0,IF(A108=0,Dashboard!$G$10,IF(B108&lt;Dashboard!$I$6,IF($J$2&lt;=Dashboard!$H$10,Dashboard!$H$10,MAX(Dashboard!$H$10,MIN($J$2,Dashboard!$H$10*POWER($J$2/Dashboard!$H$10,A108/$D$2)))),$I$2-D108-Dashboard!$I$10-Dashboard!$J$10-Dashboard!$F$10*$I$2)))</f>
        <v>1789.4325484761255</v>
      </c>
      <c r="F108" s="24">
        <f t="shared" si="12"/>
        <v>0</v>
      </c>
      <c r="G108" s="24">
        <f t="shared" si="13"/>
        <v>0</v>
      </c>
      <c r="H108" s="24">
        <f t="shared" si="14"/>
        <v>0</v>
      </c>
      <c r="I108" s="24">
        <f t="shared" si="15"/>
        <v>1789.4325484761255</v>
      </c>
      <c r="J108" s="25">
        <f t="shared" si="16"/>
        <v>7.9741404289037643E-3</v>
      </c>
      <c r="K108" s="24">
        <f t="shared" si="21"/>
        <v>337728.87418586301</v>
      </c>
      <c r="L108" s="24" t="str">
        <f t="shared" si="17"/>
        <v/>
      </c>
      <c r="M108" s="24">
        <f t="shared" si="18"/>
        <v>0</v>
      </c>
      <c r="N108" s="24">
        <f>IF(M108&lt;=0,0,IF($E$2-A108&lt;12,(M108-E108)*Dashboard!$B$18,IF($Q$2+A108&gt;=$R$2,MAX(0,M108-E108*POWER(1+$C$2,$E$2-A108))*MAX(Dashboard!$C$18,Dashboard!$B$18),IF($S$2&lt;$R$2,(M108-E108)*0.5*Dashboard!$B$18,(E108*POWER(1+$A$2,$R$2-($Q$2+A108))-E108)*0.5*Dashboard!$B$18+MAX(0,M108-E108*POWER(1+$A$2,$R$2-($Q$2+A108))*POWER(1+$C$2,$S$2-$R$2))*MAX(Dashboard!$C$18,Dashboard!$B$18)))))</f>
        <v>0</v>
      </c>
    </row>
    <row r="109" spans="1:14" x14ac:dyDescent="0.2">
      <c r="A109" s="22">
        <f t="shared" si="19"/>
        <v>104</v>
      </c>
      <c r="B109" s="23">
        <f t="shared" si="20"/>
        <v>26.721461187214487</v>
      </c>
      <c r="C109" t="str">
        <f t="shared" si="11"/>
        <v>26 y 8.66 m</v>
      </c>
      <c r="D109" s="24">
        <f>IF(A109&gt;=$E$2,IF(A109&lt;$E$2+$H$2,$P$2,0),IF(B109&lt;Dashboard!$I$6,0,IF(A109&gt;=$F$2,Dashboard!$C$23*POWER(1+$C$2,A109-$F$2),Dashboard!$C$23)))</f>
        <v>5092.3674515238745</v>
      </c>
      <c r="E109" s="24">
        <f>IF(A109&gt;=$F$2,0,IF(A109=0,Dashboard!$G$10,IF(B109&lt;Dashboard!$I$6,IF($J$2&lt;=Dashboard!$H$10,Dashboard!$H$10,MAX(Dashboard!$H$10,MIN($J$2,Dashboard!$H$10*POWER($J$2/Dashboard!$H$10,A109/$D$2)))),$I$2-D109-Dashboard!$I$10-Dashboard!$J$10-Dashboard!$F$10*$I$2)))</f>
        <v>1789.4325484761255</v>
      </c>
      <c r="F109" s="24">
        <f t="shared" si="12"/>
        <v>0</v>
      </c>
      <c r="G109" s="24">
        <f t="shared" si="13"/>
        <v>0</v>
      </c>
      <c r="H109" s="24">
        <f t="shared" si="14"/>
        <v>0</v>
      </c>
      <c r="I109" s="24">
        <f t="shared" si="15"/>
        <v>1789.4325484761255</v>
      </c>
      <c r="J109" s="25">
        <f t="shared" si="16"/>
        <v>7.9741404289037643E-3</v>
      </c>
      <c r="K109" s="24">
        <f t="shared" si="21"/>
        <v>342225.67339042242</v>
      </c>
      <c r="L109" s="24" t="str">
        <f t="shared" si="17"/>
        <v/>
      </c>
      <c r="M109" s="24">
        <f t="shared" si="18"/>
        <v>0</v>
      </c>
      <c r="N109" s="24">
        <f>IF(M109&lt;=0,0,IF($E$2-A109&lt;12,(M109-E109)*Dashboard!$B$18,IF($Q$2+A109&gt;=$R$2,MAX(0,M109-E109*POWER(1+$C$2,$E$2-A109))*MAX(Dashboard!$C$18,Dashboard!$B$18),IF($S$2&lt;$R$2,(M109-E109)*0.5*Dashboard!$B$18,(E109*POWER(1+$A$2,$R$2-($Q$2+A109))-E109)*0.5*Dashboard!$B$18+MAX(0,M109-E109*POWER(1+$A$2,$R$2-($Q$2+A109))*POWER(1+$C$2,$S$2-$R$2))*MAX(Dashboard!$C$18,Dashboard!$B$18)))))</f>
        <v>0</v>
      </c>
    </row>
    <row r="110" spans="1:14" x14ac:dyDescent="0.2">
      <c r="A110" s="22">
        <f t="shared" si="19"/>
        <v>105</v>
      </c>
      <c r="B110" s="23">
        <f t="shared" si="20"/>
        <v>26.804794520547819</v>
      </c>
      <c r="C110" t="str">
        <f t="shared" si="11"/>
        <v>26 y 9.66 m</v>
      </c>
      <c r="D110" s="24">
        <f>IF(A110&gt;=$E$2,IF(A110&lt;$E$2+$H$2,$P$2,0),IF(B110&lt;Dashboard!$I$6,0,IF(A110&gt;=$F$2,Dashboard!$C$23*POWER(1+$C$2,A110-$F$2),Dashboard!$C$23)))</f>
        <v>5092.3674515238745</v>
      </c>
      <c r="E110" s="24">
        <f>IF(A110&gt;=$F$2,0,IF(A110=0,Dashboard!$G$10,IF(B110&lt;Dashboard!$I$6,IF($J$2&lt;=Dashboard!$H$10,Dashboard!$H$10,MAX(Dashboard!$H$10,MIN($J$2,Dashboard!$H$10*POWER($J$2/Dashboard!$H$10,A110/$D$2)))),$I$2-D110-Dashboard!$I$10-Dashboard!$J$10-Dashboard!$F$10*$I$2)))</f>
        <v>1789.4325484761255</v>
      </c>
      <c r="F110" s="24">
        <f t="shared" si="12"/>
        <v>0</v>
      </c>
      <c r="G110" s="24">
        <f t="shared" si="13"/>
        <v>0</v>
      </c>
      <c r="H110" s="24">
        <f t="shared" si="14"/>
        <v>0</v>
      </c>
      <c r="I110" s="24">
        <f t="shared" si="15"/>
        <v>1789.4325484761255</v>
      </c>
      <c r="J110" s="25">
        <f t="shared" si="16"/>
        <v>7.9741404289037643E-3</v>
      </c>
      <c r="K110" s="24">
        <f t="shared" si="21"/>
        <v>346758.33070331957</v>
      </c>
      <c r="L110" s="24" t="str">
        <f t="shared" si="17"/>
        <v/>
      </c>
      <c r="M110" s="24">
        <f t="shared" si="18"/>
        <v>0</v>
      </c>
      <c r="N110" s="24">
        <f>IF(M110&lt;=0,0,IF($E$2-A110&lt;12,(M110-E110)*Dashboard!$B$18,IF($Q$2+A110&gt;=$R$2,MAX(0,M110-E110*POWER(1+$C$2,$E$2-A110))*MAX(Dashboard!$C$18,Dashboard!$B$18),IF($S$2&lt;$R$2,(M110-E110)*0.5*Dashboard!$B$18,(E110*POWER(1+$A$2,$R$2-($Q$2+A110))-E110)*0.5*Dashboard!$B$18+MAX(0,M110-E110*POWER(1+$A$2,$R$2-($Q$2+A110))*POWER(1+$C$2,$S$2-$R$2))*MAX(Dashboard!$C$18,Dashboard!$B$18)))))</f>
        <v>0</v>
      </c>
    </row>
    <row r="111" spans="1:14" x14ac:dyDescent="0.2">
      <c r="A111" s="22">
        <f t="shared" si="19"/>
        <v>106</v>
      </c>
      <c r="B111" s="23">
        <f t="shared" si="20"/>
        <v>26.888127853881151</v>
      </c>
      <c r="C111" t="str">
        <f t="shared" si="11"/>
        <v>26 y 10.66 m</v>
      </c>
      <c r="D111" s="24">
        <f>IF(A111&gt;=$E$2,IF(A111&lt;$E$2+$H$2,$P$2,0),IF(B111&lt;Dashboard!$I$6,0,IF(A111&gt;=$F$2,Dashboard!$C$23*POWER(1+$C$2,A111-$F$2),Dashboard!$C$23)))</f>
        <v>5092.3674515238745</v>
      </c>
      <c r="E111" s="24">
        <f>IF(A111&gt;=$F$2,0,IF(A111=0,Dashboard!$G$10,IF(B111&lt;Dashboard!$I$6,IF($J$2&lt;=Dashboard!$H$10,Dashboard!$H$10,MAX(Dashboard!$H$10,MIN($J$2,Dashboard!$H$10*POWER($J$2/Dashboard!$H$10,A111/$D$2)))),$I$2-D111-Dashboard!$I$10-Dashboard!$J$10-Dashboard!$F$10*$I$2)))</f>
        <v>1789.4325484761255</v>
      </c>
      <c r="F111" s="24">
        <f t="shared" si="12"/>
        <v>0</v>
      </c>
      <c r="G111" s="24">
        <f t="shared" si="13"/>
        <v>0</v>
      </c>
      <c r="H111" s="24">
        <f t="shared" si="14"/>
        <v>0</v>
      </c>
      <c r="I111" s="24">
        <f t="shared" si="15"/>
        <v>1789.4325484761255</v>
      </c>
      <c r="J111" s="25">
        <f t="shared" si="16"/>
        <v>7.9741404289037643E-3</v>
      </c>
      <c r="K111" s="24">
        <f t="shared" si="21"/>
        <v>351327.13206214586</v>
      </c>
      <c r="L111" s="24" t="str">
        <f t="shared" si="17"/>
        <v/>
      </c>
      <c r="M111" s="24">
        <f t="shared" si="18"/>
        <v>0</v>
      </c>
      <c r="N111" s="24">
        <f>IF(M111&lt;=0,0,IF($E$2-A111&lt;12,(M111-E111)*Dashboard!$B$18,IF($Q$2+A111&gt;=$R$2,MAX(0,M111-E111*POWER(1+$C$2,$E$2-A111))*MAX(Dashboard!$C$18,Dashboard!$B$18),IF($S$2&lt;$R$2,(M111-E111)*0.5*Dashboard!$B$18,(E111*POWER(1+$A$2,$R$2-($Q$2+A111))-E111)*0.5*Dashboard!$B$18+MAX(0,M111-E111*POWER(1+$A$2,$R$2-($Q$2+A111))*POWER(1+$C$2,$S$2-$R$2))*MAX(Dashboard!$C$18,Dashboard!$B$18)))))</f>
        <v>0</v>
      </c>
    </row>
    <row r="112" spans="1:14" x14ac:dyDescent="0.2">
      <c r="A112" s="22">
        <f t="shared" si="19"/>
        <v>107</v>
      </c>
      <c r="B112" s="23">
        <f t="shared" si="20"/>
        <v>26.971461187214484</v>
      </c>
      <c r="C112" t="str">
        <f t="shared" si="11"/>
        <v>26 y 11.66 m</v>
      </c>
      <c r="D112" s="24">
        <f>IF(A112&gt;=$E$2,IF(A112&lt;$E$2+$H$2,$P$2,0),IF(B112&lt;Dashboard!$I$6,0,IF(A112&gt;=$F$2,Dashboard!$C$23*POWER(1+$C$2,A112-$F$2),Dashboard!$C$23)))</f>
        <v>5092.3674515238745</v>
      </c>
      <c r="E112" s="24">
        <f>IF(A112&gt;=$F$2,0,IF(A112=0,Dashboard!$G$10,IF(B112&lt;Dashboard!$I$6,IF($J$2&lt;=Dashboard!$H$10,Dashboard!$H$10,MAX(Dashboard!$H$10,MIN($J$2,Dashboard!$H$10*POWER($J$2/Dashboard!$H$10,A112/$D$2)))),$I$2-D112-Dashboard!$I$10-Dashboard!$J$10-Dashboard!$F$10*$I$2)))</f>
        <v>1789.4325484761255</v>
      </c>
      <c r="F112" s="24">
        <f t="shared" si="12"/>
        <v>0</v>
      </c>
      <c r="G112" s="24">
        <f t="shared" si="13"/>
        <v>0</v>
      </c>
      <c r="H112" s="24">
        <f t="shared" si="14"/>
        <v>0</v>
      </c>
      <c r="I112" s="24">
        <f t="shared" si="15"/>
        <v>1789.4325484761255</v>
      </c>
      <c r="J112" s="25">
        <f t="shared" si="16"/>
        <v>7.9741404289037643E-3</v>
      </c>
      <c r="K112" s="24">
        <f t="shared" si="21"/>
        <v>355932.36568459915</v>
      </c>
      <c r="L112" s="24" t="str">
        <f t="shared" si="17"/>
        <v/>
      </c>
      <c r="M112" s="24">
        <f t="shared" si="18"/>
        <v>0</v>
      </c>
      <c r="N112" s="24">
        <f>IF(M112&lt;=0,0,IF($E$2-A112&lt;12,(M112-E112)*Dashboard!$B$18,IF($Q$2+A112&gt;=$R$2,MAX(0,M112-E112*POWER(1+$C$2,$E$2-A112))*MAX(Dashboard!$C$18,Dashboard!$B$18),IF($S$2&lt;$R$2,(M112-E112)*0.5*Dashboard!$B$18,(E112*POWER(1+$A$2,$R$2-($Q$2+A112))-E112)*0.5*Dashboard!$B$18+MAX(0,M112-E112*POWER(1+$A$2,$R$2-($Q$2+A112))*POWER(1+$C$2,$S$2-$R$2))*MAX(Dashboard!$C$18,Dashboard!$B$18)))))</f>
        <v>0</v>
      </c>
    </row>
    <row r="113" spans="1:14" x14ac:dyDescent="0.2">
      <c r="A113" s="22">
        <f t="shared" si="19"/>
        <v>108</v>
      </c>
      <c r="B113" s="23">
        <f t="shared" si="20"/>
        <v>27.054794520547816</v>
      </c>
      <c r="C113" t="str">
        <f t="shared" si="11"/>
        <v>27 y 0.66 m</v>
      </c>
      <c r="D113" s="24">
        <f>IF(A113&gt;=$E$2,IF(A113&lt;$E$2+$H$2,$P$2,0),IF(B113&lt;Dashboard!$I$6,0,IF(A113&gt;=$F$2,Dashboard!$C$23*POWER(1+$C$2,A113-$F$2),Dashboard!$C$23)))</f>
        <v>5092.3674515238745</v>
      </c>
      <c r="E113" s="24">
        <f>IF(A113&gt;=$F$2,0,IF(A113=0,Dashboard!$G$10,IF(B113&lt;Dashboard!$I$6,IF($J$2&lt;=Dashboard!$H$10,Dashboard!$H$10,MAX(Dashboard!$H$10,MIN($J$2,Dashboard!$H$10*POWER($J$2/Dashboard!$H$10,A113/$D$2)))),$I$2-D113-Dashboard!$I$10-Dashboard!$J$10-Dashboard!$F$10*$I$2)))</f>
        <v>1789.4325484761255</v>
      </c>
      <c r="F113" s="24">
        <f t="shared" si="12"/>
        <v>0</v>
      </c>
      <c r="G113" s="24">
        <f t="shared" si="13"/>
        <v>0</v>
      </c>
      <c r="H113" s="24">
        <f t="shared" si="14"/>
        <v>0</v>
      </c>
      <c r="I113" s="24">
        <f t="shared" si="15"/>
        <v>1789.4325484761255</v>
      </c>
      <c r="J113" s="25">
        <f t="shared" si="16"/>
        <v>7.9741404289037643E-3</v>
      </c>
      <c r="K113" s="24">
        <f t="shared" si="21"/>
        <v>360574.32208666584</v>
      </c>
      <c r="L113" s="24" t="str">
        <f t="shared" si="17"/>
        <v/>
      </c>
      <c r="M113" s="24">
        <f t="shared" si="18"/>
        <v>0</v>
      </c>
      <c r="N113" s="24">
        <f>IF(M113&lt;=0,0,IF($E$2-A113&lt;12,(M113-E113)*Dashboard!$B$18,IF($Q$2+A113&gt;=$R$2,MAX(0,M113-E113*POWER(1+$C$2,$E$2-A113))*MAX(Dashboard!$C$18,Dashboard!$B$18),IF($S$2&lt;$R$2,(M113-E113)*0.5*Dashboard!$B$18,(E113*POWER(1+$A$2,$R$2-($Q$2+A113))-E113)*0.5*Dashboard!$B$18+MAX(0,M113-E113*POWER(1+$A$2,$R$2-($Q$2+A113))*POWER(1+$C$2,$S$2-$R$2))*MAX(Dashboard!$C$18,Dashboard!$B$18)))))</f>
        <v>0</v>
      </c>
    </row>
    <row r="114" spans="1:14" x14ac:dyDescent="0.2">
      <c r="A114" s="22">
        <f t="shared" si="19"/>
        <v>109</v>
      </c>
      <c r="B114" s="23">
        <f t="shared" si="20"/>
        <v>27.138127853881148</v>
      </c>
      <c r="C114" t="str">
        <f t="shared" si="11"/>
        <v>27 y 1.66 m</v>
      </c>
      <c r="D114" s="24">
        <f>IF(A114&gt;=$E$2,IF(A114&lt;$E$2+$H$2,$P$2,0),IF(B114&lt;Dashboard!$I$6,0,IF(A114&gt;=$F$2,Dashboard!$C$23*POWER(1+$C$2,A114-$F$2),Dashboard!$C$23)))</f>
        <v>5092.3674515238745</v>
      </c>
      <c r="E114" s="24">
        <f>IF(A114&gt;=$F$2,0,IF(A114=0,Dashboard!$G$10,IF(B114&lt;Dashboard!$I$6,IF($J$2&lt;=Dashboard!$H$10,Dashboard!$H$10,MAX(Dashboard!$H$10,MIN($J$2,Dashboard!$H$10*POWER($J$2/Dashboard!$H$10,A114/$D$2)))),$I$2-D114-Dashboard!$I$10-Dashboard!$J$10-Dashboard!$F$10*$I$2)))</f>
        <v>1789.4325484761255</v>
      </c>
      <c r="F114" s="24">
        <f t="shared" si="12"/>
        <v>0</v>
      </c>
      <c r="G114" s="24">
        <f t="shared" si="13"/>
        <v>0</v>
      </c>
      <c r="H114" s="24">
        <f t="shared" si="14"/>
        <v>0</v>
      </c>
      <c r="I114" s="24">
        <f t="shared" si="15"/>
        <v>1789.4325484761255</v>
      </c>
      <c r="J114" s="25">
        <f t="shared" si="16"/>
        <v>7.9741404289037643E-3</v>
      </c>
      <c r="K114" s="24">
        <f t="shared" si="21"/>
        <v>365253.29410094745</v>
      </c>
      <c r="L114" s="24" t="str">
        <f t="shared" si="17"/>
        <v/>
      </c>
      <c r="M114" s="24">
        <f t="shared" si="18"/>
        <v>0</v>
      </c>
      <c r="N114" s="24">
        <f>IF(M114&lt;=0,0,IF($E$2-A114&lt;12,(M114-E114)*Dashboard!$B$18,IF($Q$2+A114&gt;=$R$2,MAX(0,M114-E114*POWER(1+$C$2,$E$2-A114))*MAX(Dashboard!$C$18,Dashboard!$B$18),IF($S$2&lt;$R$2,(M114-E114)*0.5*Dashboard!$B$18,(E114*POWER(1+$A$2,$R$2-($Q$2+A114))-E114)*0.5*Dashboard!$B$18+MAX(0,M114-E114*POWER(1+$A$2,$R$2-($Q$2+A114))*POWER(1+$C$2,$S$2-$R$2))*MAX(Dashboard!$C$18,Dashboard!$B$18)))))</f>
        <v>0</v>
      </c>
    </row>
    <row r="115" spans="1:14" x14ac:dyDescent="0.2">
      <c r="A115" s="22">
        <f t="shared" si="19"/>
        <v>110</v>
      </c>
      <c r="B115" s="23">
        <f t="shared" si="20"/>
        <v>27.22146118721448</v>
      </c>
      <c r="C115" t="str">
        <f t="shared" si="11"/>
        <v>27 y 2.66 m</v>
      </c>
      <c r="D115" s="24">
        <f>IF(A115&gt;=$E$2,IF(A115&lt;$E$2+$H$2,$P$2,0),IF(B115&lt;Dashboard!$I$6,0,IF(A115&gt;=$F$2,Dashboard!$C$23*POWER(1+$C$2,A115-$F$2),Dashboard!$C$23)))</f>
        <v>5092.3674515238745</v>
      </c>
      <c r="E115" s="24">
        <f>IF(A115&gt;=$F$2,0,IF(A115=0,Dashboard!$G$10,IF(B115&lt;Dashboard!$I$6,IF($J$2&lt;=Dashboard!$H$10,Dashboard!$H$10,MAX(Dashboard!$H$10,MIN($J$2,Dashboard!$H$10*POWER($J$2/Dashboard!$H$10,A115/$D$2)))),$I$2-D115-Dashboard!$I$10-Dashboard!$J$10-Dashboard!$F$10*$I$2)))</f>
        <v>1789.4325484761255</v>
      </c>
      <c r="F115" s="24">
        <f t="shared" si="12"/>
        <v>0</v>
      </c>
      <c r="G115" s="24">
        <f t="shared" si="13"/>
        <v>0</v>
      </c>
      <c r="H115" s="24">
        <f t="shared" si="14"/>
        <v>0</v>
      </c>
      <c r="I115" s="24">
        <f t="shared" si="15"/>
        <v>1789.4325484761255</v>
      </c>
      <c r="J115" s="25">
        <f t="shared" si="16"/>
        <v>7.9741404289037643E-3</v>
      </c>
      <c r="K115" s="24">
        <f t="shared" si="21"/>
        <v>369969.57689513383</v>
      </c>
      <c r="L115" s="24" t="str">
        <f t="shared" si="17"/>
        <v/>
      </c>
      <c r="M115" s="24">
        <f t="shared" si="18"/>
        <v>0</v>
      </c>
      <c r="N115" s="24">
        <f>IF(M115&lt;=0,0,IF($E$2-A115&lt;12,(M115-E115)*Dashboard!$B$18,IF($Q$2+A115&gt;=$R$2,MAX(0,M115-E115*POWER(1+$C$2,$E$2-A115))*MAX(Dashboard!$C$18,Dashboard!$B$18),IF($S$2&lt;$R$2,(M115-E115)*0.5*Dashboard!$B$18,(E115*POWER(1+$A$2,$R$2-($Q$2+A115))-E115)*0.5*Dashboard!$B$18+MAX(0,M115-E115*POWER(1+$A$2,$R$2-($Q$2+A115))*POWER(1+$C$2,$S$2-$R$2))*MAX(Dashboard!$C$18,Dashboard!$B$18)))))</f>
        <v>0</v>
      </c>
    </row>
    <row r="116" spans="1:14" x14ac:dyDescent="0.2">
      <c r="A116" s="22">
        <f t="shared" si="19"/>
        <v>111</v>
      </c>
      <c r="B116" s="23">
        <f t="shared" si="20"/>
        <v>27.304794520547812</v>
      </c>
      <c r="C116" t="str">
        <f t="shared" si="11"/>
        <v>27 y 3.66 m</v>
      </c>
      <c r="D116" s="24">
        <f>IF(A116&gt;=$E$2,IF(A116&lt;$E$2+$H$2,$P$2,0),IF(B116&lt;Dashboard!$I$6,0,IF(A116&gt;=$F$2,Dashboard!$C$23*POWER(1+$C$2,A116-$F$2),Dashboard!$C$23)))</f>
        <v>5092.3674515238745</v>
      </c>
      <c r="E116" s="24">
        <f>IF(A116&gt;=$F$2,0,IF(A116=0,Dashboard!$G$10,IF(B116&lt;Dashboard!$I$6,IF($J$2&lt;=Dashboard!$H$10,Dashboard!$H$10,MAX(Dashboard!$H$10,MIN($J$2,Dashboard!$H$10*POWER($J$2/Dashboard!$H$10,A116/$D$2)))),$I$2-D116-Dashboard!$I$10-Dashboard!$J$10-Dashboard!$F$10*$I$2)))</f>
        <v>1789.4325484761255</v>
      </c>
      <c r="F116" s="24">
        <f t="shared" si="12"/>
        <v>0</v>
      </c>
      <c r="G116" s="24">
        <f t="shared" si="13"/>
        <v>0</v>
      </c>
      <c r="H116" s="24">
        <f t="shared" si="14"/>
        <v>0</v>
      </c>
      <c r="I116" s="24">
        <f t="shared" si="15"/>
        <v>1789.4325484761255</v>
      </c>
      <c r="J116" s="25">
        <f t="shared" si="16"/>
        <v>7.9741404289037643E-3</v>
      </c>
      <c r="K116" s="24">
        <f t="shared" si="21"/>
        <v>374723.4679906235</v>
      </c>
      <c r="L116" s="24" t="str">
        <f t="shared" si="17"/>
        <v/>
      </c>
      <c r="M116" s="24">
        <f t="shared" si="18"/>
        <v>0</v>
      </c>
      <c r="N116" s="24">
        <f>IF(M116&lt;=0,0,IF($E$2-A116&lt;12,(M116-E116)*Dashboard!$B$18,IF($Q$2+A116&gt;=$R$2,MAX(0,M116-E116*POWER(1+$C$2,$E$2-A116))*MAX(Dashboard!$C$18,Dashboard!$B$18),IF($S$2&lt;$R$2,(M116-E116)*0.5*Dashboard!$B$18,(E116*POWER(1+$A$2,$R$2-($Q$2+A116))-E116)*0.5*Dashboard!$B$18+MAX(0,M116-E116*POWER(1+$A$2,$R$2-($Q$2+A116))*POWER(1+$C$2,$S$2-$R$2))*MAX(Dashboard!$C$18,Dashboard!$B$18)))))</f>
        <v>0</v>
      </c>
    </row>
    <row r="117" spans="1:14" x14ac:dyDescent="0.2">
      <c r="A117" s="22">
        <f t="shared" si="19"/>
        <v>112</v>
      </c>
      <c r="B117" s="23">
        <f t="shared" si="20"/>
        <v>27.388127853881144</v>
      </c>
      <c r="C117" t="str">
        <f t="shared" si="11"/>
        <v>27 y 4.66 m</v>
      </c>
      <c r="D117" s="24">
        <f>IF(A117&gt;=$E$2,IF(A117&lt;$E$2+$H$2,$P$2,0),IF(B117&lt;Dashboard!$I$6,0,IF(A117&gt;=$F$2,Dashboard!$C$23*POWER(1+$C$2,A117-$F$2),Dashboard!$C$23)))</f>
        <v>5092.3674515238745</v>
      </c>
      <c r="E117" s="24">
        <f>IF(A117&gt;=$F$2,0,IF(A117=0,Dashboard!$G$10,IF(B117&lt;Dashboard!$I$6,IF($J$2&lt;=Dashboard!$H$10,Dashboard!$H$10,MAX(Dashboard!$H$10,MIN($J$2,Dashboard!$H$10*POWER($J$2/Dashboard!$H$10,A117/$D$2)))),$I$2-D117-Dashboard!$I$10-Dashboard!$J$10-Dashboard!$F$10*$I$2)))</f>
        <v>1789.4325484761255</v>
      </c>
      <c r="F117" s="24">
        <f t="shared" si="12"/>
        <v>0</v>
      </c>
      <c r="G117" s="24">
        <f t="shared" si="13"/>
        <v>0</v>
      </c>
      <c r="H117" s="24">
        <f t="shared" si="14"/>
        <v>0</v>
      </c>
      <c r="I117" s="24">
        <f t="shared" si="15"/>
        <v>1789.4325484761255</v>
      </c>
      <c r="J117" s="25">
        <f t="shared" si="16"/>
        <v>7.9741404289037643E-3</v>
      </c>
      <c r="K117" s="24">
        <f t="shared" si="21"/>
        <v>379515.2672812923</v>
      </c>
      <c r="L117" s="24" t="str">
        <f t="shared" si="17"/>
        <v/>
      </c>
      <c r="M117" s="24">
        <f t="shared" si="18"/>
        <v>0</v>
      </c>
      <c r="N117" s="24">
        <f>IF(M117&lt;=0,0,IF($E$2-A117&lt;12,(M117-E117)*Dashboard!$B$18,IF($Q$2+A117&gt;=$R$2,MAX(0,M117-E117*POWER(1+$C$2,$E$2-A117))*MAX(Dashboard!$C$18,Dashboard!$B$18),IF($S$2&lt;$R$2,(M117-E117)*0.5*Dashboard!$B$18,(E117*POWER(1+$A$2,$R$2-($Q$2+A117))-E117)*0.5*Dashboard!$B$18+MAX(0,M117-E117*POWER(1+$A$2,$R$2-($Q$2+A117))*POWER(1+$C$2,$S$2-$R$2))*MAX(Dashboard!$C$18,Dashboard!$B$18)))))</f>
        <v>0</v>
      </c>
    </row>
    <row r="118" spans="1:14" x14ac:dyDescent="0.2">
      <c r="A118" s="22">
        <f t="shared" si="19"/>
        <v>113</v>
      </c>
      <c r="B118" s="23">
        <f t="shared" si="20"/>
        <v>27.471461187214476</v>
      </c>
      <c r="C118" t="str">
        <f t="shared" si="11"/>
        <v>27 y 5.66 m</v>
      </c>
      <c r="D118" s="24">
        <f>IF(A118&gt;=$E$2,IF(A118&lt;$E$2+$H$2,$P$2,0),IF(B118&lt;Dashboard!$I$6,0,IF(A118&gt;=$F$2,Dashboard!$C$23*POWER(1+$C$2,A118-$F$2),Dashboard!$C$23)))</f>
        <v>5092.3674515238745</v>
      </c>
      <c r="E118" s="24">
        <f>IF(A118&gt;=$F$2,0,IF(A118=0,Dashboard!$G$10,IF(B118&lt;Dashboard!$I$6,IF($J$2&lt;=Dashboard!$H$10,Dashboard!$H$10,MAX(Dashboard!$H$10,MIN($J$2,Dashboard!$H$10*POWER($J$2/Dashboard!$H$10,A118/$D$2)))),$I$2-D118-Dashboard!$I$10-Dashboard!$J$10-Dashboard!$F$10*$I$2)))</f>
        <v>1789.4325484761255</v>
      </c>
      <c r="F118" s="24">
        <f t="shared" si="12"/>
        <v>0</v>
      </c>
      <c r="G118" s="24">
        <f t="shared" si="13"/>
        <v>0</v>
      </c>
      <c r="H118" s="24">
        <f t="shared" si="14"/>
        <v>0</v>
      </c>
      <c r="I118" s="24">
        <f t="shared" si="15"/>
        <v>1789.4325484761255</v>
      </c>
      <c r="J118" s="25">
        <f t="shared" si="16"/>
        <v>7.9741404289037643E-3</v>
      </c>
      <c r="K118" s="24">
        <f t="shared" si="21"/>
        <v>384345.27705241204</v>
      </c>
      <c r="L118" s="24" t="str">
        <f t="shared" si="17"/>
        <v/>
      </c>
      <c r="M118" s="24">
        <f t="shared" si="18"/>
        <v>0</v>
      </c>
      <c r="N118" s="24">
        <f>IF(M118&lt;=0,0,IF($E$2-A118&lt;12,(M118-E118)*Dashboard!$B$18,IF($Q$2+A118&gt;=$R$2,MAX(0,M118-E118*POWER(1+$C$2,$E$2-A118))*MAX(Dashboard!$C$18,Dashboard!$B$18),IF($S$2&lt;$R$2,(M118-E118)*0.5*Dashboard!$B$18,(E118*POWER(1+$A$2,$R$2-($Q$2+A118))-E118)*0.5*Dashboard!$B$18+MAX(0,M118-E118*POWER(1+$A$2,$R$2-($Q$2+A118))*POWER(1+$C$2,$S$2-$R$2))*MAX(Dashboard!$C$18,Dashboard!$B$18)))))</f>
        <v>0</v>
      </c>
    </row>
    <row r="119" spans="1:14" x14ac:dyDescent="0.2">
      <c r="A119" s="22">
        <f t="shared" si="19"/>
        <v>114</v>
      </c>
      <c r="B119" s="23">
        <f t="shared" si="20"/>
        <v>27.554794520547809</v>
      </c>
      <c r="C119" t="str">
        <f t="shared" si="11"/>
        <v>27 y 6.66 m</v>
      </c>
      <c r="D119" s="24">
        <f>IF(A119&gt;=$E$2,IF(A119&lt;$E$2+$H$2,$P$2,0),IF(B119&lt;Dashboard!$I$6,0,IF(A119&gt;=$F$2,Dashboard!$C$23*POWER(1+$C$2,A119-$F$2),Dashboard!$C$23)))</f>
        <v>5092.3674515238745</v>
      </c>
      <c r="E119" s="24">
        <f>IF(A119&gt;=$F$2,0,IF(A119=0,Dashboard!$G$10,IF(B119&lt;Dashboard!$I$6,IF($J$2&lt;=Dashboard!$H$10,Dashboard!$H$10,MAX(Dashboard!$H$10,MIN($J$2,Dashboard!$H$10*POWER($J$2/Dashboard!$H$10,A119/$D$2)))),$I$2-D119-Dashboard!$I$10-Dashboard!$J$10-Dashboard!$F$10*$I$2)))</f>
        <v>1789.4325484761255</v>
      </c>
      <c r="F119" s="24">
        <f t="shared" si="12"/>
        <v>0</v>
      </c>
      <c r="G119" s="24">
        <f t="shared" si="13"/>
        <v>0</v>
      </c>
      <c r="H119" s="24">
        <f t="shared" si="14"/>
        <v>0</v>
      </c>
      <c r="I119" s="24">
        <f t="shared" si="15"/>
        <v>1789.4325484761255</v>
      </c>
      <c r="J119" s="25">
        <f t="shared" si="16"/>
        <v>7.9741404289037643E-3</v>
      </c>
      <c r="K119" s="24">
        <f t="shared" si="21"/>
        <v>389213.80199971964</v>
      </c>
      <c r="L119" s="24" t="str">
        <f t="shared" si="17"/>
        <v/>
      </c>
      <c r="M119" s="24">
        <f t="shared" si="18"/>
        <v>0</v>
      </c>
      <c r="N119" s="24">
        <f>IF(M119&lt;=0,0,IF($E$2-A119&lt;12,(M119-E119)*Dashboard!$B$18,IF($Q$2+A119&gt;=$R$2,MAX(0,M119-E119*POWER(1+$C$2,$E$2-A119))*MAX(Dashboard!$C$18,Dashboard!$B$18),IF($S$2&lt;$R$2,(M119-E119)*0.5*Dashboard!$B$18,(E119*POWER(1+$A$2,$R$2-($Q$2+A119))-E119)*0.5*Dashboard!$B$18+MAX(0,M119-E119*POWER(1+$A$2,$R$2-($Q$2+A119))*POWER(1+$C$2,$S$2-$R$2))*MAX(Dashboard!$C$18,Dashboard!$B$18)))))</f>
        <v>0</v>
      </c>
    </row>
    <row r="120" spans="1:14" x14ac:dyDescent="0.2">
      <c r="A120" s="22">
        <f t="shared" si="19"/>
        <v>115</v>
      </c>
      <c r="B120" s="23">
        <f t="shared" si="20"/>
        <v>27.638127853881141</v>
      </c>
      <c r="C120" t="str">
        <f t="shared" si="11"/>
        <v>27 y 7.66 m</v>
      </c>
      <c r="D120" s="24">
        <f>IF(A120&gt;=$E$2,IF(A120&lt;$E$2+$H$2,$P$2,0),IF(B120&lt;Dashboard!$I$6,0,IF(A120&gt;=$F$2,Dashboard!$C$23*POWER(1+$C$2,A120-$F$2),Dashboard!$C$23)))</f>
        <v>5092.3674515238745</v>
      </c>
      <c r="E120" s="24">
        <f>IF(A120&gt;=$F$2,0,IF(A120=0,Dashboard!$G$10,IF(B120&lt;Dashboard!$I$6,IF($J$2&lt;=Dashboard!$H$10,Dashboard!$H$10,MAX(Dashboard!$H$10,MIN($J$2,Dashboard!$H$10*POWER($J$2/Dashboard!$H$10,A120/$D$2)))),$I$2-D120-Dashboard!$I$10-Dashboard!$J$10-Dashboard!$F$10*$I$2)))</f>
        <v>1789.4325484761255</v>
      </c>
      <c r="F120" s="24">
        <f t="shared" si="12"/>
        <v>0</v>
      </c>
      <c r="G120" s="24">
        <f t="shared" si="13"/>
        <v>0</v>
      </c>
      <c r="H120" s="24">
        <f t="shared" si="14"/>
        <v>0</v>
      </c>
      <c r="I120" s="24">
        <f t="shared" si="15"/>
        <v>1789.4325484761255</v>
      </c>
      <c r="J120" s="25">
        <f t="shared" si="16"/>
        <v>7.9741404289037643E-3</v>
      </c>
      <c r="K120" s="24">
        <f t="shared" si="21"/>
        <v>394121.14924863871</v>
      </c>
      <c r="L120" s="24" t="str">
        <f t="shared" si="17"/>
        <v/>
      </c>
      <c r="M120" s="24">
        <f t="shared" si="18"/>
        <v>0</v>
      </c>
      <c r="N120" s="24">
        <f>IF(M120&lt;=0,0,IF($E$2-A120&lt;12,(M120-E120)*Dashboard!$B$18,IF($Q$2+A120&gt;=$R$2,MAX(0,M120-E120*POWER(1+$C$2,$E$2-A120))*MAX(Dashboard!$C$18,Dashboard!$B$18),IF($S$2&lt;$R$2,(M120-E120)*0.5*Dashboard!$B$18,(E120*POWER(1+$A$2,$R$2-($Q$2+A120))-E120)*0.5*Dashboard!$B$18+MAX(0,M120-E120*POWER(1+$A$2,$R$2-($Q$2+A120))*POWER(1+$C$2,$S$2-$R$2))*MAX(Dashboard!$C$18,Dashboard!$B$18)))))</f>
        <v>0</v>
      </c>
    </row>
    <row r="121" spans="1:14" x14ac:dyDescent="0.2">
      <c r="A121" s="22">
        <f t="shared" si="19"/>
        <v>116</v>
      </c>
      <c r="B121" s="23">
        <f t="shared" si="20"/>
        <v>27.721461187214473</v>
      </c>
      <c r="C121" t="str">
        <f t="shared" si="11"/>
        <v>27 y 8.66 m</v>
      </c>
      <c r="D121" s="24">
        <f>IF(A121&gt;=$E$2,IF(A121&lt;$E$2+$H$2,$P$2,0),IF(B121&lt;Dashboard!$I$6,0,IF(A121&gt;=$F$2,Dashboard!$C$23*POWER(1+$C$2,A121-$F$2),Dashboard!$C$23)))</f>
        <v>5092.3674515238745</v>
      </c>
      <c r="E121" s="24">
        <f>IF(A121&gt;=$F$2,0,IF(A121=0,Dashboard!$G$10,IF(B121&lt;Dashboard!$I$6,IF($J$2&lt;=Dashboard!$H$10,Dashboard!$H$10,MAX(Dashboard!$H$10,MIN($J$2,Dashboard!$H$10*POWER($J$2/Dashboard!$H$10,A121/$D$2)))),$I$2-D121-Dashboard!$I$10-Dashboard!$J$10-Dashboard!$F$10*$I$2)))</f>
        <v>1789.4325484761255</v>
      </c>
      <c r="F121" s="24">
        <f t="shared" si="12"/>
        <v>0</v>
      </c>
      <c r="G121" s="24">
        <f t="shared" si="13"/>
        <v>0</v>
      </c>
      <c r="H121" s="24">
        <f t="shared" si="14"/>
        <v>0</v>
      </c>
      <c r="I121" s="24">
        <f t="shared" si="15"/>
        <v>1789.4325484761255</v>
      </c>
      <c r="J121" s="25">
        <f t="shared" si="16"/>
        <v>7.9741404289037643E-3</v>
      </c>
      <c r="K121" s="24">
        <f t="shared" si="21"/>
        <v>399067.62837365404</v>
      </c>
      <c r="L121" s="24" t="str">
        <f t="shared" si="17"/>
        <v/>
      </c>
      <c r="M121" s="24">
        <f t="shared" si="18"/>
        <v>0</v>
      </c>
      <c r="N121" s="24">
        <f>IF(M121&lt;=0,0,IF($E$2-A121&lt;12,(M121-E121)*Dashboard!$B$18,IF($Q$2+A121&gt;=$R$2,MAX(0,M121-E121*POWER(1+$C$2,$E$2-A121))*MAX(Dashboard!$C$18,Dashboard!$B$18),IF($S$2&lt;$R$2,(M121-E121)*0.5*Dashboard!$B$18,(E121*POWER(1+$A$2,$R$2-($Q$2+A121))-E121)*0.5*Dashboard!$B$18+MAX(0,M121-E121*POWER(1+$A$2,$R$2-($Q$2+A121))*POWER(1+$C$2,$S$2-$R$2))*MAX(Dashboard!$C$18,Dashboard!$B$18)))))</f>
        <v>0</v>
      </c>
    </row>
    <row r="122" spans="1:14" x14ac:dyDescent="0.2">
      <c r="A122" s="22">
        <f t="shared" si="19"/>
        <v>117</v>
      </c>
      <c r="B122" s="23">
        <f t="shared" si="20"/>
        <v>27.804794520547805</v>
      </c>
      <c r="C122" t="str">
        <f t="shared" si="11"/>
        <v>27 y 9.66 m</v>
      </c>
      <c r="D122" s="24">
        <f>IF(A122&gt;=$E$2,IF(A122&lt;$E$2+$H$2,$P$2,0),IF(B122&lt;Dashboard!$I$6,0,IF(A122&gt;=$F$2,Dashboard!$C$23*POWER(1+$C$2,A122-$F$2),Dashboard!$C$23)))</f>
        <v>5092.3674515238745</v>
      </c>
      <c r="E122" s="24">
        <f>IF(A122&gt;=$F$2,0,IF(A122=0,Dashboard!$G$10,IF(B122&lt;Dashboard!$I$6,IF($J$2&lt;=Dashboard!$H$10,Dashboard!$H$10,MAX(Dashboard!$H$10,MIN($J$2,Dashboard!$H$10*POWER($J$2/Dashboard!$H$10,A122/$D$2)))),$I$2-D122-Dashboard!$I$10-Dashboard!$J$10-Dashboard!$F$10*$I$2)))</f>
        <v>1789.4325484761255</v>
      </c>
      <c r="F122" s="24">
        <f t="shared" si="12"/>
        <v>0</v>
      </c>
      <c r="G122" s="24">
        <f t="shared" si="13"/>
        <v>0</v>
      </c>
      <c r="H122" s="24">
        <f t="shared" si="14"/>
        <v>0</v>
      </c>
      <c r="I122" s="24">
        <f t="shared" si="15"/>
        <v>1789.4325484761255</v>
      </c>
      <c r="J122" s="25">
        <f t="shared" si="16"/>
        <v>7.9741404289037643E-3</v>
      </c>
      <c r="K122" s="24">
        <f t="shared" si="21"/>
        <v>404053.55141784088</v>
      </c>
      <c r="L122" s="24" t="str">
        <f t="shared" si="17"/>
        <v/>
      </c>
      <c r="M122" s="24">
        <f t="shared" si="18"/>
        <v>0</v>
      </c>
      <c r="N122" s="24">
        <f>IF(M122&lt;=0,0,IF($E$2-A122&lt;12,(M122-E122)*Dashboard!$B$18,IF($Q$2+A122&gt;=$R$2,MAX(0,M122-E122*POWER(1+$C$2,$E$2-A122))*MAX(Dashboard!$C$18,Dashboard!$B$18),IF($S$2&lt;$R$2,(M122-E122)*0.5*Dashboard!$B$18,(E122*POWER(1+$A$2,$R$2-($Q$2+A122))-E122)*0.5*Dashboard!$B$18+MAX(0,M122-E122*POWER(1+$A$2,$R$2-($Q$2+A122))*POWER(1+$C$2,$S$2-$R$2))*MAX(Dashboard!$C$18,Dashboard!$B$18)))))</f>
        <v>0</v>
      </c>
    </row>
    <row r="123" spans="1:14" x14ac:dyDescent="0.2">
      <c r="A123" s="22">
        <f t="shared" si="19"/>
        <v>118</v>
      </c>
      <c r="B123" s="23">
        <f t="shared" si="20"/>
        <v>27.888127853881137</v>
      </c>
      <c r="C123" t="str">
        <f t="shared" si="11"/>
        <v>27 y 10.66 m</v>
      </c>
      <c r="D123" s="24">
        <f>IF(A123&gt;=$E$2,IF(A123&lt;$E$2+$H$2,$P$2,0),IF(B123&lt;Dashboard!$I$6,0,IF(A123&gt;=$F$2,Dashboard!$C$23*POWER(1+$C$2,A123-$F$2),Dashboard!$C$23)))</f>
        <v>5092.3674515238745</v>
      </c>
      <c r="E123" s="24">
        <f>IF(A123&gt;=$F$2,0,IF(A123=0,Dashboard!$G$10,IF(B123&lt;Dashboard!$I$6,IF($J$2&lt;=Dashboard!$H$10,Dashboard!$H$10,MAX(Dashboard!$H$10,MIN($J$2,Dashboard!$H$10*POWER($J$2/Dashboard!$H$10,A123/$D$2)))),$I$2-D123-Dashboard!$I$10-Dashboard!$J$10-Dashboard!$F$10*$I$2)))</f>
        <v>1789.4325484761255</v>
      </c>
      <c r="F123" s="24">
        <f t="shared" si="12"/>
        <v>0</v>
      </c>
      <c r="G123" s="24">
        <f t="shared" si="13"/>
        <v>0</v>
      </c>
      <c r="H123" s="24">
        <f t="shared" si="14"/>
        <v>0</v>
      </c>
      <c r="I123" s="24">
        <f t="shared" si="15"/>
        <v>1789.4325484761255</v>
      </c>
      <c r="J123" s="25">
        <f t="shared" si="16"/>
        <v>7.9741404289037643E-3</v>
      </c>
      <c r="K123" s="24">
        <f t="shared" si="21"/>
        <v>409079.23291254981</v>
      </c>
      <c r="L123" s="24" t="str">
        <f t="shared" si="17"/>
        <v/>
      </c>
      <c r="M123" s="24">
        <f t="shared" si="18"/>
        <v>0</v>
      </c>
      <c r="N123" s="24">
        <f>IF(M123&lt;=0,0,IF($E$2-A123&lt;12,(M123-E123)*Dashboard!$B$18,IF($Q$2+A123&gt;=$R$2,MAX(0,M123-E123*POWER(1+$C$2,$E$2-A123))*MAX(Dashboard!$C$18,Dashboard!$B$18),IF($S$2&lt;$R$2,(M123-E123)*0.5*Dashboard!$B$18,(E123*POWER(1+$A$2,$R$2-($Q$2+A123))-E123)*0.5*Dashboard!$B$18+MAX(0,M123-E123*POWER(1+$A$2,$R$2-($Q$2+A123))*POWER(1+$C$2,$S$2-$R$2))*MAX(Dashboard!$C$18,Dashboard!$B$18)))))</f>
        <v>0</v>
      </c>
    </row>
    <row r="124" spans="1:14" x14ac:dyDescent="0.2">
      <c r="A124" s="22">
        <f t="shared" si="19"/>
        <v>119</v>
      </c>
      <c r="B124" s="23">
        <f t="shared" si="20"/>
        <v>27.971461187214469</v>
      </c>
      <c r="C124" t="str">
        <f t="shared" si="11"/>
        <v>27 y 11.66 m</v>
      </c>
      <c r="D124" s="24">
        <f>IF(A124&gt;=$E$2,IF(A124&lt;$E$2+$H$2,$P$2,0),IF(B124&lt;Dashboard!$I$6,0,IF(A124&gt;=$F$2,Dashboard!$C$23*POWER(1+$C$2,A124-$F$2),Dashboard!$C$23)))</f>
        <v>5092.3674515238745</v>
      </c>
      <c r="E124" s="24">
        <f>IF(A124&gt;=$F$2,0,IF(A124=0,Dashboard!$G$10,IF(B124&lt;Dashboard!$I$6,IF($J$2&lt;=Dashboard!$H$10,Dashboard!$H$10,MAX(Dashboard!$H$10,MIN($J$2,Dashboard!$H$10*POWER($J$2/Dashboard!$H$10,A124/$D$2)))),$I$2-D124-Dashboard!$I$10-Dashboard!$J$10-Dashboard!$F$10*$I$2)))</f>
        <v>1789.4325484761255</v>
      </c>
      <c r="F124" s="24">
        <f t="shared" si="12"/>
        <v>0</v>
      </c>
      <c r="G124" s="24">
        <f t="shared" si="13"/>
        <v>0</v>
      </c>
      <c r="H124" s="24">
        <f t="shared" si="14"/>
        <v>0</v>
      </c>
      <c r="I124" s="24">
        <f t="shared" si="15"/>
        <v>1789.4325484761255</v>
      </c>
      <c r="J124" s="25">
        <f t="shared" si="16"/>
        <v>7.9741404289037643E-3</v>
      </c>
      <c r="K124" s="24">
        <f t="shared" si="21"/>
        <v>414144.98989724845</v>
      </c>
      <c r="L124" s="24" t="str">
        <f t="shared" si="17"/>
        <v/>
      </c>
      <c r="M124" s="24">
        <f t="shared" si="18"/>
        <v>0</v>
      </c>
      <c r="N124" s="24">
        <f>IF(M124&lt;=0,0,IF($E$2-A124&lt;12,(M124-E124)*Dashboard!$B$18,IF($Q$2+A124&gt;=$R$2,MAX(0,M124-E124*POWER(1+$C$2,$E$2-A124))*MAX(Dashboard!$C$18,Dashboard!$B$18),IF($S$2&lt;$R$2,(M124-E124)*0.5*Dashboard!$B$18,(E124*POWER(1+$A$2,$R$2-($Q$2+A124))-E124)*0.5*Dashboard!$B$18+MAX(0,M124-E124*POWER(1+$A$2,$R$2-($Q$2+A124))*POWER(1+$C$2,$S$2-$R$2))*MAX(Dashboard!$C$18,Dashboard!$B$18)))))</f>
        <v>0</v>
      </c>
    </row>
    <row r="125" spans="1:14" x14ac:dyDescent="0.2">
      <c r="A125" s="22">
        <f t="shared" si="19"/>
        <v>120</v>
      </c>
      <c r="B125" s="23">
        <f t="shared" si="20"/>
        <v>28.054794520547802</v>
      </c>
      <c r="C125" t="str">
        <f t="shared" si="11"/>
        <v>28 y 0.66 m</v>
      </c>
      <c r="D125" s="24">
        <f>IF(A125&gt;=$E$2,IF(A125&lt;$E$2+$H$2,$P$2,0),IF(B125&lt;Dashboard!$I$6,0,IF(A125&gt;=$F$2,Dashboard!$C$23*POWER(1+$C$2,A125-$F$2),Dashboard!$C$23)))</f>
        <v>5092.3674515238745</v>
      </c>
      <c r="E125" s="24">
        <f>IF(A125&gt;=$F$2,0,IF(A125=0,Dashboard!$G$10,IF(B125&lt;Dashboard!$I$6,IF($J$2&lt;=Dashboard!$H$10,Dashboard!$H$10,MAX(Dashboard!$H$10,MIN($J$2,Dashboard!$H$10*POWER($J$2/Dashboard!$H$10,A125/$D$2)))),$I$2-D125-Dashboard!$I$10-Dashboard!$J$10-Dashboard!$F$10*$I$2)))</f>
        <v>1789.4325484761255</v>
      </c>
      <c r="F125" s="24">
        <f t="shared" si="12"/>
        <v>0</v>
      </c>
      <c r="G125" s="24">
        <f t="shared" si="13"/>
        <v>0</v>
      </c>
      <c r="H125" s="24">
        <f t="shared" si="14"/>
        <v>0</v>
      </c>
      <c r="I125" s="24">
        <f t="shared" si="15"/>
        <v>1789.4325484761255</v>
      </c>
      <c r="J125" s="25">
        <f t="shared" si="16"/>
        <v>7.9741404289037643E-3</v>
      </c>
      <c r="K125" s="24">
        <f t="shared" si="21"/>
        <v>419251.14193952177</v>
      </c>
      <c r="L125" s="24" t="str">
        <f t="shared" si="17"/>
        <v/>
      </c>
      <c r="M125" s="24">
        <f t="shared" si="18"/>
        <v>0</v>
      </c>
      <c r="N125" s="24">
        <f>IF(M125&lt;=0,0,IF($E$2-A125&lt;12,(M125-E125)*Dashboard!$B$18,IF($Q$2+A125&gt;=$R$2,MAX(0,M125-E125*POWER(1+$C$2,$E$2-A125))*MAX(Dashboard!$C$18,Dashboard!$B$18),IF($S$2&lt;$R$2,(M125-E125)*0.5*Dashboard!$B$18,(E125*POWER(1+$A$2,$R$2-($Q$2+A125))-E125)*0.5*Dashboard!$B$18+MAX(0,M125-E125*POWER(1+$A$2,$R$2-($Q$2+A125))*POWER(1+$C$2,$S$2-$R$2))*MAX(Dashboard!$C$18,Dashboard!$B$18)))))</f>
        <v>0</v>
      </c>
    </row>
    <row r="126" spans="1:14" x14ac:dyDescent="0.2">
      <c r="A126" s="22">
        <f t="shared" si="19"/>
        <v>121</v>
      </c>
      <c r="B126" s="23">
        <f t="shared" si="20"/>
        <v>28.138127853881134</v>
      </c>
      <c r="C126" t="str">
        <f t="shared" si="11"/>
        <v>28 y 1.66 m</v>
      </c>
      <c r="D126" s="24">
        <f>IF(A126&gt;=$E$2,IF(A126&lt;$E$2+$H$2,$P$2,0),IF(B126&lt;Dashboard!$I$6,0,IF(A126&gt;=$F$2,Dashboard!$C$23*POWER(1+$C$2,A126-$F$2),Dashboard!$C$23)))</f>
        <v>5092.3674515238745</v>
      </c>
      <c r="E126" s="24">
        <f>IF(A126&gt;=$F$2,0,IF(A126=0,Dashboard!$G$10,IF(B126&lt;Dashboard!$I$6,IF($J$2&lt;=Dashboard!$H$10,Dashboard!$H$10,MAX(Dashboard!$H$10,MIN($J$2,Dashboard!$H$10*POWER($J$2/Dashboard!$H$10,A126/$D$2)))),$I$2-D126-Dashboard!$I$10-Dashboard!$J$10-Dashboard!$F$10*$I$2)))</f>
        <v>1789.4325484761255</v>
      </c>
      <c r="F126" s="24">
        <f t="shared" si="12"/>
        <v>0</v>
      </c>
      <c r="G126" s="24">
        <f t="shared" si="13"/>
        <v>0</v>
      </c>
      <c r="H126" s="24">
        <f t="shared" si="14"/>
        <v>0</v>
      </c>
      <c r="I126" s="24">
        <f t="shared" si="15"/>
        <v>1789.4325484761255</v>
      </c>
      <c r="J126" s="25">
        <f t="shared" si="16"/>
        <v>7.9741404289037643E-3</v>
      </c>
      <c r="K126" s="24">
        <f t="shared" si="21"/>
        <v>424398.01115523151</v>
      </c>
      <c r="L126" s="24" t="str">
        <f t="shared" si="17"/>
        <v/>
      </c>
      <c r="M126" s="24">
        <f t="shared" si="18"/>
        <v>0</v>
      </c>
      <c r="N126" s="24">
        <f>IF(M126&lt;=0,0,IF($E$2-A126&lt;12,(M126-E126)*Dashboard!$B$18,IF($Q$2+A126&gt;=$R$2,MAX(0,M126-E126*POWER(1+$C$2,$E$2-A126))*MAX(Dashboard!$C$18,Dashboard!$B$18),IF($S$2&lt;$R$2,(M126-E126)*0.5*Dashboard!$B$18,(E126*POWER(1+$A$2,$R$2-($Q$2+A126))-E126)*0.5*Dashboard!$B$18+MAX(0,M126-E126*POWER(1+$A$2,$R$2-($Q$2+A126))*POWER(1+$C$2,$S$2-$R$2))*MAX(Dashboard!$C$18,Dashboard!$B$18)))))</f>
        <v>0</v>
      </c>
    </row>
    <row r="127" spans="1:14" x14ac:dyDescent="0.2">
      <c r="A127" s="22">
        <f t="shared" si="19"/>
        <v>122</v>
      </c>
      <c r="B127" s="23">
        <f t="shared" si="20"/>
        <v>28.221461187214466</v>
      </c>
      <c r="C127" t="str">
        <f t="shared" si="11"/>
        <v>28 y 2.66 m</v>
      </c>
      <c r="D127" s="24">
        <f>IF(A127&gt;=$E$2,IF(A127&lt;$E$2+$H$2,$P$2,0),IF(B127&lt;Dashboard!$I$6,0,IF(A127&gt;=$F$2,Dashboard!$C$23*POWER(1+$C$2,A127-$F$2),Dashboard!$C$23)))</f>
        <v>5092.3674515238745</v>
      </c>
      <c r="E127" s="24">
        <f>IF(A127&gt;=$F$2,0,IF(A127=0,Dashboard!$G$10,IF(B127&lt;Dashboard!$I$6,IF($J$2&lt;=Dashboard!$H$10,Dashboard!$H$10,MAX(Dashboard!$H$10,MIN($J$2,Dashboard!$H$10*POWER($J$2/Dashboard!$H$10,A127/$D$2)))),$I$2-D127-Dashboard!$I$10-Dashboard!$J$10-Dashboard!$F$10*$I$2)))</f>
        <v>1789.4325484761255</v>
      </c>
      <c r="F127" s="24">
        <f t="shared" si="12"/>
        <v>0</v>
      </c>
      <c r="G127" s="24">
        <f t="shared" si="13"/>
        <v>0</v>
      </c>
      <c r="H127" s="24">
        <f t="shared" si="14"/>
        <v>0</v>
      </c>
      <c r="I127" s="24">
        <f t="shared" si="15"/>
        <v>1789.4325484761255</v>
      </c>
      <c r="J127" s="25">
        <f t="shared" si="16"/>
        <v>7.9741404289037643E-3</v>
      </c>
      <c r="K127" s="24">
        <f t="shared" si="21"/>
        <v>429585.92222883651</v>
      </c>
      <c r="L127" s="24" t="str">
        <f t="shared" si="17"/>
        <v/>
      </c>
      <c r="M127" s="24">
        <f t="shared" si="18"/>
        <v>0</v>
      </c>
      <c r="N127" s="24">
        <f>IF(M127&lt;=0,0,IF($E$2-A127&lt;12,(M127-E127)*Dashboard!$B$18,IF($Q$2+A127&gt;=$R$2,MAX(0,M127-E127*POWER(1+$C$2,$E$2-A127))*MAX(Dashboard!$C$18,Dashboard!$B$18),IF($S$2&lt;$R$2,(M127-E127)*0.5*Dashboard!$B$18,(E127*POWER(1+$A$2,$R$2-($Q$2+A127))-E127)*0.5*Dashboard!$B$18+MAX(0,M127-E127*POWER(1+$A$2,$R$2-($Q$2+A127))*POWER(1+$C$2,$S$2-$R$2))*MAX(Dashboard!$C$18,Dashboard!$B$18)))))</f>
        <v>0</v>
      </c>
    </row>
    <row r="128" spans="1:14" x14ac:dyDescent="0.2">
      <c r="A128" s="22">
        <f t="shared" si="19"/>
        <v>123</v>
      </c>
      <c r="B128" s="23">
        <f t="shared" si="20"/>
        <v>28.304794520547798</v>
      </c>
      <c r="C128" t="str">
        <f t="shared" si="11"/>
        <v>28 y 3.66 m</v>
      </c>
      <c r="D128" s="24">
        <f>IF(A128&gt;=$E$2,IF(A128&lt;$E$2+$H$2,$P$2,0),IF(B128&lt;Dashboard!$I$6,0,IF(A128&gt;=$F$2,Dashboard!$C$23*POWER(1+$C$2,A128-$F$2),Dashboard!$C$23)))</f>
        <v>5092.3674515238745</v>
      </c>
      <c r="E128" s="24">
        <f>IF(A128&gt;=$F$2,0,IF(A128=0,Dashboard!$G$10,IF(B128&lt;Dashboard!$I$6,IF($J$2&lt;=Dashboard!$H$10,Dashboard!$H$10,MAX(Dashboard!$H$10,MIN($J$2,Dashboard!$H$10*POWER($J$2/Dashboard!$H$10,A128/$D$2)))),$I$2-D128-Dashboard!$I$10-Dashboard!$J$10-Dashboard!$F$10*$I$2)))</f>
        <v>1789.4325484761255</v>
      </c>
      <c r="F128" s="24">
        <f t="shared" si="12"/>
        <v>0</v>
      </c>
      <c r="G128" s="24">
        <f t="shared" si="13"/>
        <v>0</v>
      </c>
      <c r="H128" s="24">
        <f t="shared" si="14"/>
        <v>0</v>
      </c>
      <c r="I128" s="24">
        <f t="shared" si="15"/>
        <v>1789.4325484761255</v>
      </c>
      <c r="J128" s="25">
        <f t="shared" si="16"/>
        <v>7.9741404289037643E-3</v>
      </c>
      <c r="K128" s="24">
        <f t="shared" si="21"/>
        <v>434815.20243387512</v>
      </c>
      <c r="L128" s="24" t="str">
        <f t="shared" si="17"/>
        <v/>
      </c>
      <c r="M128" s="24">
        <f t="shared" si="18"/>
        <v>0</v>
      </c>
      <c r="N128" s="24">
        <f>IF(M128&lt;=0,0,IF($E$2-A128&lt;12,(M128-E128)*Dashboard!$B$18,IF($Q$2+A128&gt;=$R$2,MAX(0,M128-E128*POWER(1+$C$2,$E$2-A128))*MAX(Dashboard!$C$18,Dashboard!$B$18),IF($S$2&lt;$R$2,(M128-E128)*0.5*Dashboard!$B$18,(E128*POWER(1+$A$2,$R$2-($Q$2+A128))-E128)*0.5*Dashboard!$B$18+MAX(0,M128-E128*POWER(1+$A$2,$R$2-($Q$2+A128))*POWER(1+$C$2,$S$2-$R$2))*MAX(Dashboard!$C$18,Dashboard!$B$18)))))</f>
        <v>0</v>
      </c>
    </row>
    <row r="129" spans="1:14" x14ac:dyDescent="0.2">
      <c r="A129" s="22">
        <f t="shared" si="19"/>
        <v>124</v>
      </c>
      <c r="B129" s="23">
        <f t="shared" si="20"/>
        <v>28.38812785388113</v>
      </c>
      <c r="C129" t="str">
        <f t="shared" si="11"/>
        <v>28 y 4.66 m</v>
      </c>
      <c r="D129" s="24">
        <f>IF(A129&gt;=$E$2,IF(A129&lt;$E$2+$H$2,$P$2,0),IF(B129&lt;Dashboard!$I$6,0,IF(A129&gt;=$F$2,Dashboard!$C$23*POWER(1+$C$2,A129-$F$2),Dashboard!$C$23)))</f>
        <v>5092.3674515238745</v>
      </c>
      <c r="E129" s="24">
        <f>IF(A129&gt;=$F$2,0,IF(A129=0,Dashboard!$G$10,IF(B129&lt;Dashboard!$I$6,IF($J$2&lt;=Dashboard!$H$10,Dashboard!$H$10,MAX(Dashboard!$H$10,MIN($J$2,Dashboard!$H$10*POWER($J$2/Dashboard!$H$10,A129/$D$2)))),$I$2-D129-Dashboard!$I$10-Dashboard!$J$10-Dashboard!$F$10*$I$2)))</f>
        <v>1789.4325484761255</v>
      </c>
      <c r="F129" s="24">
        <f t="shared" si="12"/>
        <v>0</v>
      </c>
      <c r="G129" s="24">
        <f t="shared" si="13"/>
        <v>0</v>
      </c>
      <c r="H129" s="24">
        <f t="shared" si="14"/>
        <v>0</v>
      </c>
      <c r="I129" s="24">
        <f t="shared" si="15"/>
        <v>1789.4325484761255</v>
      </c>
      <c r="J129" s="25">
        <f t="shared" si="16"/>
        <v>7.9741404289037643E-3</v>
      </c>
      <c r="K129" s="24">
        <f t="shared" si="21"/>
        <v>440086.18165361084</v>
      </c>
      <c r="L129" s="24" t="str">
        <f t="shared" si="17"/>
        <v/>
      </c>
      <c r="M129" s="24">
        <f t="shared" si="18"/>
        <v>0</v>
      </c>
      <c r="N129" s="24">
        <f>IF(M129&lt;=0,0,IF($E$2-A129&lt;12,(M129-E129)*Dashboard!$B$18,IF($Q$2+A129&gt;=$R$2,MAX(0,M129-E129*POWER(1+$C$2,$E$2-A129))*MAX(Dashboard!$C$18,Dashboard!$B$18),IF($S$2&lt;$R$2,(M129-E129)*0.5*Dashboard!$B$18,(E129*POWER(1+$A$2,$R$2-($Q$2+A129))-E129)*0.5*Dashboard!$B$18+MAX(0,M129-E129*POWER(1+$A$2,$R$2-($Q$2+A129))*POWER(1+$C$2,$S$2-$R$2))*MAX(Dashboard!$C$18,Dashboard!$B$18)))))</f>
        <v>0</v>
      </c>
    </row>
    <row r="130" spans="1:14" x14ac:dyDescent="0.2">
      <c r="A130" s="22">
        <f t="shared" si="19"/>
        <v>125</v>
      </c>
      <c r="B130" s="23">
        <f t="shared" si="20"/>
        <v>28.471461187214462</v>
      </c>
      <c r="C130" t="str">
        <f t="shared" si="11"/>
        <v>28 y 5.66 m</v>
      </c>
      <c r="D130" s="24">
        <f>IF(A130&gt;=$E$2,IF(A130&lt;$E$2+$H$2,$P$2,0),IF(B130&lt;Dashboard!$I$6,0,IF(A130&gt;=$F$2,Dashboard!$C$23*POWER(1+$C$2,A130-$F$2),Dashboard!$C$23)))</f>
        <v>5092.3674515238745</v>
      </c>
      <c r="E130" s="24">
        <f>IF(A130&gt;=$F$2,0,IF(A130=0,Dashboard!$G$10,IF(B130&lt;Dashboard!$I$6,IF($J$2&lt;=Dashboard!$H$10,Dashboard!$H$10,MAX(Dashboard!$H$10,MIN($J$2,Dashboard!$H$10*POWER($J$2/Dashboard!$H$10,A130/$D$2)))),$I$2-D130-Dashboard!$I$10-Dashboard!$J$10-Dashboard!$F$10*$I$2)))</f>
        <v>1789.4325484761255</v>
      </c>
      <c r="F130" s="24">
        <f t="shared" si="12"/>
        <v>0</v>
      </c>
      <c r="G130" s="24">
        <f t="shared" si="13"/>
        <v>0</v>
      </c>
      <c r="H130" s="24">
        <f t="shared" si="14"/>
        <v>0</v>
      </c>
      <c r="I130" s="24">
        <f t="shared" si="15"/>
        <v>1789.4325484761255</v>
      </c>
      <c r="J130" s="25">
        <f t="shared" si="16"/>
        <v>7.9741404289037643E-3</v>
      </c>
      <c r="K130" s="24">
        <f t="shared" si="21"/>
        <v>445399.19240184251</v>
      </c>
      <c r="L130" s="24" t="str">
        <f t="shared" si="17"/>
        <v/>
      </c>
      <c r="M130" s="24">
        <f t="shared" si="18"/>
        <v>0</v>
      </c>
      <c r="N130" s="24">
        <f>IF(M130&lt;=0,0,IF($E$2-A130&lt;12,(M130-E130)*Dashboard!$B$18,IF($Q$2+A130&gt;=$R$2,MAX(0,M130-E130*POWER(1+$C$2,$E$2-A130))*MAX(Dashboard!$C$18,Dashboard!$B$18),IF($S$2&lt;$R$2,(M130-E130)*0.5*Dashboard!$B$18,(E130*POWER(1+$A$2,$R$2-($Q$2+A130))-E130)*0.5*Dashboard!$B$18+MAX(0,M130-E130*POWER(1+$A$2,$R$2-($Q$2+A130))*POWER(1+$C$2,$S$2-$R$2))*MAX(Dashboard!$C$18,Dashboard!$B$18)))))</f>
        <v>0</v>
      </c>
    </row>
    <row r="131" spans="1:14" x14ac:dyDescent="0.2">
      <c r="A131" s="22">
        <f t="shared" si="19"/>
        <v>126</v>
      </c>
      <c r="B131" s="23">
        <f t="shared" si="20"/>
        <v>28.554794520547794</v>
      </c>
      <c r="C131" t="str">
        <f t="shared" si="11"/>
        <v>28 y 6.66 m</v>
      </c>
      <c r="D131" s="24">
        <f>IF(A131&gt;=$E$2,IF(A131&lt;$E$2+$H$2,$P$2,0),IF(B131&lt;Dashboard!$I$6,0,IF(A131&gt;=$F$2,Dashboard!$C$23*POWER(1+$C$2,A131-$F$2),Dashboard!$C$23)))</f>
        <v>5092.3674515238745</v>
      </c>
      <c r="E131" s="24">
        <f>IF(A131&gt;=$F$2,0,IF(A131=0,Dashboard!$G$10,IF(B131&lt;Dashboard!$I$6,IF($J$2&lt;=Dashboard!$H$10,Dashboard!$H$10,MAX(Dashboard!$H$10,MIN($J$2,Dashboard!$H$10*POWER($J$2/Dashboard!$H$10,A131/$D$2)))),$I$2-D131-Dashboard!$I$10-Dashboard!$J$10-Dashboard!$F$10*$I$2)))</f>
        <v>1789.4325484761255</v>
      </c>
      <c r="F131" s="24">
        <f t="shared" si="12"/>
        <v>0</v>
      </c>
      <c r="G131" s="24">
        <f t="shared" si="13"/>
        <v>0</v>
      </c>
      <c r="H131" s="24">
        <f t="shared" si="14"/>
        <v>0</v>
      </c>
      <c r="I131" s="24">
        <f t="shared" si="15"/>
        <v>1789.4325484761255</v>
      </c>
      <c r="J131" s="25">
        <f t="shared" si="16"/>
        <v>7.9741404289037643E-3</v>
      </c>
      <c r="K131" s="24">
        <f t="shared" si="21"/>
        <v>450754.56984388089</v>
      </c>
      <c r="L131" s="24" t="str">
        <f t="shared" si="17"/>
        <v/>
      </c>
      <c r="M131" s="24">
        <f t="shared" si="18"/>
        <v>0</v>
      </c>
      <c r="N131" s="24">
        <f>IF(M131&lt;=0,0,IF($E$2-A131&lt;12,(M131-E131)*Dashboard!$B$18,IF($Q$2+A131&gt;=$R$2,MAX(0,M131-E131*POWER(1+$C$2,$E$2-A131))*MAX(Dashboard!$C$18,Dashboard!$B$18),IF($S$2&lt;$R$2,(M131-E131)*0.5*Dashboard!$B$18,(E131*POWER(1+$A$2,$R$2-($Q$2+A131))-E131)*0.5*Dashboard!$B$18+MAX(0,M131-E131*POWER(1+$A$2,$R$2-($Q$2+A131))*POWER(1+$C$2,$S$2-$R$2))*MAX(Dashboard!$C$18,Dashboard!$B$18)))))</f>
        <v>0</v>
      </c>
    </row>
    <row r="132" spans="1:14" x14ac:dyDescent="0.2">
      <c r="A132" s="22">
        <f t="shared" si="19"/>
        <v>127</v>
      </c>
      <c r="B132" s="23">
        <f t="shared" si="20"/>
        <v>28.638127853881127</v>
      </c>
      <c r="C132" t="str">
        <f t="shared" si="11"/>
        <v>28 y 7.66 m</v>
      </c>
      <c r="D132" s="24">
        <f>IF(A132&gt;=$E$2,IF(A132&lt;$E$2+$H$2,$P$2,0),IF(B132&lt;Dashboard!$I$6,0,IF(A132&gt;=$F$2,Dashboard!$C$23*POWER(1+$C$2,A132-$F$2),Dashboard!$C$23)))</f>
        <v>5092.3674515238745</v>
      </c>
      <c r="E132" s="24">
        <f>IF(A132&gt;=$F$2,0,IF(A132=0,Dashboard!$G$10,IF(B132&lt;Dashboard!$I$6,IF($J$2&lt;=Dashboard!$H$10,Dashboard!$H$10,MAX(Dashboard!$H$10,MIN($J$2,Dashboard!$H$10*POWER($J$2/Dashboard!$H$10,A132/$D$2)))),$I$2-D132-Dashboard!$I$10-Dashboard!$J$10-Dashboard!$F$10*$I$2)))</f>
        <v>1789.4325484761255</v>
      </c>
      <c r="F132" s="24">
        <f t="shared" si="12"/>
        <v>0</v>
      </c>
      <c r="G132" s="24">
        <f t="shared" si="13"/>
        <v>0</v>
      </c>
      <c r="H132" s="24">
        <f t="shared" si="14"/>
        <v>0</v>
      </c>
      <c r="I132" s="24">
        <f t="shared" si="15"/>
        <v>1789.4325484761255</v>
      </c>
      <c r="J132" s="25">
        <f t="shared" si="16"/>
        <v>7.9741404289037643E-3</v>
      </c>
      <c r="K132" s="24">
        <f t="shared" si="21"/>
        <v>456152.65181769186</v>
      </c>
      <c r="L132" s="24" t="str">
        <f t="shared" si="17"/>
        <v/>
      </c>
      <c r="M132" s="24">
        <f t="shared" si="18"/>
        <v>0</v>
      </c>
      <c r="N132" s="24">
        <f>IF(M132&lt;=0,0,IF($E$2-A132&lt;12,(M132-E132)*Dashboard!$B$18,IF($Q$2+A132&gt;=$R$2,MAX(0,M132-E132*POWER(1+$C$2,$E$2-A132))*MAX(Dashboard!$C$18,Dashboard!$B$18),IF($S$2&lt;$R$2,(M132-E132)*0.5*Dashboard!$B$18,(E132*POWER(1+$A$2,$R$2-($Q$2+A132))-E132)*0.5*Dashboard!$B$18+MAX(0,M132-E132*POWER(1+$A$2,$R$2-($Q$2+A132))*POWER(1+$C$2,$S$2-$R$2))*MAX(Dashboard!$C$18,Dashboard!$B$18)))))</f>
        <v>0</v>
      </c>
    </row>
    <row r="133" spans="1:14" x14ac:dyDescent="0.2">
      <c r="A133" s="22">
        <f t="shared" si="19"/>
        <v>128</v>
      </c>
      <c r="B133" s="23">
        <f t="shared" si="20"/>
        <v>28.721461187214459</v>
      </c>
      <c r="C133" t="str">
        <f t="shared" ref="C133:C196" si="22">INT(B133)&amp;" y "&amp;ROUND((B133-INT(B133))*12,2)&amp;" m"</f>
        <v>28 y 8.66 m</v>
      </c>
      <c r="D133" s="24">
        <f>IF(A133&gt;=$E$2,IF(A133&lt;$E$2+$H$2,$P$2,0),IF(B133&lt;Dashboard!$I$6,0,IF(A133&gt;=$F$2,Dashboard!$C$23*POWER(1+$C$2,A133-$F$2),Dashboard!$C$23)))</f>
        <v>5092.3674515238745</v>
      </c>
      <c r="E133" s="24">
        <f>IF(A133&gt;=$F$2,0,IF(A133=0,Dashboard!$G$10,IF(B133&lt;Dashboard!$I$6,IF($J$2&lt;=Dashboard!$H$10,Dashboard!$H$10,MAX(Dashboard!$H$10,MIN($J$2,Dashboard!$H$10*POWER($J$2/Dashboard!$H$10,A133/$D$2)))),$I$2-D133-Dashboard!$I$10-Dashboard!$J$10-Dashboard!$F$10*$I$2)))</f>
        <v>1789.4325484761255</v>
      </c>
      <c r="F133" s="24">
        <f t="shared" ref="F133:F196" si="23">IF(A133&gt;=$F$2,$X$2*POWER(1+$C$2,A133-$F$2)+D133,0)</f>
        <v>0</v>
      </c>
      <c r="G133" s="24">
        <f t="shared" ref="G133:G196" si="24">IF(F133&lt;=0,0,IF(F133*12&lt;=18200,F133,IF(F133*12&lt;=40712,(18200+(F133*12-18200)/0.84)/12,IF(F133*12&lt;=103712,(45000+(F133*12-40712)/0.7)/12,IF(F133*12&lt;=138362,(135000+(F133*12-103712)/0.63)/12,(190000+(F133*12-138362)/0.55)/12)))))</f>
        <v>0</v>
      </c>
      <c r="H133" s="24">
        <f t="shared" ref="H133:H196" si="25">IF(A133=$E$2,$W$2,0)</f>
        <v>0</v>
      </c>
      <c r="I133" s="24">
        <f t="shared" ref="I133:I196" si="26">E133-G133-H133</f>
        <v>1789.4325484761255</v>
      </c>
      <c r="J133" s="25">
        <f t="shared" ref="J133:J196" si="27">IF(A133&gt;=$F$2,$B$2,$A$2)</f>
        <v>7.9741404289037643E-3</v>
      </c>
      <c r="K133" s="24">
        <f t="shared" si="21"/>
        <v>461593.77885520871</v>
      </c>
      <c r="L133" s="24" t="str">
        <f t="shared" ref="L133:L196" si="28">IF(A133&gt;=$F$2,K133,"")</f>
        <v/>
      </c>
      <c r="M133" s="24">
        <f t="shared" ref="M133:M196" si="29">IF(AND(A133&lt;$E$2,E133&gt;0),E133*POWER(1+$A$2,$E$2-A133),0)</f>
        <v>0</v>
      </c>
      <c r="N133" s="24">
        <f>IF(M133&lt;=0,0,IF($E$2-A133&lt;12,(M133-E133)*Dashboard!$B$18,IF($Q$2+A133&gt;=$R$2,MAX(0,M133-E133*POWER(1+$C$2,$E$2-A133))*MAX(Dashboard!$C$18,Dashboard!$B$18),IF($S$2&lt;$R$2,(M133-E133)*0.5*Dashboard!$B$18,(E133*POWER(1+$A$2,$R$2-($Q$2+A133))-E133)*0.5*Dashboard!$B$18+MAX(0,M133-E133*POWER(1+$A$2,$R$2-($Q$2+A133))*POWER(1+$C$2,$S$2-$R$2))*MAX(Dashboard!$C$18,Dashboard!$B$18)))))</f>
        <v>0</v>
      </c>
    </row>
    <row r="134" spans="1:14" x14ac:dyDescent="0.2">
      <c r="A134" s="22">
        <f t="shared" ref="A134:A197" si="30">A133+1</f>
        <v>129</v>
      </c>
      <c r="B134" s="23">
        <f t="shared" ref="B134:B197" si="31">B133+1/12</f>
        <v>28.804794520547791</v>
      </c>
      <c r="C134" t="str">
        <f t="shared" si="22"/>
        <v>28 y 9.66 m</v>
      </c>
      <c r="D134" s="24">
        <f>IF(A134&gt;=$E$2,IF(A134&lt;$E$2+$H$2,$P$2,0),IF(B134&lt;Dashboard!$I$6,0,IF(A134&gt;=$F$2,Dashboard!$C$23*POWER(1+$C$2,A134-$F$2),Dashboard!$C$23)))</f>
        <v>5092.3674515238745</v>
      </c>
      <c r="E134" s="24">
        <f>IF(A134&gt;=$F$2,0,IF(A134=0,Dashboard!$G$10,IF(B134&lt;Dashboard!$I$6,IF($J$2&lt;=Dashboard!$H$10,Dashboard!$H$10,MAX(Dashboard!$H$10,MIN($J$2,Dashboard!$H$10*POWER($J$2/Dashboard!$H$10,A134/$D$2)))),$I$2-D134-Dashboard!$I$10-Dashboard!$J$10-Dashboard!$F$10*$I$2)))</f>
        <v>1789.4325484761255</v>
      </c>
      <c r="F134" s="24">
        <f t="shared" si="23"/>
        <v>0</v>
      </c>
      <c r="G134" s="24">
        <f t="shared" si="24"/>
        <v>0</v>
      </c>
      <c r="H134" s="24">
        <f t="shared" si="25"/>
        <v>0</v>
      </c>
      <c r="I134" s="24">
        <f t="shared" si="26"/>
        <v>1789.4325484761255</v>
      </c>
      <c r="J134" s="25">
        <f t="shared" si="27"/>
        <v>7.9741404289037643E-3</v>
      </c>
      <c r="K134" s="24">
        <f t="shared" ref="K134:K197" si="32">(K133+I134)*(1+J134)</f>
        <v>467078.29420381424</v>
      </c>
      <c r="L134" s="24" t="str">
        <f t="shared" si="28"/>
        <v/>
      </c>
      <c r="M134" s="24">
        <f t="shared" si="29"/>
        <v>0</v>
      </c>
      <c r="N134" s="24">
        <f>IF(M134&lt;=0,0,IF($E$2-A134&lt;12,(M134-E134)*Dashboard!$B$18,IF($Q$2+A134&gt;=$R$2,MAX(0,M134-E134*POWER(1+$C$2,$E$2-A134))*MAX(Dashboard!$C$18,Dashboard!$B$18),IF($S$2&lt;$R$2,(M134-E134)*0.5*Dashboard!$B$18,(E134*POWER(1+$A$2,$R$2-($Q$2+A134))-E134)*0.5*Dashboard!$B$18+MAX(0,M134-E134*POWER(1+$A$2,$R$2-($Q$2+A134))*POWER(1+$C$2,$S$2-$R$2))*MAX(Dashboard!$C$18,Dashboard!$B$18)))))</f>
        <v>0</v>
      </c>
    </row>
    <row r="135" spans="1:14" x14ac:dyDescent="0.2">
      <c r="A135" s="22">
        <f t="shared" si="30"/>
        <v>130</v>
      </c>
      <c r="B135" s="23">
        <f t="shared" si="31"/>
        <v>28.888127853881123</v>
      </c>
      <c r="C135" t="str">
        <f t="shared" si="22"/>
        <v>28 y 10.66 m</v>
      </c>
      <c r="D135" s="24">
        <f>IF(A135&gt;=$E$2,IF(A135&lt;$E$2+$H$2,$P$2,0),IF(B135&lt;Dashboard!$I$6,0,IF(A135&gt;=$F$2,Dashboard!$C$23*POWER(1+$C$2,A135-$F$2),Dashboard!$C$23)))</f>
        <v>5092.3674515238745</v>
      </c>
      <c r="E135" s="24">
        <f>IF(A135&gt;=$F$2,0,IF(A135=0,Dashboard!$G$10,IF(B135&lt;Dashboard!$I$6,IF($J$2&lt;=Dashboard!$H$10,Dashboard!$H$10,MAX(Dashboard!$H$10,MIN($J$2,Dashboard!$H$10*POWER($J$2/Dashboard!$H$10,A135/$D$2)))),$I$2-D135-Dashboard!$I$10-Dashboard!$J$10-Dashboard!$F$10*$I$2)))</f>
        <v>1789.4325484761255</v>
      </c>
      <c r="F135" s="24">
        <f t="shared" si="23"/>
        <v>0</v>
      </c>
      <c r="G135" s="24">
        <f t="shared" si="24"/>
        <v>0</v>
      </c>
      <c r="H135" s="24">
        <f t="shared" si="25"/>
        <v>0</v>
      </c>
      <c r="I135" s="24">
        <f t="shared" si="26"/>
        <v>1789.4325484761255</v>
      </c>
      <c r="J135" s="25">
        <f t="shared" si="27"/>
        <v>7.9741404289037643E-3</v>
      </c>
      <c r="K135" s="24">
        <f t="shared" si="32"/>
        <v>472606.54384799401</v>
      </c>
      <c r="L135" s="24" t="str">
        <f t="shared" si="28"/>
        <v/>
      </c>
      <c r="M135" s="24">
        <f t="shared" si="29"/>
        <v>0</v>
      </c>
      <c r="N135" s="24">
        <f>IF(M135&lt;=0,0,IF($E$2-A135&lt;12,(M135-E135)*Dashboard!$B$18,IF($Q$2+A135&gt;=$R$2,MAX(0,M135-E135*POWER(1+$C$2,$E$2-A135))*MAX(Dashboard!$C$18,Dashboard!$B$18),IF($S$2&lt;$R$2,(M135-E135)*0.5*Dashboard!$B$18,(E135*POWER(1+$A$2,$R$2-($Q$2+A135))-E135)*0.5*Dashboard!$B$18+MAX(0,M135-E135*POWER(1+$A$2,$R$2-($Q$2+A135))*POWER(1+$C$2,$S$2-$R$2))*MAX(Dashboard!$C$18,Dashboard!$B$18)))))</f>
        <v>0</v>
      </c>
    </row>
    <row r="136" spans="1:14" x14ac:dyDescent="0.2">
      <c r="A136" s="22">
        <f t="shared" si="30"/>
        <v>131</v>
      </c>
      <c r="B136" s="23">
        <f t="shared" si="31"/>
        <v>28.971461187214455</v>
      </c>
      <c r="C136" t="str">
        <f t="shared" si="22"/>
        <v>28 y 11.66 m</v>
      </c>
      <c r="D136" s="24">
        <f>IF(A136&gt;=$E$2,IF(A136&lt;$E$2+$H$2,$P$2,0),IF(B136&lt;Dashboard!$I$6,0,IF(A136&gt;=$F$2,Dashboard!$C$23*POWER(1+$C$2,A136-$F$2),Dashboard!$C$23)))</f>
        <v>5092.3674515238745</v>
      </c>
      <c r="E136" s="24">
        <f>IF(A136&gt;=$F$2,0,IF(A136=0,Dashboard!$G$10,IF(B136&lt;Dashboard!$I$6,IF($J$2&lt;=Dashboard!$H$10,Dashboard!$H$10,MAX(Dashboard!$H$10,MIN($J$2,Dashboard!$H$10*POWER($J$2/Dashboard!$H$10,A136/$D$2)))),$I$2-D136-Dashboard!$I$10-Dashboard!$J$10-Dashboard!$F$10*$I$2)))</f>
        <v>1789.4325484761255</v>
      </c>
      <c r="F136" s="24">
        <f t="shared" si="23"/>
        <v>0</v>
      </c>
      <c r="G136" s="24">
        <f t="shared" si="24"/>
        <v>0</v>
      </c>
      <c r="H136" s="24">
        <f t="shared" si="25"/>
        <v>0</v>
      </c>
      <c r="I136" s="24">
        <f t="shared" si="26"/>
        <v>1789.4325484761255</v>
      </c>
      <c r="J136" s="25">
        <f t="shared" si="27"/>
        <v>7.9741404289037643E-3</v>
      </c>
      <c r="K136" s="24">
        <f t="shared" si="32"/>
        <v>478178.87653116253</v>
      </c>
      <c r="L136" s="24" t="str">
        <f t="shared" si="28"/>
        <v/>
      </c>
      <c r="M136" s="24">
        <f t="shared" si="29"/>
        <v>0</v>
      </c>
      <c r="N136" s="24">
        <f>IF(M136&lt;=0,0,IF($E$2-A136&lt;12,(M136-E136)*Dashboard!$B$18,IF($Q$2+A136&gt;=$R$2,MAX(0,M136-E136*POWER(1+$C$2,$E$2-A136))*MAX(Dashboard!$C$18,Dashboard!$B$18),IF($S$2&lt;$R$2,(M136-E136)*0.5*Dashboard!$B$18,(E136*POWER(1+$A$2,$R$2-($Q$2+A136))-E136)*0.5*Dashboard!$B$18+MAX(0,M136-E136*POWER(1+$A$2,$R$2-($Q$2+A136))*POWER(1+$C$2,$S$2-$R$2))*MAX(Dashboard!$C$18,Dashboard!$B$18)))))</f>
        <v>0</v>
      </c>
    </row>
    <row r="137" spans="1:14" x14ac:dyDescent="0.2">
      <c r="A137" s="22">
        <f t="shared" si="30"/>
        <v>132</v>
      </c>
      <c r="B137" s="23">
        <f t="shared" si="31"/>
        <v>29.054794520547787</v>
      </c>
      <c r="C137" t="str">
        <f t="shared" si="22"/>
        <v>29 y 0.66 m</v>
      </c>
      <c r="D137" s="24">
        <f>IF(A137&gt;=$E$2,IF(A137&lt;$E$2+$H$2,$P$2,0),IF(B137&lt;Dashboard!$I$6,0,IF(A137&gt;=$F$2,Dashboard!$C$23*POWER(1+$C$2,A137-$F$2),Dashboard!$C$23)))</f>
        <v>5092.3674515238745</v>
      </c>
      <c r="E137" s="24">
        <f>IF(A137&gt;=$F$2,0,IF(A137=0,Dashboard!$G$10,IF(B137&lt;Dashboard!$I$6,IF($J$2&lt;=Dashboard!$H$10,Dashboard!$H$10,MAX(Dashboard!$H$10,MIN($J$2,Dashboard!$H$10*POWER($J$2/Dashboard!$H$10,A137/$D$2)))),$I$2-D137-Dashboard!$I$10-Dashboard!$J$10-Dashboard!$F$10*$I$2)))</f>
        <v>1789.4325484761255</v>
      </c>
      <c r="F137" s="24">
        <f t="shared" si="23"/>
        <v>0</v>
      </c>
      <c r="G137" s="24">
        <f t="shared" si="24"/>
        <v>0</v>
      </c>
      <c r="H137" s="24">
        <f t="shared" si="25"/>
        <v>0</v>
      </c>
      <c r="I137" s="24">
        <f t="shared" si="26"/>
        <v>1789.4325484761255</v>
      </c>
      <c r="J137" s="25">
        <f t="shared" si="27"/>
        <v>7.9741404289037643E-3</v>
      </c>
      <c r="K137" s="24">
        <f t="shared" si="32"/>
        <v>483795.64377766318</v>
      </c>
      <c r="L137" s="24" t="str">
        <f t="shared" si="28"/>
        <v/>
      </c>
      <c r="M137" s="24">
        <f t="shared" si="29"/>
        <v>0</v>
      </c>
      <c r="N137" s="24">
        <f>IF(M137&lt;=0,0,IF($E$2-A137&lt;12,(M137-E137)*Dashboard!$B$18,IF($Q$2+A137&gt;=$R$2,MAX(0,M137-E137*POWER(1+$C$2,$E$2-A137))*MAX(Dashboard!$C$18,Dashboard!$B$18),IF($S$2&lt;$R$2,(M137-E137)*0.5*Dashboard!$B$18,(E137*POWER(1+$A$2,$R$2-($Q$2+A137))-E137)*0.5*Dashboard!$B$18+MAX(0,M137-E137*POWER(1+$A$2,$R$2-($Q$2+A137))*POWER(1+$C$2,$S$2-$R$2))*MAX(Dashboard!$C$18,Dashboard!$B$18)))))</f>
        <v>0</v>
      </c>
    </row>
    <row r="138" spans="1:14" x14ac:dyDescent="0.2">
      <c r="A138" s="22">
        <f t="shared" si="30"/>
        <v>133</v>
      </c>
      <c r="B138" s="23">
        <f t="shared" si="31"/>
        <v>29.138127853881119</v>
      </c>
      <c r="C138" t="str">
        <f t="shared" si="22"/>
        <v>29 y 1.66 m</v>
      </c>
      <c r="D138" s="24">
        <f>IF(A138&gt;=$E$2,IF(A138&lt;$E$2+$H$2,$P$2,0),IF(B138&lt;Dashboard!$I$6,0,IF(A138&gt;=$F$2,Dashboard!$C$23*POWER(1+$C$2,A138-$F$2),Dashboard!$C$23)))</f>
        <v>5092.3674515238745</v>
      </c>
      <c r="E138" s="24">
        <f>IF(A138&gt;=$F$2,0,IF(A138=0,Dashboard!$G$10,IF(B138&lt;Dashboard!$I$6,IF($J$2&lt;=Dashboard!$H$10,Dashboard!$H$10,MAX(Dashboard!$H$10,MIN($J$2,Dashboard!$H$10*POWER($J$2/Dashboard!$H$10,A138/$D$2)))),$I$2-D138-Dashboard!$I$10-Dashboard!$J$10-Dashboard!$F$10*$I$2)))</f>
        <v>1789.4325484761255</v>
      </c>
      <c r="F138" s="24">
        <f t="shared" si="23"/>
        <v>0</v>
      </c>
      <c r="G138" s="24">
        <f t="shared" si="24"/>
        <v>0</v>
      </c>
      <c r="H138" s="24">
        <f t="shared" si="25"/>
        <v>0</v>
      </c>
      <c r="I138" s="24">
        <f t="shared" si="26"/>
        <v>1789.4325484761255</v>
      </c>
      <c r="J138" s="25">
        <f t="shared" si="27"/>
        <v>7.9741404289037643E-3</v>
      </c>
      <c r="K138" s="24">
        <f t="shared" si="32"/>
        <v>489457.19991494389</v>
      </c>
      <c r="L138" s="24" t="str">
        <f t="shared" si="28"/>
        <v/>
      </c>
      <c r="M138" s="24">
        <f t="shared" si="29"/>
        <v>0</v>
      </c>
      <c r="N138" s="24">
        <f>IF(M138&lt;=0,0,IF($E$2-A138&lt;12,(M138-E138)*Dashboard!$B$18,IF($Q$2+A138&gt;=$R$2,MAX(0,M138-E138*POWER(1+$C$2,$E$2-A138))*MAX(Dashboard!$C$18,Dashboard!$B$18),IF($S$2&lt;$R$2,(M138-E138)*0.5*Dashboard!$B$18,(E138*POWER(1+$A$2,$R$2-($Q$2+A138))-E138)*0.5*Dashboard!$B$18+MAX(0,M138-E138*POWER(1+$A$2,$R$2-($Q$2+A138))*POWER(1+$C$2,$S$2-$R$2))*MAX(Dashboard!$C$18,Dashboard!$B$18)))))</f>
        <v>0</v>
      </c>
    </row>
    <row r="139" spans="1:14" x14ac:dyDescent="0.2">
      <c r="A139" s="22">
        <f t="shared" si="30"/>
        <v>134</v>
      </c>
      <c r="B139" s="23">
        <f t="shared" si="31"/>
        <v>29.221461187214452</v>
      </c>
      <c r="C139" t="str">
        <f t="shared" si="22"/>
        <v>29 y 2.66 m</v>
      </c>
      <c r="D139" s="24">
        <f>IF(A139&gt;=$E$2,IF(A139&lt;$E$2+$H$2,$P$2,0),IF(B139&lt;Dashboard!$I$6,0,IF(A139&gt;=$F$2,Dashboard!$C$23*POWER(1+$C$2,A139-$F$2),Dashboard!$C$23)))</f>
        <v>5092.3674515238745</v>
      </c>
      <c r="E139" s="24">
        <f>IF(A139&gt;=$F$2,0,IF(A139=0,Dashboard!$G$10,IF(B139&lt;Dashboard!$I$6,IF($J$2&lt;=Dashboard!$H$10,Dashboard!$H$10,MAX(Dashboard!$H$10,MIN($J$2,Dashboard!$H$10*POWER($J$2/Dashboard!$H$10,A139/$D$2)))),$I$2-D139-Dashboard!$I$10-Dashboard!$J$10-Dashboard!$F$10*$I$2)))</f>
        <v>1789.4325484761255</v>
      </c>
      <c r="F139" s="24">
        <f t="shared" si="23"/>
        <v>0</v>
      </c>
      <c r="G139" s="24">
        <f t="shared" si="24"/>
        <v>0</v>
      </c>
      <c r="H139" s="24">
        <f t="shared" si="25"/>
        <v>0</v>
      </c>
      <c r="I139" s="24">
        <f t="shared" si="26"/>
        <v>1789.4325484761255</v>
      </c>
      <c r="J139" s="25">
        <f t="shared" si="27"/>
        <v>7.9741404289037643E-3</v>
      </c>
      <c r="K139" s="24">
        <f t="shared" si="32"/>
        <v>495163.90209590941</v>
      </c>
      <c r="L139" s="24" t="str">
        <f t="shared" si="28"/>
        <v/>
      </c>
      <c r="M139" s="24">
        <f t="shared" si="29"/>
        <v>0</v>
      </c>
      <c r="N139" s="24">
        <f>IF(M139&lt;=0,0,IF($E$2-A139&lt;12,(M139-E139)*Dashboard!$B$18,IF($Q$2+A139&gt;=$R$2,MAX(0,M139-E139*POWER(1+$C$2,$E$2-A139))*MAX(Dashboard!$C$18,Dashboard!$B$18),IF($S$2&lt;$R$2,(M139-E139)*0.5*Dashboard!$B$18,(E139*POWER(1+$A$2,$R$2-($Q$2+A139))-E139)*0.5*Dashboard!$B$18+MAX(0,M139-E139*POWER(1+$A$2,$R$2-($Q$2+A139))*POWER(1+$C$2,$S$2-$R$2))*MAX(Dashboard!$C$18,Dashboard!$B$18)))))</f>
        <v>0</v>
      </c>
    </row>
    <row r="140" spans="1:14" x14ac:dyDescent="0.2">
      <c r="A140" s="22">
        <f t="shared" si="30"/>
        <v>135</v>
      </c>
      <c r="B140" s="23">
        <f t="shared" si="31"/>
        <v>29.304794520547784</v>
      </c>
      <c r="C140" t="str">
        <f t="shared" si="22"/>
        <v>29 y 3.66 m</v>
      </c>
      <c r="D140" s="24">
        <f>IF(A140&gt;=$E$2,IF(A140&lt;$E$2+$H$2,$P$2,0),IF(B140&lt;Dashboard!$I$6,0,IF(A140&gt;=$F$2,Dashboard!$C$23*POWER(1+$C$2,A140-$F$2),Dashboard!$C$23)))</f>
        <v>5092.3674515238745</v>
      </c>
      <c r="E140" s="24">
        <f>IF(A140&gt;=$F$2,0,IF(A140=0,Dashboard!$G$10,IF(B140&lt;Dashboard!$I$6,IF($J$2&lt;=Dashboard!$H$10,Dashboard!$H$10,MAX(Dashboard!$H$10,MIN($J$2,Dashboard!$H$10*POWER($J$2/Dashboard!$H$10,A140/$D$2)))),$I$2-D140-Dashboard!$I$10-Dashboard!$J$10-Dashboard!$F$10*$I$2)))</f>
        <v>1789.4325484761255</v>
      </c>
      <c r="F140" s="24">
        <f t="shared" si="23"/>
        <v>0</v>
      </c>
      <c r="G140" s="24">
        <f t="shared" si="24"/>
        <v>0</v>
      </c>
      <c r="H140" s="24">
        <f t="shared" si="25"/>
        <v>0</v>
      </c>
      <c r="I140" s="24">
        <f t="shared" si="26"/>
        <v>1789.4325484761255</v>
      </c>
      <c r="J140" s="25">
        <f t="shared" si="27"/>
        <v>7.9741404289037643E-3</v>
      </c>
      <c r="K140" s="24">
        <f t="shared" si="32"/>
        <v>500916.11032145191</v>
      </c>
      <c r="L140" s="24" t="str">
        <f t="shared" si="28"/>
        <v/>
      </c>
      <c r="M140" s="24">
        <f t="shared" si="29"/>
        <v>0</v>
      </c>
      <c r="N140" s="24">
        <f>IF(M140&lt;=0,0,IF($E$2-A140&lt;12,(M140-E140)*Dashboard!$B$18,IF($Q$2+A140&gt;=$R$2,MAX(0,M140-E140*POWER(1+$C$2,$E$2-A140))*MAX(Dashboard!$C$18,Dashboard!$B$18),IF($S$2&lt;$R$2,(M140-E140)*0.5*Dashboard!$B$18,(E140*POWER(1+$A$2,$R$2-($Q$2+A140))-E140)*0.5*Dashboard!$B$18+MAX(0,M140-E140*POWER(1+$A$2,$R$2-($Q$2+A140))*POWER(1+$C$2,$S$2-$R$2))*MAX(Dashboard!$C$18,Dashboard!$B$18)))))</f>
        <v>0</v>
      </c>
    </row>
    <row r="141" spans="1:14" x14ac:dyDescent="0.2">
      <c r="A141" s="22">
        <f t="shared" si="30"/>
        <v>136</v>
      </c>
      <c r="B141" s="23">
        <f t="shared" si="31"/>
        <v>29.388127853881116</v>
      </c>
      <c r="C141" t="str">
        <f t="shared" si="22"/>
        <v>29 y 4.66 m</v>
      </c>
      <c r="D141" s="24">
        <f>IF(A141&gt;=$E$2,IF(A141&lt;$E$2+$H$2,$P$2,0),IF(B141&lt;Dashboard!$I$6,0,IF(A141&gt;=$F$2,Dashboard!$C$23*POWER(1+$C$2,A141-$F$2),Dashboard!$C$23)))</f>
        <v>5092.3674515238745</v>
      </c>
      <c r="E141" s="24">
        <f>IF(A141&gt;=$F$2,0,IF(A141=0,Dashboard!$G$10,IF(B141&lt;Dashboard!$I$6,IF($J$2&lt;=Dashboard!$H$10,Dashboard!$H$10,MAX(Dashboard!$H$10,MIN($J$2,Dashboard!$H$10*POWER($J$2/Dashboard!$H$10,A141/$D$2)))),$I$2-D141-Dashboard!$I$10-Dashboard!$J$10-Dashboard!$F$10*$I$2)))</f>
        <v>1789.4325484761255</v>
      </c>
      <c r="F141" s="24">
        <f t="shared" si="23"/>
        <v>0</v>
      </c>
      <c r="G141" s="24">
        <f t="shared" si="24"/>
        <v>0</v>
      </c>
      <c r="H141" s="24">
        <f t="shared" si="25"/>
        <v>0</v>
      </c>
      <c r="I141" s="24">
        <f t="shared" si="26"/>
        <v>1789.4325484761255</v>
      </c>
      <c r="J141" s="25">
        <f t="shared" si="27"/>
        <v>7.9741404289037643E-3</v>
      </c>
      <c r="K141" s="24">
        <f t="shared" si="32"/>
        <v>506714.18746316119</v>
      </c>
      <c r="L141" s="24" t="str">
        <f t="shared" si="28"/>
        <v/>
      </c>
      <c r="M141" s="24">
        <f t="shared" si="29"/>
        <v>0</v>
      </c>
      <c r="N141" s="24">
        <f>IF(M141&lt;=0,0,IF($E$2-A141&lt;12,(M141-E141)*Dashboard!$B$18,IF($Q$2+A141&gt;=$R$2,MAX(0,M141-E141*POWER(1+$C$2,$E$2-A141))*MAX(Dashboard!$C$18,Dashboard!$B$18),IF($S$2&lt;$R$2,(M141-E141)*0.5*Dashboard!$B$18,(E141*POWER(1+$A$2,$R$2-($Q$2+A141))-E141)*0.5*Dashboard!$B$18+MAX(0,M141-E141*POWER(1+$A$2,$R$2-($Q$2+A141))*POWER(1+$C$2,$S$2-$R$2))*MAX(Dashboard!$C$18,Dashboard!$B$18)))))</f>
        <v>0</v>
      </c>
    </row>
    <row r="142" spans="1:14" x14ac:dyDescent="0.2">
      <c r="A142" s="22">
        <f t="shared" si="30"/>
        <v>137</v>
      </c>
      <c r="B142" s="23">
        <f t="shared" si="31"/>
        <v>29.471461187214448</v>
      </c>
      <c r="C142" t="str">
        <f t="shared" si="22"/>
        <v>29 y 5.66 m</v>
      </c>
      <c r="D142" s="24">
        <f>IF(A142&gt;=$E$2,IF(A142&lt;$E$2+$H$2,$P$2,0),IF(B142&lt;Dashboard!$I$6,0,IF(A142&gt;=$F$2,Dashboard!$C$23*POWER(1+$C$2,A142-$F$2),Dashboard!$C$23)))</f>
        <v>5092.3674515238745</v>
      </c>
      <c r="E142" s="24">
        <f>IF(A142&gt;=$F$2,0,IF(A142=0,Dashboard!$G$10,IF(B142&lt;Dashboard!$I$6,IF($J$2&lt;=Dashboard!$H$10,Dashboard!$H$10,MAX(Dashboard!$H$10,MIN($J$2,Dashboard!$H$10*POWER($J$2/Dashboard!$H$10,A142/$D$2)))),$I$2-D142-Dashboard!$I$10-Dashboard!$J$10-Dashboard!$F$10*$I$2)))</f>
        <v>1789.4325484761255</v>
      </c>
      <c r="F142" s="24">
        <f t="shared" si="23"/>
        <v>0</v>
      </c>
      <c r="G142" s="24">
        <f t="shared" si="24"/>
        <v>0</v>
      </c>
      <c r="H142" s="24">
        <f t="shared" si="25"/>
        <v>0</v>
      </c>
      <c r="I142" s="24">
        <f t="shared" si="26"/>
        <v>1789.4325484761255</v>
      </c>
      <c r="J142" s="25">
        <f t="shared" si="27"/>
        <v>7.9741404289037643E-3</v>
      </c>
      <c r="K142" s="24">
        <f t="shared" si="32"/>
        <v>512558.49928621604</v>
      </c>
      <c r="L142" s="24" t="str">
        <f t="shared" si="28"/>
        <v/>
      </c>
      <c r="M142" s="24">
        <f t="shared" si="29"/>
        <v>0</v>
      </c>
      <c r="N142" s="24">
        <f>IF(M142&lt;=0,0,IF($E$2-A142&lt;12,(M142-E142)*Dashboard!$B$18,IF($Q$2+A142&gt;=$R$2,MAX(0,M142-E142*POWER(1+$C$2,$E$2-A142))*MAX(Dashboard!$C$18,Dashboard!$B$18),IF($S$2&lt;$R$2,(M142-E142)*0.5*Dashboard!$B$18,(E142*POWER(1+$A$2,$R$2-($Q$2+A142))-E142)*0.5*Dashboard!$B$18+MAX(0,M142-E142*POWER(1+$A$2,$R$2-($Q$2+A142))*POWER(1+$C$2,$S$2-$R$2))*MAX(Dashboard!$C$18,Dashboard!$B$18)))))</f>
        <v>0</v>
      </c>
    </row>
    <row r="143" spans="1:14" x14ac:dyDescent="0.2">
      <c r="A143" s="22">
        <f t="shared" si="30"/>
        <v>138</v>
      </c>
      <c r="B143" s="23">
        <f t="shared" si="31"/>
        <v>29.55479452054778</v>
      </c>
      <c r="C143" t="str">
        <f t="shared" si="22"/>
        <v>29 y 6.66 m</v>
      </c>
      <c r="D143" s="24">
        <f>IF(A143&gt;=$E$2,IF(A143&lt;$E$2+$H$2,$P$2,0),IF(B143&lt;Dashboard!$I$6,0,IF(A143&gt;=$F$2,Dashboard!$C$23*POWER(1+$C$2,A143-$F$2),Dashboard!$C$23)))</f>
        <v>5092.3674515238745</v>
      </c>
      <c r="E143" s="24">
        <f>IF(A143&gt;=$F$2,0,IF(A143=0,Dashboard!$G$10,IF(B143&lt;Dashboard!$I$6,IF($J$2&lt;=Dashboard!$H$10,Dashboard!$H$10,MAX(Dashboard!$H$10,MIN($J$2,Dashboard!$H$10*POWER($J$2/Dashboard!$H$10,A143/$D$2)))),$I$2-D143-Dashboard!$I$10-Dashboard!$J$10-Dashboard!$F$10*$I$2)))</f>
        <v>1789.4325484761255</v>
      </c>
      <c r="F143" s="24">
        <f t="shared" si="23"/>
        <v>0</v>
      </c>
      <c r="G143" s="24">
        <f t="shared" si="24"/>
        <v>0</v>
      </c>
      <c r="H143" s="24">
        <f t="shared" si="25"/>
        <v>0</v>
      </c>
      <c r="I143" s="24">
        <f t="shared" si="26"/>
        <v>1789.4325484761255</v>
      </c>
      <c r="J143" s="25">
        <f t="shared" si="27"/>
        <v>7.9741404289037643E-3</v>
      </c>
      <c r="K143" s="24">
        <f t="shared" si="32"/>
        <v>518449.41447245824</v>
      </c>
      <c r="L143" s="24" t="str">
        <f t="shared" si="28"/>
        <v/>
      </c>
      <c r="M143" s="24">
        <f t="shared" si="29"/>
        <v>0</v>
      </c>
      <c r="N143" s="24">
        <f>IF(M143&lt;=0,0,IF($E$2-A143&lt;12,(M143-E143)*Dashboard!$B$18,IF($Q$2+A143&gt;=$R$2,MAX(0,M143-E143*POWER(1+$C$2,$E$2-A143))*MAX(Dashboard!$C$18,Dashboard!$B$18),IF($S$2&lt;$R$2,(M143-E143)*0.5*Dashboard!$B$18,(E143*POWER(1+$A$2,$R$2-($Q$2+A143))-E143)*0.5*Dashboard!$B$18+MAX(0,M143-E143*POWER(1+$A$2,$R$2-($Q$2+A143))*POWER(1+$C$2,$S$2-$R$2))*MAX(Dashboard!$C$18,Dashboard!$B$18)))))</f>
        <v>0</v>
      </c>
    </row>
    <row r="144" spans="1:14" x14ac:dyDescent="0.2">
      <c r="A144" s="22">
        <f t="shared" si="30"/>
        <v>139</v>
      </c>
      <c r="B144" s="23">
        <f t="shared" si="31"/>
        <v>29.638127853881112</v>
      </c>
      <c r="C144" t="str">
        <f t="shared" si="22"/>
        <v>29 y 7.66 m</v>
      </c>
      <c r="D144" s="24">
        <f>IF(A144&gt;=$E$2,IF(A144&lt;$E$2+$H$2,$P$2,0),IF(B144&lt;Dashboard!$I$6,0,IF(A144&gt;=$F$2,Dashboard!$C$23*POWER(1+$C$2,A144-$F$2),Dashboard!$C$23)))</f>
        <v>5092.3674515238745</v>
      </c>
      <c r="E144" s="24">
        <f>IF(A144&gt;=$F$2,0,IF(A144=0,Dashboard!$G$10,IF(B144&lt;Dashboard!$I$6,IF($J$2&lt;=Dashboard!$H$10,Dashboard!$H$10,MAX(Dashboard!$H$10,MIN($J$2,Dashboard!$H$10*POWER($J$2/Dashboard!$H$10,A144/$D$2)))),$I$2-D144-Dashboard!$I$10-Dashboard!$J$10-Dashboard!$F$10*$I$2)))</f>
        <v>1789.4325484761255</v>
      </c>
      <c r="F144" s="24">
        <f t="shared" si="23"/>
        <v>0</v>
      </c>
      <c r="G144" s="24">
        <f t="shared" si="24"/>
        <v>0</v>
      </c>
      <c r="H144" s="24">
        <f t="shared" si="25"/>
        <v>0</v>
      </c>
      <c r="I144" s="24">
        <f t="shared" si="26"/>
        <v>1789.4325484761255</v>
      </c>
      <c r="J144" s="25">
        <f t="shared" si="27"/>
        <v>7.9741404289037643E-3</v>
      </c>
      <c r="K144" s="24">
        <f t="shared" si="32"/>
        <v>524387.30464365031</v>
      </c>
      <c r="L144" s="24" t="str">
        <f t="shared" si="28"/>
        <v/>
      </c>
      <c r="M144" s="24">
        <f t="shared" si="29"/>
        <v>0</v>
      </c>
      <c r="N144" s="24">
        <f>IF(M144&lt;=0,0,IF($E$2-A144&lt;12,(M144-E144)*Dashboard!$B$18,IF($Q$2+A144&gt;=$R$2,MAX(0,M144-E144*POWER(1+$C$2,$E$2-A144))*MAX(Dashboard!$C$18,Dashboard!$B$18),IF($S$2&lt;$R$2,(M144-E144)*0.5*Dashboard!$B$18,(E144*POWER(1+$A$2,$R$2-($Q$2+A144))-E144)*0.5*Dashboard!$B$18+MAX(0,M144-E144*POWER(1+$A$2,$R$2-($Q$2+A144))*POWER(1+$C$2,$S$2-$R$2))*MAX(Dashboard!$C$18,Dashboard!$B$18)))))</f>
        <v>0</v>
      </c>
    </row>
    <row r="145" spans="1:14" x14ac:dyDescent="0.2">
      <c r="A145" s="22">
        <f t="shared" si="30"/>
        <v>140</v>
      </c>
      <c r="B145" s="23">
        <f t="shared" si="31"/>
        <v>29.721461187214445</v>
      </c>
      <c r="C145" t="str">
        <f t="shared" si="22"/>
        <v>29 y 8.66 m</v>
      </c>
      <c r="D145" s="24">
        <f>IF(A145&gt;=$E$2,IF(A145&lt;$E$2+$H$2,$P$2,0),IF(B145&lt;Dashboard!$I$6,0,IF(A145&gt;=$F$2,Dashboard!$C$23*POWER(1+$C$2,A145-$F$2),Dashboard!$C$23)))</f>
        <v>5092.3674515238745</v>
      </c>
      <c r="E145" s="24">
        <f>IF(A145&gt;=$F$2,0,IF(A145=0,Dashboard!$G$10,IF(B145&lt;Dashboard!$I$6,IF($J$2&lt;=Dashboard!$H$10,Dashboard!$H$10,MAX(Dashboard!$H$10,MIN($J$2,Dashboard!$H$10*POWER($J$2/Dashboard!$H$10,A145/$D$2)))),$I$2-D145-Dashboard!$I$10-Dashboard!$J$10-Dashboard!$F$10*$I$2)))</f>
        <v>1789.4325484761255</v>
      </c>
      <c r="F145" s="24">
        <f t="shared" si="23"/>
        <v>0</v>
      </c>
      <c r="G145" s="24">
        <f t="shared" si="24"/>
        <v>0</v>
      </c>
      <c r="H145" s="24">
        <f t="shared" si="25"/>
        <v>0</v>
      </c>
      <c r="I145" s="24">
        <f t="shared" si="26"/>
        <v>1789.4325484761255</v>
      </c>
      <c r="J145" s="25">
        <f t="shared" si="27"/>
        <v>7.9741404289037643E-3</v>
      </c>
      <c r="K145" s="24">
        <f t="shared" si="32"/>
        <v>530372.54438491887</v>
      </c>
      <c r="L145" s="24" t="str">
        <f t="shared" si="28"/>
        <v/>
      </c>
      <c r="M145" s="24">
        <f t="shared" si="29"/>
        <v>0</v>
      </c>
      <c r="N145" s="24">
        <f>IF(M145&lt;=0,0,IF($E$2-A145&lt;12,(M145-E145)*Dashboard!$B$18,IF($Q$2+A145&gt;=$R$2,MAX(0,M145-E145*POWER(1+$C$2,$E$2-A145))*MAX(Dashboard!$C$18,Dashboard!$B$18),IF($S$2&lt;$R$2,(M145-E145)*0.5*Dashboard!$B$18,(E145*POWER(1+$A$2,$R$2-($Q$2+A145))-E145)*0.5*Dashboard!$B$18+MAX(0,M145-E145*POWER(1+$A$2,$R$2-($Q$2+A145))*POWER(1+$C$2,$S$2-$R$2))*MAX(Dashboard!$C$18,Dashboard!$B$18)))))</f>
        <v>0</v>
      </c>
    </row>
    <row r="146" spans="1:14" x14ac:dyDescent="0.2">
      <c r="A146" s="22">
        <f t="shared" si="30"/>
        <v>141</v>
      </c>
      <c r="B146" s="23">
        <f t="shared" si="31"/>
        <v>29.804794520547777</v>
      </c>
      <c r="C146" t="str">
        <f t="shared" si="22"/>
        <v>29 y 9.66 m</v>
      </c>
      <c r="D146" s="24">
        <f>IF(A146&gt;=$E$2,IF(A146&lt;$E$2+$H$2,$P$2,0),IF(B146&lt;Dashboard!$I$6,0,IF(A146&gt;=$F$2,Dashboard!$C$23*POWER(1+$C$2,A146-$F$2),Dashboard!$C$23)))</f>
        <v>5092.3674515238745</v>
      </c>
      <c r="E146" s="24">
        <f>IF(A146&gt;=$F$2,0,IF(A146=0,Dashboard!$G$10,IF(B146&lt;Dashboard!$I$6,IF($J$2&lt;=Dashboard!$H$10,Dashboard!$H$10,MAX(Dashboard!$H$10,MIN($J$2,Dashboard!$H$10*POWER($J$2/Dashboard!$H$10,A146/$D$2)))),$I$2-D146-Dashboard!$I$10-Dashboard!$J$10-Dashboard!$F$10*$I$2)))</f>
        <v>1789.4325484761255</v>
      </c>
      <c r="F146" s="24">
        <f t="shared" si="23"/>
        <v>0</v>
      </c>
      <c r="G146" s="24">
        <f t="shared" si="24"/>
        <v>0</v>
      </c>
      <c r="H146" s="24">
        <f t="shared" si="25"/>
        <v>0</v>
      </c>
      <c r="I146" s="24">
        <f t="shared" si="26"/>
        <v>1789.4325484761255</v>
      </c>
      <c r="J146" s="25">
        <f t="shared" si="27"/>
        <v>7.9741404289037643E-3</v>
      </c>
      <c r="K146" s="24">
        <f t="shared" si="32"/>
        <v>536405.51126838499</v>
      </c>
      <c r="L146" s="24" t="str">
        <f t="shared" si="28"/>
        <v/>
      </c>
      <c r="M146" s="24">
        <f t="shared" si="29"/>
        <v>0</v>
      </c>
      <c r="N146" s="24">
        <f>IF(M146&lt;=0,0,IF($E$2-A146&lt;12,(M146-E146)*Dashboard!$B$18,IF($Q$2+A146&gt;=$R$2,MAX(0,M146-E146*POWER(1+$C$2,$E$2-A146))*MAX(Dashboard!$C$18,Dashboard!$B$18),IF($S$2&lt;$R$2,(M146-E146)*0.5*Dashboard!$B$18,(E146*POWER(1+$A$2,$R$2-($Q$2+A146))-E146)*0.5*Dashboard!$B$18+MAX(0,M146-E146*POWER(1+$A$2,$R$2-($Q$2+A146))*POWER(1+$C$2,$S$2-$R$2))*MAX(Dashboard!$C$18,Dashboard!$B$18)))))</f>
        <v>0</v>
      </c>
    </row>
    <row r="147" spans="1:14" x14ac:dyDescent="0.2">
      <c r="A147" s="22">
        <f t="shared" si="30"/>
        <v>142</v>
      </c>
      <c r="B147" s="23">
        <f t="shared" si="31"/>
        <v>29.888127853881109</v>
      </c>
      <c r="C147" t="str">
        <f t="shared" si="22"/>
        <v>29 y 10.66 m</v>
      </c>
      <c r="D147" s="24">
        <f>IF(A147&gt;=$E$2,IF(A147&lt;$E$2+$H$2,$P$2,0),IF(B147&lt;Dashboard!$I$6,0,IF(A147&gt;=$F$2,Dashboard!$C$23*POWER(1+$C$2,A147-$F$2),Dashboard!$C$23)))</f>
        <v>5092.3674515238745</v>
      </c>
      <c r="E147" s="24">
        <f>IF(A147&gt;=$F$2,0,IF(A147=0,Dashboard!$G$10,IF(B147&lt;Dashboard!$I$6,IF($J$2&lt;=Dashboard!$H$10,Dashboard!$H$10,MAX(Dashboard!$H$10,MIN($J$2,Dashboard!$H$10*POWER($J$2/Dashboard!$H$10,A147/$D$2)))),$I$2-D147-Dashboard!$I$10-Dashboard!$J$10-Dashboard!$F$10*$I$2)))</f>
        <v>1789.4325484761255</v>
      </c>
      <c r="F147" s="24">
        <f t="shared" si="23"/>
        <v>0</v>
      </c>
      <c r="G147" s="24">
        <f t="shared" si="24"/>
        <v>0</v>
      </c>
      <c r="H147" s="24">
        <f t="shared" si="25"/>
        <v>0</v>
      </c>
      <c r="I147" s="24">
        <f t="shared" si="26"/>
        <v>1789.4325484761255</v>
      </c>
      <c r="J147" s="25">
        <f t="shared" si="27"/>
        <v>7.9741404289037643E-3</v>
      </c>
      <c r="K147" s="24">
        <f t="shared" si="32"/>
        <v>542486.58587698278</v>
      </c>
      <c r="L147" s="24" t="str">
        <f t="shared" si="28"/>
        <v/>
      </c>
      <c r="M147" s="24">
        <f t="shared" si="29"/>
        <v>0</v>
      </c>
      <c r="N147" s="24">
        <f>IF(M147&lt;=0,0,IF($E$2-A147&lt;12,(M147-E147)*Dashboard!$B$18,IF($Q$2+A147&gt;=$R$2,MAX(0,M147-E147*POWER(1+$C$2,$E$2-A147))*MAX(Dashboard!$C$18,Dashboard!$B$18),IF($S$2&lt;$R$2,(M147-E147)*0.5*Dashboard!$B$18,(E147*POWER(1+$A$2,$R$2-($Q$2+A147))-E147)*0.5*Dashboard!$B$18+MAX(0,M147-E147*POWER(1+$A$2,$R$2-($Q$2+A147))*POWER(1+$C$2,$S$2-$R$2))*MAX(Dashboard!$C$18,Dashboard!$B$18)))))</f>
        <v>0</v>
      </c>
    </row>
    <row r="148" spans="1:14" x14ac:dyDescent="0.2">
      <c r="A148" s="22">
        <f t="shared" si="30"/>
        <v>143</v>
      </c>
      <c r="B148" s="23">
        <f t="shared" si="31"/>
        <v>29.971461187214441</v>
      </c>
      <c r="C148" t="str">
        <f t="shared" si="22"/>
        <v>29 y 11.66 m</v>
      </c>
      <c r="D148" s="24">
        <f>IF(A148&gt;=$E$2,IF(A148&lt;$E$2+$H$2,$P$2,0),IF(B148&lt;Dashboard!$I$6,0,IF(A148&gt;=$F$2,Dashboard!$C$23*POWER(1+$C$2,A148-$F$2),Dashboard!$C$23)))</f>
        <v>5092.3674515238745</v>
      </c>
      <c r="E148" s="24">
        <f>IF(A148&gt;=$F$2,0,IF(A148=0,Dashboard!$G$10,IF(B148&lt;Dashboard!$I$6,IF($J$2&lt;=Dashboard!$H$10,Dashboard!$H$10,MAX(Dashboard!$H$10,MIN($J$2,Dashboard!$H$10*POWER($J$2/Dashboard!$H$10,A148/$D$2)))),$I$2-D148-Dashboard!$I$10-Dashboard!$J$10-Dashboard!$F$10*$I$2)))</f>
        <v>1789.4325484761255</v>
      </c>
      <c r="F148" s="24">
        <f t="shared" si="23"/>
        <v>0</v>
      </c>
      <c r="G148" s="24">
        <f t="shared" si="24"/>
        <v>0</v>
      </c>
      <c r="H148" s="24">
        <f t="shared" si="25"/>
        <v>0</v>
      </c>
      <c r="I148" s="24">
        <f t="shared" si="26"/>
        <v>1789.4325484761255</v>
      </c>
      <c r="J148" s="25">
        <f t="shared" si="27"/>
        <v>7.9741404289037643E-3</v>
      </c>
      <c r="K148" s="24">
        <f t="shared" si="32"/>
        <v>548616.1518284682</v>
      </c>
      <c r="L148" s="24" t="str">
        <f t="shared" si="28"/>
        <v/>
      </c>
      <c r="M148" s="24">
        <f t="shared" si="29"/>
        <v>0</v>
      </c>
      <c r="N148" s="24">
        <f>IF(M148&lt;=0,0,IF($E$2-A148&lt;12,(M148-E148)*Dashboard!$B$18,IF($Q$2+A148&gt;=$R$2,MAX(0,M148-E148*POWER(1+$C$2,$E$2-A148))*MAX(Dashboard!$C$18,Dashboard!$B$18),IF($S$2&lt;$R$2,(M148-E148)*0.5*Dashboard!$B$18,(E148*POWER(1+$A$2,$R$2-($Q$2+A148))-E148)*0.5*Dashboard!$B$18+MAX(0,M148-E148*POWER(1+$A$2,$R$2-($Q$2+A148))*POWER(1+$C$2,$S$2-$R$2))*MAX(Dashboard!$C$18,Dashboard!$B$18)))))</f>
        <v>0</v>
      </c>
    </row>
    <row r="149" spans="1:14" x14ac:dyDescent="0.2">
      <c r="A149" s="22">
        <f t="shared" si="30"/>
        <v>144</v>
      </c>
      <c r="B149" s="23">
        <f t="shared" si="31"/>
        <v>30.054794520547773</v>
      </c>
      <c r="C149" t="str">
        <f t="shared" si="22"/>
        <v>30 y 0.66 m</v>
      </c>
      <c r="D149" s="24">
        <f>IF(A149&gt;=$E$2,IF(A149&lt;$E$2+$H$2,$P$2,0),IF(B149&lt;Dashboard!$I$6,0,IF(A149&gt;=$F$2,Dashboard!$C$23*POWER(1+$C$2,A149-$F$2),Dashboard!$C$23)))</f>
        <v>5092.3674515238745</v>
      </c>
      <c r="E149" s="24">
        <f>IF(A149&gt;=$F$2,0,IF(A149=0,Dashboard!$G$10,IF(B149&lt;Dashboard!$I$6,IF($J$2&lt;=Dashboard!$H$10,Dashboard!$H$10,MAX(Dashboard!$H$10,MIN($J$2,Dashboard!$H$10*POWER($J$2/Dashboard!$H$10,A149/$D$2)))),$I$2-D149-Dashboard!$I$10-Dashboard!$J$10-Dashboard!$F$10*$I$2)))</f>
        <v>1789.4325484761255</v>
      </c>
      <c r="F149" s="24">
        <f t="shared" si="23"/>
        <v>0</v>
      </c>
      <c r="G149" s="24">
        <f t="shared" si="24"/>
        <v>0</v>
      </c>
      <c r="H149" s="24">
        <f t="shared" si="25"/>
        <v>0</v>
      </c>
      <c r="I149" s="24">
        <f t="shared" si="26"/>
        <v>1789.4325484761255</v>
      </c>
      <c r="J149" s="25">
        <f t="shared" si="27"/>
        <v>7.9741404289037643E-3</v>
      </c>
      <c r="K149" s="24">
        <f t="shared" si="32"/>
        <v>554794.59579961898</v>
      </c>
      <c r="L149" s="24" t="str">
        <f t="shared" si="28"/>
        <v/>
      </c>
      <c r="M149" s="24">
        <f t="shared" si="29"/>
        <v>0</v>
      </c>
      <c r="N149" s="24">
        <f>IF(M149&lt;=0,0,IF($E$2-A149&lt;12,(M149-E149)*Dashboard!$B$18,IF($Q$2+A149&gt;=$R$2,MAX(0,M149-E149*POWER(1+$C$2,$E$2-A149))*MAX(Dashboard!$C$18,Dashboard!$B$18),IF($S$2&lt;$R$2,(M149-E149)*0.5*Dashboard!$B$18,(E149*POWER(1+$A$2,$R$2-($Q$2+A149))-E149)*0.5*Dashboard!$B$18+MAX(0,M149-E149*POWER(1+$A$2,$R$2-($Q$2+A149))*POWER(1+$C$2,$S$2-$R$2))*MAX(Dashboard!$C$18,Dashboard!$B$18)))))</f>
        <v>0</v>
      </c>
    </row>
    <row r="150" spans="1:14" x14ac:dyDescent="0.2">
      <c r="A150" s="22">
        <f t="shared" si="30"/>
        <v>145</v>
      </c>
      <c r="B150" s="23">
        <f t="shared" si="31"/>
        <v>30.138127853881105</v>
      </c>
      <c r="C150" t="str">
        <f t="shared" si="22"/>
        <v>30 y 1.66 m</v>
      </c>
      <c r="D150" s="24">
        <f>IF(A150&gt;=$E$2,IF(A150&lt;$E$2+$H$2,$P$2,0),IF(B150&lt;Dashboard!$I$6,0,IF(A150&gt;=$F$2,Dashboard!$C$23*POWER(1+$C$2,A150-$F$2),Dashboard!$C$23)))</f>
        <v>5092.3674515238745</v>
      </c>
      <c r="E150" s="24">
        <f>IF(A150&gt;=$F$2,0,IF(A150=0,Dashboard!$G$10,IF(B150&lt;Dashboard!$I$6,IF($J$2&lt;=Dashboard!$H$10,Dashboard!$H$10,MAX(Dashboard!$H$10,MIN($J$2,Dashboard!$H$10*POWER($J$2/Dashboard!$H$10,A150/$D$2)))),$I$2-D150-Dashboard!$I$10-Dashboard!$J$10-Dashboard!$F$10*$I$2)))</f>
        <v>1789.4325484761255</v>
      </c>
      <c r="F150" s="24">
        <f t="shared" si="23"/>
        <v>0</v>
      </c>
      <c r="G150" s="24">
        <f t="shared" si="24"/>
        <v>0</v>
      </c>
      <c r="H150" s="24">
        <f t="shared" si="25"/>
        <v>0</v>
      </c>
      <c r="I150" s="24">
        <f t="shared" si="26"/>
        <v>1789.4325484761255</v>
      </c>
      <c r="J150" s="25">
        <f t="shared" si="27"/>
        <v>7.9741404289037643E-3</v>
      </c>
      <c r="K150" s="24">
        <f t="shared" si="32"/>
        <v>561022.30755062785</v>
      </c>
      <c r="L150" s="24" t="str">
        <f t="shared" si="28"/>
        <v/>
      </c>
      <c r="M150" s="24">
        <f t="shared" si="29"/>
        <v>0</v>
      </c>
      <c r="N150" s="24">
        <f>IF(M150&lt;=0,0,IF($E$2-A150&lt;12,(M150-E150)*Dashboard!$B$18,IF($Q$2+A150&gt;=$R$2,MAX(0,M150-E150*POWER(1+$C$2,$E$2-A150))*MAX(Dashboard!$C$18,Dashboard!$B$18),IF($S$2&lt;$R$2,(M150-E150)*0.5*Dashboard!$B$18,(E150*POWER(1+$A$2,$R$2-($Q$2+A150))-E150)*0.5*Dashboard!$B$18+MAX(0,M150-E150*POWER(1+$A$2,$R$2-($Q$2+A150))*POWER(1+$C$2,$S$2-$R$2))*MAX(Dashboard!$C$18,Dashboard!$B$18)))))</f>
        <v>0</v>
      </c>
    </row>
    <row r="151" spans="1:14" x14ac:dyDescent="0.2">
      <c r="A151" s="22">
        <f t="shared" si="30"/>
        <v>146</v>
      </c>
      <c r="B151" s="23">
        <f t="shared" si="31"/>
        <v>30.221461187214437</v>
      </c>
      <c r="C151" t="str">
        <f t="shared" si="22"/>
        <v>30 y 2.66 m</v>
      </c>
      <c r="D151" s="24">
        <f>IF(A151&gt;=$E$2,IF(A151&lt;$E$2+$H$2,$P$2,0),IF(B151&lt;Dashboard!$I$6,0,IF(A151&gt;=$F$2,Dashboard!$C$23*POWER(1+$C$2,A151-$F$2),Dashboard!$C$23)))</f>
        <v>5092.3674515238745</v>
      </c>
      <c r="E151" s="24">
        <f>IF(A151&gt;=$F$2,0,IF(A151=0,Dashboard!$G$10,IF(B151&lt;Dashboard!$I$6,IF($J$2&lt;=Dashboard!$H$10,Dashboard!$H$10,MAX(Dashboard!$H$10,MIN($J$2,Dashboard!$H$10*POWER($J$2/Dashboard!$H$10,A151/$D$2)))),$I$2-D151-Dashboard!$I$10-Dashboard!$J$10-Dashboard!$F$10*$I$2)))</f>
        <v>1789.4325484761255</v>
      </c>
      <c r="F151" s="24">
        <f t="shared" si="23"/>
        <v>0</v>
      </c>
      <c r="G151" s="24">
        <f t="shared" si="24"/>
        <v>0</v>
      </c>
      <c r="H151" s="24">
        <f t="shared" si="25"/>
        <v>0</v>
      </c>
      <c r="I151" s="24">
        <f t="shared" si="26"/>
        <v>1789.4325484761255</v>
      </c>
      <c r="J151" s="25">
        <f t="shared" si="27"/>
        <v>7.9741404289037643E-3</v>
      </c>
      <c r="K151" s="24">
        <f t="shared" si="32"/>
        <v>567299.67994969001</v>
      </c>
      <c r="L151" s="24" t="str">
        <f t="shared" si="28"/>
        <v/>
      </c>
      <c r="M151" s="24">
        <f t="shared" si="29"/>
        <v>0</v>
      </c>
      <c r="N151" s="24">
        <f>IF(M151&lt;=0,0,IF($E$2-A151&lt;12,(M151-E151)*Dashboard!$B$18,IF($Q$2+A151&gt;=$R$2,MAX(0,M151-E151*POWER(1+$C$2,$E$2-A151))*MAX(Dashboard!$C$18,Dashboard!$B$18),IF($S$2&lt;$R$2,(M151-E151)*0.5*Dashboard!$B$18,(E151*POWER(1+$A$2,$R$2-($Q$2+A151))-E151)*0.5*Dashboard!$B$18+MAX(0,M151-E151*POWER(1+$A$2,$R$2-($Q$2+A151))*POWER(1+$C$2,$S$2-$R$2))*MAX(Dashboard!$C$18,Dashboard!$B$18)))))</f>
        <v>0</v>
      </c>
    </row>
    <row r="152" spans="1:14" x14ac:dyDescent="0.2">
      <c r="A152" s="22">
        <f t="shared" si="30"/>
        <v>147</v>
      </c>
      <c r="B152" s="23">
        <f t="shared" si="31"/>
        <v>30.30479452054777</v>
      </c>
      <c r="C152" t="str">
        <f t="shared" si="22"/>
        <v>30 y 3.66 m</v>
      </c>
      <c r="D152" s="24">
        <f>IF(A152&gt;=$E$2,IF(A152&lt;$E$2+$H$2,$P$2,0),IF(B152&lt;Dashboard!$I$6,0,IF(A152&gt;=$F$2,Dashboard!$C$23*POWER(1+$C$2,A152-$F$2),Dashboard!$C$23)))</f>
        <v>5092.3674515238745</v>
      </c>
      <c r="E152" s="24">
        <f>IF(A152&gt;=$F$2,0,IF(A152=0,Dashboard!$G$10,IF(B152&lt;Dashboard!$I$6,IF($J$2&lt;=Dashboard!$H$10,Dashboard!$H$10,MAX(Dashboard!$H$10,MIN($J$2,Dashboard!$H$10*POWER($J$2/Dashboard!$H$10,A152/$D$2)))),$I$2-D152-Dashboard!$I$10-Dashboard!$J$10-Dashboard!$F$10*$I$2)))</f>
        <v>1789.4325484761255</v>
      </c>
      <c r="F152" s="24">
        <f t="shared" si="23"/>
        <v>0</v>
      </c>
      <c r="G152" s="24">
        <f t="shared" si="24"/>
        <v>0</v>
      </c>
      <c r="H152" s="24">
        <f t="shared" si="25"/>
        <v>0</v>
      </c>
      <c r="I152" s="24">
        <f t="shared" si="26"/>
        <v>1789.4325484761255</v>
      </c>
      <c r="J152" s="25">
        <f t="shared" si="27"/>
        <v>7.9741404289037643E-3</v>
      </c>
      <c r="K152" s="24">
        <f t="shared" si="32"/>
        <v>573627.10899778677</v>
      </c>
      <c r="L152" s="24" t="str">
        <f t="shared" si="28"/>
        <v/>
      </c>
      <c r="M152" s="24">
        <f t="shared" si="29"/>
        <v>0</v>
      </c>
      <c r="N152" s="24">
        <f>IF(M152&lt;=0,0,IF($E$2-A152&lt;12,(M152-E152)*Dashboard!$B$18,IF($Q$2+A152&gt;=$R$2,MAX(0,M152-E152*POWER(1+$C$2,$E$2-A152))*MAX(Dashboard!$C$18,Dashboard!$B$18),IF($S$2&lt;$R$2,(M152-E152)*0.5*Dashboard!$B$18,(E152*POWER(1+$A$2,$R$2-($Q$2+A152))-E152)*0.5*Dashboard!$B$18+MAX(0,M152-E152*POWER(1+$A$2,$R$2-($Q$2+A152))*POWER(1+$C$2,$S$2-$R$2))*MAX(Dashboard!$C$18,Dashboard!$B$18)))))</f>
        <v>0</v>
      </c>
    </row>
    <row r="153" spans="1:14" x14ac:dyDescent="0.2">
      <c r="A153" s="22">
        <f t="shared" si="30"/>
        <v>148</v>
      </c>
      <c r="B153" s="23">
        <f t="shared" si="31"/>
        <v>30.388127853881102</v>
      </c>
      <c r="C153" t="str">
        <f t="shared" si="22"/>
        <v>30 y 4.66 m</v>
      </c>
      <c r="D153" s="24">
        <f>IF(A153&gt;=$E$2,IF(A153&lt;$E$2+$H$2,$P$2,0),IF(B153&lt;Dashboard!$I$6,0,IF(A153&gt;=$F$2,Dashboard!$C$23*POWER(1+$C$2,A153-$F$2),Dashboard!$C$23)))</f>
        <v>5092.3674515238745</v>
      </c>
      <c r="E153" s="24">
        <f>IF(A153&gt;=$F$2,0,IF(A153=0,Dashboard!$G$10,IF(B153&lt;Dashboard!$I$6,IF($J$2&lt;=Dashboard!$H$10,Dashboard!$H$10,MAX(Dashboard!$H$10,MIN($J$2,Dashboard!$H$10*POWER($J$2/Dashboard!$H$10,A153/$D$2)))),$I$2-D153-Dashboard!$I$10-Dashboard!$J$10-Dashboard!$F$10*$I$2)))</f>
        <v>1789.4325484761255</v>
      </c>
      <c r="F153" s="24">
        <f t="shared" si="23"/>
        <v>0</v>
      </c>
      <c r="G153" s="24">
        <f t="shared" si="24"/>
        <v>0</v>
      </c>
      <c r="H153" s="24">
        <f t="shared" si="25"/>
        <v>0</v>
      </c>
      <c r="I153" s="24">
        <f t="shared" si="26"/>
        <v>1789.4325484761255</v>
      </c>
      <c r="J153" s="25">
        <f t="shared" si="27"/>
        <v>7.9741404289037643E-3</v>
      </c>
      <c r="K153" s="24">
        <f t="shared" si="32"/>
        <v>580004.99385366694</v>
      </c>
      <c r="L153" s="24" t="str">
        <f t="shared" si="28"/>
        <v/>
      </c>
      <c r="M153" s="24">
        <f t="shared" si="29"/>
        <v>0</v>
      </c>
      <c r="N153" s="24">
        <f>IF(M153&lt;=0,0,IF($E$2-A153&lt;12,(M153-E153)*Dashboard!$B$18,IF($Q$2+A153&gt;=$R$2,MAX(0,M153-E153*POWER(1+$C$2,$E$2-A153))*MAX(Dashboard!$C$18,Dashboard!$B$18),IF($S$2&lt;$R$2,(M153-E153)*0.5*Dashboard!$B$18,(E153*POWER(1+$A$2,$R$2-($Q$2+A153))-E153)*0.5*Dashboard!$B$18+MAX(0,M153-E153*POWER(1+$A$2,$R$2-($Q$2+A153))*POWER(1+$C$2,$S$2-$R$2))*MAX(Dashboard!$C$18,Dashboard!$B$18)))))</f>
        <v>0</v>
      </c>
    </row>
    <row r="154" spans="1:14" x14ac:dyDescent="0.2">
      <c r="A154" s="22">
        <f t="shared" si="30"/>
        <v>149</v>
      </c>
      <c r="B154" s="23">
        <f t="shared" si="31"/>
        <v>30.471461187214434</v>
      </c>
      <c r="C154" t="str">
        <f t="shared" si="22"/>
        <v>30 y 5.66 m</v>
      </c>
      <c r="D154" s="24">
        <f>IF(A154&gt;=$E$2,IF(A154&lt;$E$2+$H$2,$P$2,0),IF(B154&lt;Dashboard!$I$6,0,IF(A154&gt;=$F$2,Dashboard!$C$23*POWER(1+$C$2,A154-$F$2),Dashboard!$C$23)))</f>
        <v>5092.3674515238745</v>
      </c>
      <c r="E154" s="24">
        <f>IF(A154&gt;=$F$2,0,IF(A154=0,Dashboard!$G$10,IF(B154&lt;Dashboard!$I$6,IF($J$2&lt;=Dashboard!$H$10,Dashboard!$H$10,MAX(Dashboard!$H$10,MIN($J$2,Dashboard!$H$10*POWER($J$2/Dashboard!$H$10,A154/$D$2)))),$I$2-D154-Dashboard!$I$10-Dashboard!$J$10-Dashboard!$F$10*$I$2)))</f>
        <v>1789.4325484761255</v>
      </c>
      <c r="F154" s="24">
        <f t="shared" si="23"/>
        <v>0</v>
      </c>
      <c r="G154" s="24">
        <f t="shared" si="24"/>
        <v>0</v>
      </c>
      <c r="H154" s="24">
        <f t="shared" si="25"/>
        <v>0</v>
      </c>
      <c r="I154" s="24">
        <f t="shared" si="26"/>
        <v>1789.4325484761255</v>
      </c>
      <c r="J154" s="25">
        <f t="shared" si="27"/>
        <v>7.9741404289037643E-3</v>
      </c>
      <c r="K154" s="24">
        <f t="shared" si="32"/>
        <v>586433.7368590273</v>
      </c>
      <c r="L154" s="24" t="str">
        <f t="shared" si="28"/>
        <v/>
      </c>
      <c r="M154" s="24">
        <f t="shared" si="29"/>
        <v>0</v>
      </c>
      <c r="N154" s="24">
        <f>IF(M154&lt;=0,0,IF($E$2-A154&lt;12,(M154-E154)*Dashboard!$B$18,IF($Q$2+A154&gt;=$R$2,MAX(0,M154-E154*POWER(1+$C$2,$E$2-A154))*MAX(Dashboard!$C$18,Dashboard!$B$18),IF($S$2&lt;$R$2,(M154-E154)*0.5*Dashboard!$B$18,(E154*POWER(1+$A$2,$R$2-($Q$2+A154))-E154)*0.5*Dashboard!$B$18+MAX(0,M154-E154*POWER(1+$A$2,$R$2-($Q$2+A154))*POWER(1+$C$2,$S$2-$R$2))*MAX(Dashboard!$C$18,Dashboard!$B$18)))))</f>
        <v>0</v>
      </c>
    </row>
    <row r="155" spans="1:14" x14ac:dyDescent="0.2">
      <c r="A155" s="22">
        <f t="shared" si="30"/>
        <v>150</v>
      </c>
      <c r="B155" s="23">
        <f t="shared" si="31"/>
        <v>30.554794520547766</v>
      </c>
      <c r="C155" t="str">
        <f t="shared" si="22"/>
        <v>30 y 6.66 m</v>
      </c>
      <c r="D155" s="24">
        <f>IF(A155&gt;=$E$2,IF(A155&lt;$E$2+$H$2,$P$2,0),IF(B155&lt;Dashboard!$I$6,0,IF(A155&gt;=$F$2,Dashboard!$C$23*POWER(1+$C$2,A155-$F$2),Dashboard!$C$23)))</f>
        <v>5092.3674515238745</v>
      </c>
      <c r="E155" s="24">
        <f>IF(A155&gt;=$F$2,0,IF(A155=0,Dashboard!$G$10,IF(B155&lt;Dashboard!$I$6,IF($J$2&lt;=Dashboard!$H$10,Dashboard!$H$10,MAX(Dashboard!$H$10,MIN($J$2,Dashboard!$H$10*POWER($J$2/Dashboard!$H$10,A155/$D$2)))),$I$2-D155-Dashboard!$I$10-Dashboard!$J$10-Dashboard!$F$10*$I$2)))</f>
        <v>1789.4325484761255</v>
      </c>
      <c r="F155" s="24">
        <f t="shared" si="23"/>
        <v>0</v>
      </c>
      <c r="G155" s="24">
        <f t="shared" si="24"/>
        <v>0</v>
      </c>
      <c r="H155" s="24">
        <f t="shared" si="25"/>
        <v>0</v>
      </c>
      <c r="I155" s="24">
        <f t="shared" si="26"/>
        <v>1789.4325484761255</v>
      </c>
      <c r="J155" s="25">
        <f t="shared" si="27"/>
        <v>7.9741404289037643E-3</v>
      </c>
      <c r="K155" s="24">
        <f t="shared" si="32"/>
        <v>592913.74356389372</v>
      </c>
      <c r="L155" s="24" t="str">
        <f t="shared" si="28"/>
        <v/>
      </c>
      <c r="M155" s="24">
        <f t="shared" si="29"/>
        <v>0</v>
      </c>
      <c r="N155" s="24">
        <f>IF(M155&lt;=0,0,IF($E$2-A155&lt;12,(M155-E155)*Dashboard!$B$18,IF($Q$2+A155&gt;=$R$2,MAX(0,M155-E155*POWER(1+$C$2,$E$2-A155))*MAX(Dashboard!$C$18,Dashboard!$B$18),IF($S$2&lt;$R$2,(M155-E155)*0.5*Dashboard!$B$18,(E155*POWER(1+$A$2,$R$2-($Q$2+A155))-E155)*0.5*Dashboard!$B$18+MAX(0,M155-E155*POWER(1+$A$2,$R$2-($Q$2+A155))*POWER(1+$C$2,$S$2-$R$2))*MAX(Dashboard!$C$18,Dashboard!$B$18)))))</f>
        <v>0</v>
      </c>
    </row>
    <row r="156" spans="1:14" x14ac:dyDescent="0.2">
      <c r="A156" s="22">
        <f t="shared" si="30"/>
        <v>151</v>
      </c>
      <c r="B156" s="23">
        <f t="shared" si="31"/>
        <v>30.638127853881098</v>
      </c>
      <c r="C156" t="str">
        <f t="shared" si="22"/>
        <v>30 y 7.66 m</v>
      </c>
      <c r="D156" s="24">
        <f>IF(A156&gt;=$E$2,IF(A156&lt;$E$2+$H$2,$P$2,0),IF(B156&lt;Dashboard!$I$6,0,IF(A156&gt;=$F$2,Dashboard!$C$23*POWER(1+$C$2,A156-$F$2),Dashboard!$C$23)))</f>
        <v>5092.3674515238745</v>
      </c>
      <c r="E156" s="24">
        <f>IF(A156&gt;=$F$2,0,IF(A156=0,Dashboard!$G$10,IF(B156&lt;Dashboard!$I$6,IF($J$2&lt;=Dashboard!$H$10,Dashboard!$H$10,MAX(Dashboard!$H$10,MIN($J$2,Dashboard!$H$10*POWER($J$2/Dashboard!$H$10,A156/$D$2)))),$I$2-D156-Dashboard!$I$10-Dashboard!$J$10-Dashboard!$F$10*$I$2)))</f>
        <v>1789.4325484761255</v>
      </c>
      <c r="F156" s="24">
        <f t="shared" si="23"/>
        <v>0</v>
      </c>
      <c r="G156" s="24">
        <f t="shared" si="24"/>
        <v>0</v>
      </c>
      <c r="H156" s="24">
        <f t="shared" si="25"/>
        <v>0</v>
      </c>
      <c r="I156" s="24">
        <f t="shared" si="26"/>
        <v>1789.4325484761255</v>
      </c>
      <c r="J156" s="25">
        <f t="shared" si="27"/>
        <v>7.9741404289037643E-3</v>
      </c>
      <c r="K156" s="24">
        <f t="shared" si="32"/>
        <v>599445.42275220493</v>
      </c>
      <c r="L156" s="24" t="str">
        <f t="shared" si="28"/>
        <v/>
      </c>
      <c r="M156" s="24">
        <f t="shared" si="29"/>
        <v>0</v>
      </c>
      <c r="N156" s="24">
        <f>IF(M156&lt;=0,0,IF($E$2-A156&lt;12,(M156-E156)*Dashboard!$B$18,IF($Q$2+A156&gt;=$R$2,MAX(0,M156-E156*POWER(1+$C$2,$E$2-A156))*MAX(Dashboard!$C$18,Dashboard!$B$18),IF($S$2&lt;$R$2,(M156-E156)*0.5*Dashboard!$B$18,(E156*POWER(1+$A$2,$R$2-($Q$2+A156))-E156)*0.5*Dashboard!$B$18+MAX(0,M156-E156*POWER(1+$A$2,$R$2-($Q$2+A156))*POWER(1+$C$2,$S$2-$R$2))*MAX(Dashboard!$C$18,Dashboard!$B$18)))))</f>
        <v>0</v>
      </c>
    </row>
    <row r="157" spans="1:14" x14ac:dyDescent="0.2">
      <c r="A157" s="22">
        <f t="shared" si="30"/>
        <v>152</v>
      </c>
      <c r="B157" s="23">
        <f t="shared" si="31"/>
        <v>30.72146118721443</v>
      </c>
      <c r="C157" t="str">
        <f t="shared" si="22"/>
        <v>30 y 8.66 m</v>
      </c>
      <c r="D157" s="24">
        <f>IF(A157&gt;=$E$2,IF(A157&lt;$E$2+$H$2,$P$2,0),IF(B157&lt;Dashboard!$I$6,0,IF(A157&gt;=$F$2,Dashboard!$C$23*POWER(1+$C$2,A157-$F$2),Dashboard!$C$23)))</f>
        <v>5092.3674515238745</v>
      </c>
      <c r="E157" s="24">
        <f>IF(A157&gt;=$F$2,0,IF(A157=0,Dashboard!$G$10,IF(B157&lt;Dashboard!$I$6,IF($J$2&lt;=Dashboard!$H$10,Dashboard!$H$10,MAX(Dashboard!$H$10,MIN($J$2,Dashboard!$H$10*POWER($J$2/Dashboard!$H$10,A157/$D$2)))),$I$2-D157-Dashboard!$I$10-Dashboard!$J$10-Dashboard!$F$10*$I$2)))</f>
        <v>1789.4325484761255</v>
      </c>
      <c r="F157" s="24">
        <f t="shared" si="23"/>
        <v>0</v>
      </c>
      <c r="G157" s="24">
        <f t="shared" si="24"/>
        <v>0</v>
      </c>
      <c r="H157" s="24">
        <f t="shared" si="25"/>
        <v>0</v>
      </c>
      <c r="I157" s="24">
        <f t="shared" si="26"/>
        <v>1789.4325484761255</v>
      </c>
      <c r="J157" s="25">
        <f t="shared" si="27"/>
        <v>7.9741404289037643E-3</v>
      </c>
      <c r="K157" s="24">
        <f t="shared" si="32"/>
        <v>606029.1864676004</v>
      </c>
      <c r="L157" s="24" t="str">
        <f t="shared" si="28"/>
        <v/>
      </c>
      <c r="M157" s="24">
        <f t="shared" si="29"/>
        <v>0</v>
      </c>
      <c r="N157" s="24">
        <f>IF(M157&lt;=0,0,IF($E$2-A157&lt;12,(M157-E157)*Dashboard!$B$18,IF($Q$2+A157&gt;=$R$2,MAX(0,M157-E157*POWER(1+$C$2,$E$2-A157))*MAX(Dashboard!$C$18,Dashboard!$B$18),IF($S$2&lt;$R$2,(M157-E157)*0.5*Dashboard!$B$18,(E157*POWER(1+$A$2,$R$2-($Q$2+A157))-E157)*0.5*Dashboard!$B$18+MAX(0,M157-E157*POWER(1+$A$2,$R$2-($Q$2+A157))*POWER(1+$C$2,$S$2-$R$2))*MAX(Dashboard!$C$18,Dashboard!$B$18)))))</f>
        <v>0</v>
      </c>
    </row>
    <row r="158" spans="1:14" x14ac:dyDescent="0.2">
      <c r="A158" s="22">
        <f t="shared" si="30"/>
        <v>153</v>
      </c>
      <c r="B158" s="23">
        <f t="shared" si="31"/>
        <v>30.804794520547762</v>
      </c>
      <c r="C158" t="str">
        <f t="shared" si="22"/>
        <v>30 y 9.66 m</v>
      </c>
      <c r="D158" s="24">
        <f>IF(A158&gt;=$E$2,IF(A158&lt;$E$2+$H$2,$P$2,0),IF(B158&lt;Dashboard!$I$6,0,IF(A158&gt;=$F$2,Dashboard!$C$23*POWER(1+$C$2,A158-$F$2),Dashboard!$C$23)))</f>
        <v>5092.3674515238745</v>
      </c>
      <c r="E158" s="24">
        <f>IF(A158&gt;=$F$2,0,IF(A158=0,Dashboard!$G$10,IF(B158&lt;Dashboard!$I$6,IF($J$2&lt;=Dashboard!$H$10,Dashboard!$H$10,MAX(Dashboard!$H$10,MIN($J$2,Dashboard!$H$10*POWER($J$2/Dashboard!$H$10,A158/$D$2)))),$I$2-D158-Dashboard!$I$10-Dashboard!$J$10-Dashboard!$F$10*$I$2)))</f>
        <v>1789.4325484761255</v>
      </c>
      <c r="F158" s="24">
        <f t="shared" si="23"/>
        <v>0</v>
      </c>
      <c r="G158" s="24">
        <f t="shared" si="24"/>
        <v>0</v>
      </c>
      <c r="H158" s="24">
        <f t="shared" si="25"/>
        <v>0</v>
      </c>
      <c r="I158" s="24">
        <f t="shared" si="26"/>
        <v>1789.4325484761255</v>
      </c>
      <c r="J158" s="25">
        <f t="shared" si="27"/>
        <v>7.9741404289037643E-3</v>
      </c>
      <c r="K158" s="24">
        <f t="shared" si="32"/>
        <v>612665.45003941306</v>
      </c>
      <c r="L158" s="24" t="str">
        <f t="shared" si="28"/>
        <v/>
      </c>
      <c r="M158" s="24">
        <f t="shared" si="29"/>
        <v>0</v>
      </c>
      <c r="N158" s="24">
        <f>IF(M158&lt;=0,0,IF($E$2-A158&lt;12,(M158-E158)*Dashboard!$B$18,IF($Q$2+A158&gt;=$R$2,MAX(0,M158-E158*POWER(1+$C$2,$E$2-A158))*MAX(Dashboard!$C$18,Dashboard!$B$18),IF($S$2&lt;$R$2,(M158-E158)*0.5*Dashboard!$B$18,(E158*POWER(1+$A$2,$R$2-($Q$2+A158))-E158)*0.5*Dashboard!$B$18+MAX(0,M158-E158*POWER(1+$A$2,$R$2-($Q$2+A158))*POWER(1+$C$2,$S$2-$R$2))*MAX(Dashboard!$C$18,Dashboard!$B$18)))))</f>
        <v>0</v>
      </c>
    </row>
    <row r="159" spans="1:14" x14ac:dyDescent="0.2">
      <c r="A159" s="22">
        <f t="shared" si="30"/>
        <v>154</v>
      </c>
      <c r="B159" s="23">
        <f t="shared" si="31"/>
        <v>30.888127853881095</v>
      </c>
      <c r="C159" t="str">
        <f t="shared" si="22"/>
        <v>30 y 10.66 m</v>
      </c>
      <c r="D159" s="24">
        <f>IF(A159&gt;=$E$2,IF(A159&lt;$E$2+$H$2,$P$2,0),IF(B159&lt;Dashboard!$I$6,0,IF(A159&gt;=$F$2,Dashboard!$C$23*POWER(1+$C$2,A159-$F$2),Dashboard!$C$23)))</f>
        <v>5092.3674515238745</v>
      </c>
      <c r="E159" s="24">
        <f>IF(A159&gt;=$F$2,0,IF(A159=0,Dashboard!$G$10,IF(B159&lt;Dashboard!$I$6,IF($J$2&lt;=Dashboard!$H$10,Dashboard!$H$10,MAX(Dashboard!$H$10,MIN($J$2,Dashboard!$H$10*POWER($J$2/Dashboard!$H$10,A159/$D$2)))),$I$2-D159-Dashboard!$I$10-Dashboard!$J$10-Dashboard!$F$10*$I$2)))</f>
        <v>1789.4325484761255</v>
      </c>
      <c r="F159" s="24">
        <f t="shared" si="23"/>
        <v>0</v>
      </c>
      <c r="G159" s="24">
        <f t="shared" si="24"/>
        <v>0</v>
      </c>
      <c r="H159" s="24">
        <f t="shared" si="25"/>
        <v>0</v>
      </c>
      <c r="I159" s="24">
        <f t="shared" si="26"/>
        <v>1789.4325484761255</v>
      </c>
      <c r="J159" s="25">
        <f t="shared" si="27"/>
        <v>7.9741404289037643E-3</v>
      </c>
      <c r="K159" s="24">
        <f t="shared" si="32"/>
        <v>619354.63210887066</v>
      </c>
      <c r="L159" s="24" t="str">
        <f t="shared" si="28"/>
        <v/>
      </c>
      <c r="M159" s="24">
        <f t="shared" si="29"/>
        <v>0</v>
      </c>
      <c r="N159" s="24">
        <f>IF(M159&lt;=0,0,IF($E$2-A159&lt;12,(M159-E159)*Dashboard!$B$18,IF($Q$2+A159&gt;=$R$2,MAX(0,M159-E159*POWER(1+$C$2,$E$2-A159))*MAX(Dashboard!$C$18,Dashboard!$B$18),IF($S$2&lt;$R$2,(M159-E159)*0.5*Dashboard!$B$18,(E159*POWER(1+$A$2,$R$2-($Q$2+A159))-E159)*0.5*Dashboard!$B$18+MAX(0,M159-E159*POWER(1+$A$2,$R$2-($Q$2+A159))*POWER(1+$C$2,$S$2-$R$2))*MAX(Dashboard!$C$18,Dashboard!$B$18)))))</f>
        <v>0</v>
      </c>
    </row>
    <row r="160" spans="1:14" x14ac:dyDescent="0.2">
      <c r="A160" s="22">
        <f t="shared" si="30"/>
        <v>155</v>
      </c>
      <c r="B160" s="23">
        <f t="shared" si="31"/>
        <v>30.971461187214427</v>
      </c>
      <c r="C160" t="str">
        <f t="shared" si="22"/>
        <v>30 y 11.66 m</v>
      </c>
      <c r="D160" s="24">
        <f>IF(A160&gt;=$E$2,IF(A160&lt;$E$2+$H$2,$P$2,0),IF(B160&lt;Dashboard!$I$6,0,IF(A160&gt;=$F$2,Dashboard!$C$23*POWER(1+$C$2,A160-$F$2),Dashboard!$C$23)))</f>
        <v>5092.3674515238745</v>
      </c>
      <c r="E160" s="24">
        <f>IF(A160&gt;=$F$2,0,IF(A160=0,Dashboard!$G$10,IF(B160&lt;Dashboard!$I$6,IF($J$2&lt;=Dashboard!$H$10,Dashboard!$H$10,MAX(Dashboard!$H$10,MIN($J$2,Dashboard!$H$10*POWER($J$2/Dashboard!$H$10,A160/$D$2)))),$I$2-D160-Dashboard!$I$10-Dashboard!$J$10-Dashboard!$F$10*$I$2)))</f>
        <v>1789.4325484761255</v>
      </c>
      <c r="F160" s="24">
        <f t="shared" si="23"/>
        <v>0</v>
      </c>
      <c r="G160" s="24">
        <f t="shared" si="24"/>
        <v>0</v>
      </c>
      <c r="H160" s="24">
        <f t="shared" si="25"/>
        <v>0</v>
      </c>
      <c r="I160" s="24">
        <f t="shared" si="26"/>
        <v>1789.4325484761255</v>
      </c>
      <c r="J160" s="25">
        <f t="shared" si="27"/>
        <v>7.9741404289037643E-3</v>
      </c>
      <c r="K160" s="24">
        <f t="shared" si="32"/>
        <v>626097.15465550462</v>
      </c>
      <c r="L160" s="24" t="str">
        <f t="shared" si="28"/>
        <v/>
      </c>
      <c r="M160" s="24">
        <f t="shared" si="29"/>
        <v>0</v>
      </c>
      <c r="N160" s="24">
        <f>IF(M160&lt;=0,0,IF($E$2-A160&lt;12,(M160-E160)*Dashboard!$B$18,IF($Q$2+A160&gt;=$R$2,MAX(0,M160-E160*POWER(1+$C$2,$E$2-A160))*MAX(Dashboard!$C$18,Dashboard!$B$18),IF($S$2&lt;$R$2,(M160-E160)*0.5*Dashboard!$B$18,(E160*POWER(1+$A$2,$R$2-($Q$2+A160))-E160)*0.5*Dashboard!$B$18+MAX(0,M160-E160*POWER(1+$A$2,$R$2-($Q$2+A160))*POWER(1+$C$2,$S$2-$R$2))*MAX(Dashboard!$C$18,Dashboard!$B$18)))))</f>
        <v>0</v>
      </c>
    </row>
    <row r="161" spans="1:14" x14ac:dyDescent="0.2">
      <c r="A161" s="22">
        <f t="shared" si="30"/>
        <v>156</v>
      </c>
      <c r="B161" s="23">
        <f t="shared" si="31"/>
        <v>31.054794520547759</v>
      </c>
      <c r="C161" t="str">
        <f t="shared" si="22"/>
        <v>31 y 0.66 m</v>
      </c>
      <c r="D161" s="24">
        <f>IF(A161&gt;=$E$2,IF(A161&lt;$E$2+$H$2,$P$2,0),IF(B161&lt;Dashboard!$I$6,0,IF(A161&gt;=$F$2,Dashboard!$C$23*POWER(1+$C$2,A161-$F$2),Dashboard!$C$23)))</f>
        <v>5092.3674515238745</v>
      </c>
      <c r="E161" s="24">
        <f>IF(A161&gt;=$F$2,0,IF(A161=0,Dashboard!$G$10,IF(B161&lt;Dashboard!$I$6,IF($J$2&lt;=Dashboard!$H$10,Dashboard!$H$10,MAX(Dashboard!$H$10,MIN($J$2,Dashboard!$H$10*POWER($J$2/Dashboard!$H$10,A161/$D$2)))),$I$2-D161-Dashboard!$I$10-Dashboard!$J$10-Dashboard!$F$10*$I$2)))</f>
        <v>1789.4325484761255</v>
      </c>
      <c r="F161" s="24">
        <f t="shared" si="23"/>
        <v>0</v>
      </c>
      <c r="G161" s="24">
        <f t="shared" si="24"/>
        <v>0</v>
      </c>
      <c r="H161" s="24">
        <f t="shared" si="25"/>
        <v>0</v>
      </c>
      <c r="I161" s="24">
        <f t="shared" si="26"/>
        <v>1789.4325484761255</v>
      </c>
      <c r="J161" s="25">
        <f t="shared" si="27"/>
        <v>7.9741404289037643E-3</v>
      </c>
      <c r="K161" s="24">
        <f t="shared" si="32"/>
        <v>632893.44302377047</v>
      </c>
      <c r="L161" s="24" t="str">
        <f t="shared" si="28"/>
        <v/>
      </c>
      <c r="M161" s="24">
        <f t="shared" si="29"/>
        <v>0</v>
      </c>
      <c r="N161" s="24">
        <f>IF(M161&lt;=0,0,IF($E$2-A161&lt;12,(M161-E161)*Dashboard!$B$18,IF($Q$2+A161&gt;=$R$2,MAX(0,M161-E161*POWER(1+$C$2,$E$2-A161))*MAX(Dashboard!$C$18,Dashboard!$B$18),IF($S$2&lt;$R$2,(M161-E161)*0.5*Dashboard!$B$18,(E161*POWER(1+$A$2,$R$2-($Q$2+A161))-E161)*0.5*Dashboard!$B$18+MAX(0,M161-E161*POWER(1+$A$2,$R$2-($Q$2+A161))*POWER(1+$C$2,$S$2-$R$2))*MAX(Dashboard!$C$18,Dashboard!$B$18)))))</f>
        <v>0</v>
      </c>
    </row>
    <row r="162" spans="1:14" x14ac:dyDescent="0.2">
      <c r="A162" s="22">
        <f t="shared" si="30"/>
        <v>157</v>
      </c>
      <c r="B162" s="23">
        <f t="shared" si="31"/>
        <v>31.138127853881091</v>
      </c>
      <c r="C162" t="str">
        <f t="shared" si="22"/>
        <v>31 y 1.66 m</v>
      </c>
      <c r="D162" s="24">
        <f>IF(A162&gt;=$E$2,IF(A162&lt;$E$2+$H$2,$P$2,0),IF(B162&lt;Dashboard!$I$6,0,IF(A162&gt;=$F$2,Dashboard!$C$23*POWER(1+$C$2,A162-$F$2),Dashboard!$C$23)))</f>
        <v>5092.3674515238745</v>
      </c>
      <c r="E162" s="24">
        <f>IF(A162&gt;=$F$2,0,IF(A162=0,Dashboard!$G$10,IF(B162&lt;Dashboard!$I$6,IF($J$2&lt;=Dashboard!$H$10,Dashboard!$H$10,MAX(Dashboard!$H$10,MIN($J$2,Dashboard!$H$10*POWER($J$2/Dashboard!$H$10,A162/$D$2)))),$I$2-D162-Dashboard!$I$10-Dashboard!$J$10-Dashboard!$F$10*$I$2)))</f>
        <v>1789.4325484761255</v>
      </c>
      <c r="F162" s="24">
        <f t="shared" si="23"/>
        <v>0</v>
      </c>
      <c r="G162" s="24">
        <f t="shared" si="24"/>
        <v>0</v>
      </c>
      <c r="H162" s="24">
        <f t="shared" si="25"/>
        <v>0</v>
      </c>
      <c r="I162" s="24">
        <f t="shared" si="26"/>
        <v>1789.4325484761255</v>
      </c>
      <c r="J162" s="25">
        <f t="shared" si="27"/>
        <v>7.9741404289037643E-3</v>
      </c>
      <c r="K162" s="24">
        <f t="shared" si="32"/>
        <v>639743.92594988015</v>
      </c>
      <c r="L162" s="24" t="str">
        <f t="shared" si="28"/>
        <v/>
      </c>
      <c r="M162" s="24">
        <f t="shared" si="29"/>
        <v>0</v>
      </c>
      <c r="N162" s="24">
        <f>IF(M162&lt;=0,0,IF($E$2-A162&lt;12,(M162-E162)*Dashboard!$B$18,IF($Q$2+A162&gt;=$R$2,MAX(0,M162-E162*POWER(1+$C$2,$E$2-A162))*MAX(Dashboard!$C$18,Dashboard!$B$18),IF($S$2&lt;$R$2,(M162-E162)*0.5*Dashboard!$B$18,(E162*POWER(1+$A$2,$R$2-($Q$2+A162))-E162)*0.5*Dashboard!$B$18+MAX(0,M162-E162*POWER(1+$A$2,$R$2-($Q$2+A162))*POWER(1+$C$2,$S$2-$R$2))*MAX(Dashboard!$C$18,Dashboard!$B$18)))))</f>
        <v>0</v>
      </c>
    </row>
    <row r="163" spans="1:14" x14ac:dyDescent="0.2">
      <c r="A163" s="22">
        <f t="shared" si="30"/>
        <v>158</v>
      </c>
      <c r="B163" s="23">
        <f t="shared" si="31"/>
        <v>31.221461187214423</v>
      </c>
      <c r="C163" t="str">
        <f t="shared" si="22"/>
        <v>31 y 2.66 m</v>
      </c>
      <c r="D163" s="24">
        <f>IF(A163&gt;=$E$2,IF(A163&lt;$E$2+$H$2,$P$2,0),IF(B163&lt;Dashboard!$I$6,0,IF(A163&gt;=$F$2,Dashboard!$C$23*POWER(1+$C$2,A163-$F$2),Dashboard!$C$23)))</f>
        <v>5092.3674515238745</v>
      </c>
      <c r="E163" s="24">
        <f>IF(A163&gt;=$F$2,0,IF(A163=0,Dashboard!$G$10,IF(B163&lt;Dashboard!$I$6,IF($J$2&lt;=Dashboard!$H$10,Dashboard!$H$10,MAX(Dashboard!$H$10,MIN($J$2,Dashboard!$H$10*POWER($J$2/Dashboard!$H$10,A163/$D$2)))),$I$2-D163-Dashboard!$I$10-Dashboard!$J$10-Dashboard!$F$10*$I$2)))</f>
        <v>1789.4325484761255</v>
      </c>
      <c r="F163" s="24">
        <f t="shared" si="23"/>
        <v>0</v>
      </c>
      <c r="G163" s="24">
        <f t="shared" si="24"/>
        <v>0</v>
      </c>
      <c r="H163" s="24">
        <f t="shared" si="25"/>
        <v>0</v>
      </c>
      <c r="I163" s="24">
        <f t="shared" si="26"/>
        <v>1789.4325484761255</v>
      </c>
      <c r="J163" s="25">
        <f t="shared" si="27"/>
        <v>7.9741404289037643E-3</v>
      </c>
      <c r="K163" s="24">
        <f t="shared" si="32"/>
        <v>646649.0355888484</v>
      </c>
      <c r="L163" s="24" t="str">
        <f t="shared" si="28"/>
        <v/>
      </c>
      <c r="M163" s="24">
        <f t="shared" si="29"/>
        <v>0</v>
      </c>
      <c r="N163" s="24">
        <f>IF(M163&lt;=0,0,IF($E$2-A163&lt;12,(M163-E163)*Dashboard!$B$18,IF($Q$2+A163&gt;=$R$2,MAX(0,M163-E163*POWER(1+$C$2,$E$2-A163))*MAX(Dashboard!$C$18,Dashboard!$B$18),IF($S$2&lt;$R$2,(M163-E163)*0.5*Dashboard!$B$18,(E163*POWER(1+$A$2,$R$2-($Q$2+A163))-E163)*0.5*Dashboard!$B$18+MAX(0,M163-E163*POWER(1+$A$2,$R$2-($Q$2+A163))*POWER(1+$C$2,$S$2-$R$2))*MAX(Dashboard!$C$18,Dashboard!$B$18)))))</f>
        <v>0</v>
      </c>
    </row>
    <row r="164" spans="1:14" x14ac:dyDescent="0.2">
      <c r="A164" s="22">
        <f t="shared" si="30"/>
        <v>159</v>
      </c>
      <c r="B164" s="23">
        <f t="shared" si="31"/>
        <v>31.304794520547755</v>
      </c>
      <c r="C164" t="str">
        <f t="shared" si="22"/>
        <v>31 y 3.66 m</v>
      </c>
      <c r="D164" s="24">
        <f>IF(A164&gt;=$E$2,IF(A164&lt;$E$2+$H$2,$P$2,0),IF(B164&lt;Dashboard!$I$6,0,IF(A164&gt;=$F$2,Dashboard!$C$23*POWER(1+$C$2,A164-$F$2),Dashboard!$C$23)))</f>
        <v>5092.3674515238745</v>
      </c>
      <c r="E164" s="24">
        <f>IF(A164&gt;=$F$2,0,IF(A164=0,Dashboard!$G$10,IF(B164&lt;Dashboard!$I$6,IF($J$2&lt;=Dashboard!$H$10,Dashboard!$H$10,MAX(Dashboard!$H$10,MIN($J$2,Dashboard!$H$10*POWER($J$2/Dashboard!$H$10,A164/$D$2)))),$I$2-D164-Dashboard!$I$10-Dashboard!$J$10-Dashboard!$F$10*$I$2)))</f>
        <v>1789.4325484761255</v>
      </c>
      <c r="F164" s="24">
        <f t="shared" si="23"/>
        <v>0</v>
      </c>
      <c r="G164" s="24">
        <f t="shared" si="24"/>
        <v>0</v>
      </c>
      <c r="H164" s="24">
        <f t="shared" si="25"/>
        <v>0</v>
      </c>
      <c r="I164" s="24">
        <f t="shared" si="26"/>
        <v>1789.4325484761255</v>
      </c>
      <c r="J164" s="25">
        <f t="shared" si="27"/>
        <v>7.9741404289037643E-3</v>
      </c>
      <c r="K164" s="24">
        <f t="shared" si="32"/>
        <v>653609.20754175482</v>
      </c>
      <c r="L164" s="24" t="str">
        <f t="shared" si="28"/>
        <v/>
      </c>
      <c r="M164" s="24">
        <f t="shared" si="29"/>
        <v>0</v>
      </c>
      <c r="N164" s="24">
        <f>IF(M164&lt;=0,0,IF($E$2-A164&lt;12,(M164-E164)*Dashboard!$B$18,IF($Q$2+A164&gt;=$R$2,MAX(0,M164-E164*POWER(1+$C$2,$E$2-A164))*MAX(Dashboard!$C$18,Dashboard!$B$18),IF($S$2&lt;$R$2,(M164-E164)*0.5*Dashboard!$B$18,(E164*POWER(1+$A$2,$R$2-($Q$2+A164))-E164)*0.5*Dashboard!$B$18+MAX(0,M164-E164*POWER(1+$A$2,$R$2-($Q$2+A164))*POWER(1+$C$2,$S$2-$R$2))*MAX(Dashboard!$C$18,Dashboard!$B$18)))))</f>
        <v>0</v>
      </c>
    </row>
    <row r="165" spans="1:14" x14ac:dyDescent="0.2">
      <c r="A165" s="22">
        <f t="shared" si="30"/>
        <v>160</v>
      </c>
      <c r="B165" s="23">
        <f t="shared" si="31"/>
        <v>31.388127853881088</v>
      </c>
      <c r="C165" t="str">
        <f t="shared" si="22"/>
        <v>31 y 4.66 m</v>
      </c>
      <c r="D165" s="24">
        <f>IF(A165&gt;=$E$2,IF(A165&lt;$E$2+$H$2,$P$2,0),IF(B165&lt;Dashboard!$I$6,0,IF(A165&gt;=$F$2,Dashboard!$C$23*POWER(1+$C$2,A165-$F$2),Dashboard!$C$23)))</f>
        <v>5092.3674515238745</v>
      </c>
      <c r="E165" s="24">
        <f>IF(A165&gt;=$F$2,0,IF(A165=0,Dashboard!$G$10,IF(B165&lt;Dashboard!$I$6,IF($J$2&lt;=Dashboard!$H$10,Dashboard!$H$10,MAX(Dashboard!$H$10,MIN($J$2,Dashboard!$H$10*POWER($J$2/Dashboard!$H$10,A165/$D$2)))),$I$2-D165-Dashboard!$I$10-Dashboard!$J$10-Dashboard!$F$10*$I$2)))</f>
        <v>1789.4325484761255</v>
      </c>
      <c r="F165" s="24">
        <f t="shared" si="23"/>
        <v>0</v>
      </c>
      <c r="G165" s="24">
        <f t="shared" si="24"/>
        <v>0</v>
      </c>
      <c r="H165" s="24">
        <f t="shared" si="25"/>
        <v>0</v>
      </c>
      <c r="I165" s="24">
        <f t="shared" si="26"/>
        <v>1789.4325484761255</v>
      </c>
      <c r="J165" s="25">
        <f t="shared" si="27"/>
        <v>7.9741404289037643E-3</v>
      </c>
      <c r="K165" s="24">
        <f t="shared" si="32"/>
        <v>660624.88088322303</v>
      </c>
      <c r="L165" s="24" t="str">
        <f t="shared" si="28"/>
        <v/>
      </c>
      <c r="M165" s="24">
        <f t="shared" si="29"/>
        <v>0</v>
      </c>
      <c r="N165" s="24">
        <f>IF(M165&lt;=0,0,IF($E$2-A165&lt;12,(M165-E165)*Dashboard!$B$18,IF($Q$2+A165&gt;=$R$2,MAX(0,M165-E165*POWER(1+$C$2,$E$2-A165))*MAX(Dashboard!$C$18,Dashboard!$B$18),IF($S$2&lt;$R$2,(M165-E165)*0.5*Dashboard!$B$18,(E165*POWER(1+$A$2,$R$2-($Q$2+A165))-E165)*0.5*Dashboard!$B$18+MAX(0,M165-E165*POWER(1+$A$2,$R$2-($Q$2+A165))*POWER(1+$C$2,$S$2-$R$2))*MAX(Dashboard!$C$18,Dashboard!$B$18)))))</f>
        <v>0</v>
      </c>
    </row>
    <row r="166" spans="1:14" x14ac:dyDescent="0.2">
      <c r="A166" s="22">
        <f t="shared" si="30"/>
        <v>161</v>
      </c>
      <c r="B166" s="23">
        <f t="shared" si="31"/>
        <v>31.47146118721442</v>
      </c>
      <c r="C166" t="str">
        <f t="shared" si="22"/>
        <v>31 y 5.66 m</v>
      </c>
      <c r="D166" s="24">
        <f>IF(A166&gt;=$E$2,IF(A166&lt;$E$2+$H$2,$P$2,0),IF(B166&lt;Dashboard!$I$6,0,IF(A166&gt;=$F$2,Dashboard!$C$23*POWER(1+$C$2,A166-$F$2),Dashboard!$C$23)))</f>
        <v>5092.3674515238745</v>
      </c>
      <c r="E166" s="24">
        <f>IF(A166&gt;=$F$2,0,IF(A166=0,Dashboard!$G$10,IF(B166&lt;Dashboard!$I$6,IF($J$2&lt;=Dashboard!$H$10,Dashboard!$H$10,MAX(Dashboard!$H$10,MIN($J$2,Dashboard!$H$10*POWER($J$2/Dashboard!$H$10,A166/$D$2)))),$I$2-D166-Dashboard!$I$10-Dashboard!$J$10-Dashboard!$F$10*$I$2)))</f>
        <v>1789.4325484761255</v>
      </c>
      <c r="F166" s="24">
        <f t="shared" si="23"/>
        <v>0</v>
      </c>
      <c r="G166" s="24">
        <f t="shared" si="24"/>
        <v>0</v>
      </c>
      <c r="H166" s="24">
        <f t="shared" si="25"/>
        <v>0</v>
      </c>
      <c r="I166" s="24">
        <f t="shared" si="26"/>
        <v>1789.4325484761255</v>
      </c>
      <c r="J166" s="25">
        <f t="shared" si="27"/>
        <v>7.9741404289037643E-3</v>
      </c>
      <c r="K166" s="24">
        <f t="shared" si="32"/>
        <v>667696.49818911939</v>
      </c>
      <c r="L166" s="24" t="str">
        <f t="shared" si="28"/>
        <v/>
      </c>
      <c r="M166" s="24">
        <f t="shared" si="29"/>
        <v>0</v>
      </c>
      <c r="N166" s="24">
        <f>IF(M166&lt;=0,0,IF($E$2-A166&lt;12,(M166-E166)*Dashboard!$B$18,IF($Q$2+A166&gt;=$R$2,MAX(0,M166-E166*POWER(1+$C$2,$E$2-A166))*MAX(Dashboard!$C$18,Dashboard!$B$18),IF($S$2&lt;$R$2,(M166-E166)*0.5*Dashboard!$B$18,(E166*POWER(1+$A$2,$R$2-($Q$2+A166))-E166)*0.5*Dashboard!$B$18+MAX(0,M166-E166*POWER(1+$A$2,$R$2-($Q$2+A166))*POWER(1+$C$2,$S$2-$R$2))*MAX(Dashboard!$C$18,Dashboard!$B$18)))))</f>
        <v>0</v>
      </c>
    </row>
    <row r="167" spans="1:14" x14ac:dyDescent="0.2">
      <c r="A167" s="22">
        <f t="shared" si="30"/>
        <v>162</v>
      </c>
      <c r="B167" s="23">
        <f t="shared" si="31"/>
        <v>31.554794520547752</v>
      </c>
      <c r="C167" t="str">
        <f t="shared" si="22"/>
        <v>31 y 6.66 m</v>
      </c>
      <c r="D167" s="24">
        <f>IF(A167&gt;=$E$2,IF(A167&lt;$E$2+$H$2,$P$2,0),IF(B167&lt;Dashboard!$I$6,0,IF(A167&gt;=$F$2,Dashboard!$C$23*POWER(1+$C$2,A167-$F$2),Dashboard!$C$23)))</f>
        <v>5092.3674515238745</v>
      </c>
      <c r="E167" s="24">
        <f>IF(A167&gt;=$F$2,0,IF(A167=0,Dashboard!$G$10,IF(B167&lt;Dashboard!$I$6,IF($J$2&lt;=Dashboard!$H$10,Dashboard!$H$10,MAX(Dashboard!$H$10,MIN($J$2,Dashboard!$H$10*POWER($J$2/Dashboard!$H$10,A167/$D$2)))),$I$2-D167-Dashboard!$I$10-Dashboard!$J$10-Dashboard!$F$10*$I$2)))</f>
        <v>1789.4325484761255</v>
      </c>
      <c r="F167" s="24">
        <f t="shared" si="23"/>
        <v>0</v>
      </c>
      <c r="G167" s="24">
        <f t="shared" si="24"/>
        <v>0</v>
      </c>
      <c r="H167" s="24">
        <f t="shared" si="25"/>
        <v>0</v>
      </c>
      <c r="I167" s="24">
        <f t="shared" si="26"/>
        <v>1789.4325484761255</v>
      </c>
      <c r="J167" s="25">
        <f t="shared" si="27"/>
        <v>7.9741404289037643E-3</v>
      </c>
      <c r="K167" s="24">
        <f t="shared" si="32"/>
        <v>674824.50556447252</v>
      </c>
      <c r="L167" s="24" t="str">
        <f t="shared" si="28"/>
        <v/>
      </c>
      <c r="M167" s="24">
        <f t="shared" si="29"/>
        <v>0</v>
      </c>
      <c r="N167" s="24">
        <f>IF(M167&lt;=0,0,IF($E$2-A167&lt;12,(M167-E167)*Dashboard!$B$18,IF($Q$2+A167&gt;=$R$2,MAX(0,M167-E167*POWER(1+$C$2,$E$2-A167))*MAX(Dashboard!$C$18,Dashboard!$B$18),IF($S$2&lt;$R$2,(M167-E167)*0.5*Dashboard!$B$18,(E167*POWER(1+$A$2,$R$2-($Q$2+A167))-E167)*0.5*Dashboard!$B$18+MAX(0,M167-E167*POWER(1+$A$2,$R$2-($Q$2+A167))*POWER(1+$C$2,$S$2-$R$2))*MAX(Dashboard!$C$18,Dashboard!$B$18)))))</f>
        <v>0</v>
      </c>
    </row>
    <row r="168" spans="1:14" x14ac:dyDescent="0.2">
      <c r="A168" s="22">
        <f t="shared" si="30"/>
        <v>163</v>
      </c>
      <c r="B168" s="23">
        <f t="shared" si="31"/>
        <v>31.638127853881084</v>
      </c>
      <c r="C168" t="str">
        <f t="shared" si="22"/>
        <v>31 y 7.66 m</v>
      </c>
      <c r="D168" s="24">
        <f>IF(A168&gt;=$E$2,IF(A168&lt;$E$2+$H$2,$P$2,0),IF(B168&lt;Dashboard!$I$6,0,IF(A168&gt;=$F$2,Dashboard!$C$23*POWER(1+$C$2,A168-$F$2),Dashboard!$C$23)))</f>
        <v>5092.3674515238745</v>
      </c>
      <c r="E168" s="24">
        <f>IF(A168&gt;=$F$2,0,IF(A168=0,Dashboard!$G$10,IF(B168&lt;Dashboard!$I$6,IF($J$2&lt;=Dashboard!$H$10,Dashboard!$H$10,MAX(Dashboard!$H$10,MIN($J$2,Dashboard!$H$10*POWER($J$2/Dashboard!$H$10,A168/$D$2)))),$I$2-D168-Dashboard!$I$10-Dashboard!$J$10-Dashboard!$F$10*$I$2)))</f>
        <v>1789.4325484761255</v>
      </c>
      <c r="F168" s="24">
        <f t="shared" si="23"/>
        <v>0</v>
      </c>
      <c r="G168" s="24">
        <f t="shared" si="24"/>
        <v>0</v>
      </c>
      <c r="H168" s="24">
        <f t="shared" si="25"/>
        <v>0</v>
      </c>
      <c r="I168" s="24">
        <f t="shared" si="26"/>
        <v>1789.4325484761255</v>
      </c>
      <c r="J168" s="25">
        <f t="shared" si="27"/>
        <v>7.9741404289037643E-3</v>
      </c>
      <c r="K168" s="24">
        <f t="shared" si="32"/>
        <v>682009.35267161496</v>
      </c>
      <c r="L168" s="24" t="str">
        <f t="shared" si="28"/>
        <v/>
      </c>
      <c r="M168" s="24">
        <f t="shared" si="29"/>
        <v>0</v>
      </c>
      <c r="N168" s="24">
        <f>IF(M168&lt;=0,0,IF($E$2-A168&lt;12,(M168-E168)*Dashboard!$B$18,IF($Q$2+A168&gt;=$R$2,MAX(0,M168-E168*POWER(1+$C$2,$E$2-A168))*MAX(Dashboard!$C$18,Dashboard!$B$18),IF($S$2&lt;$R$2,(M168-E168)*0.5*Dashboard!$B$18,(E168*POWER(1+$A$2,$R$2-($Q$2+A168))-E168)*0.5*Dashboard!$B$18+MAX(0,M168-E168*POWER(1+$A$2,$R$2-($Q$2+A168))*POWER(1+$C$2,$S$2-$R$2))*MAX(Dashboard!$C$18,Dashboard!$B$18)))))</f>
        <v>0</v>
      </c>
    </row>
    <row r="169" spans="1:14" x14ac:dyDescent="0.2">
      <c r="A169" s="22">
        <f t="shared" si="30"/>
        <v>164</v>
      </c>
      <c r="B169" s="23">
        <f t="shared" si="31"/>
        <v>31.721461187214416</v>
      </c>
      <c r="C169" t="str">
        <f t="shared" si="22"/>
        <v>31 y 8.66 m</v>
      </c>
      <c r="D169" s="24">
        <f>IF(A169&gt;=$E$2,IF(A169&lt;$E$2+$H$2,$P$2,0),IF(B169&lt;Dashboard!$I$6,0,IF(A169&gt;=$F$2,Dashboard!$C$23*POWER(1+$C$2,A169-$F$2),Dashboard!$C$23)))</f>
        <v>5092.3674515238745</v>
      </c>
      <c r="E169" s="24">
        <f>IF(A169&gt;=$F$2,0,IF(A169=0,Dashboard!$G$10,IF(B169&lt;Dashboard!$I$6,IF($J$2&lt;=Dashboard!$H$10,Dashboard!$H$10,MAX(Dashboard!$H$10,MIN($J$2,Dashboard!$H$10*POWER($J$2/Dashboard!$H$10,A169/$D$2)))),$I$2-D169-Dashboard!$I$10-Dashboard!$J$10-Dashboard!$F$10*$I$2)))</f>
        <v>1789.4325484761255</v>
      </c>
      <c r="F169" s="24">
        <f t="shared" si="23"/>
        <v>0</v>
      </c>
      <c r="G169" s="24">
        <f t="shared" si="24"/>
        <v>0</v>
      </c>
      <c r="H169" s="24">
        <f t="shared" si="25"/>
        <v>0</v>
      </c>
      <c r="I169" s="24">
        <f t="shared" si="26"/>
        <v>1789.4325484761255</v>
      </c>
      <c r="J169" s="25">
        <f t="shared" si="27"/>
        <v>7.9741404289037643E-3</v>
      </c>
      <c r="K169" s="24">
        <f t="shared" si="32"/>
        <v>689251.49275854998</v>
      </c>
      <c r="L169" s="24" t="str">
        <f t="shared" si="28"/>
        <v/>
      </c>
      <c r="M169" s="24">
        <f t="shared" si="29"/>
        <v>0</v>
      </c>
      <c r="N169" s="24">
        <f>IF(M169&lt;=0,0,IF($E$2-A169&lt;12,(M169-E169)*Dashboard!$B$18,IF($Q$2+A169&gt;=$R$2,MAX(0,M169-E169*POWER(1+$C$2,$E$2-A169))*MAX(Dashboard!$C$18,Dashboard!$B$18),IF($S$2&lt;$R$2,(M169-E169)*0.5*Dashboard!$B$18,(E169*POWER(1+$A$2,$R$2-($Q$2+A169))-E169)*0.5*Dashboard!$B$18+MAX(0,M169-E169*POWER(1+$A$2,$R$2-($Q$2+A169))*POWER(1+$C$2,$S$2-$R$2))*MAX(Dashboard!$C$18,Dashboard!$B$18)))))</f>
        <v>0</v>
      </c>
    </row>
    <row r="170" spans="1:14" x14ac:dyDescent="0.2">
      <c r="A170" s="22">
        <f t="shared" si="30"/>
        <v>165</v>
      </c>
      <c r="B170" s="23">
        <f t="shared" si="31"/>
        <v>31.804794520547748</v>
      </c>
      <c r="C170" t="str">
        <f t="shared" si="22"/>
        <v>31 y 9.66 m</v>
      </c>
      <c r="D170" s="24">
        <f>IF(A170&gt;=$E$2,IF(A170&lt;$E$2+$H$2,$P$2,0),IF(B170&lt;Dashboard!$I$6,0,IF(A170&gt;=$F$2,Dashboard!$C$23*POWER(1+$C$2,A170-$F$2),Dashboard!$C$23)))</f>
        <v>5092.3674515238745</v>
      </c>
      <c r="E170" s="24">
        <f>IF(A170&gt;=$F$2,0,IF(A170=0,Dashboard!$G$10,IF(B170&lt;Dashboard!$I$6,IF($J$2&lt;=Dashboard!$H$10,Dashboard!$H$10,MAX(Dashboard!$H$10,MIN($J$2,Dashboard!$H$10*POWER($J$2/Dashboard!$H$10,A170/$D$2)))),$I$2-D170-Dashboard!$I$10-Dashboard!$J$10-Dashboard!$F$10*$I$2)))</f>
        <v>1789.4325484761255</v>
      </c>
      <c r="F170" s="24">
        <f t="shared" si="23"/>
        <v>0</v>
      </c>
      <c r="G170" s="24">
        <f t="shared" si="24"/>
        <v>0</v>
      </c>
      <c r="H170" s="24">
        <f t="shared" si="25"/>
        <v>0</v>
      </c>
      <c r="I170" s="24">
        <f t="shared" si="26"/>
        <v>1789.4325484761255</v>
      </c>
      <c r="J170" s="25">
        <f t="shared" si="27"/>
        <v>7.9741404289037643E-3</v>
      </c>
      <c r="K170" s="24">
        <f t="shared" si="32"/>
        <v>696551.38268754398</v>
      </c>
      <c r="L170" s="24" t="str">
        <f t="shared" si="28"/>
        <v/>
      </c>
      <c r="M170" s="24">
        <f t="shared" si="29"/>
        <v>0</v>
      </c>
      <c r="N170" s="24">
        <f>IF(M170&lt;=0,0,IF($E$2-A170&lt;12,(M170-E170)*Dashboard!$B$18,IF($Q$2+A170&gt;=$R$2,MAX(0,M170-E170*POWER(1+$C$2,$E$2-A170))*MAX(Dashboard!$C$18,Dashboard!$B$18),IF($S$2&lt;$R$2,(M170-E170)*0.5*Dashboard!$B$18,(E170*POWER(1+$A$2,$R$2-($Q$2+A170))-E170)*0.5*Dashboard!$B$18+MAX(0,M170-E170*POWER(1+$A$2,$R$2-($Q$2+A170))*POWER(1+$C$2,$S$2-$R$2))*MAX(Dashboard!$C$18,Dashboard!$B$18)))))</f>
        <v>0</v>
      </c>
    </row>
    <row r="171" spans="1:14" x14ac:dyDescent="0.2">
      <c r="A171" s="22">
        <f t="shared" si="30"/>
        <v>166</v>
      </c>
      <c r="B171" s="23">
        <f t="shared" si="31"/>
        <v>31.88812785388108</v>
      </c>
      <c r="C171" t="str">
        <f t="shared" si="22"/>
        <v>31 y 10.66 m</v>
      </c>
      <c r="D171" s="24">
        <f>IF(A171&gt;=$E$2,IF(A171&lt;$E$2+$H$2,$P$2,0),IF(B171&lt;Dashboard!$I$6,0,IF(A171&gt;=$F$2,Dashboard!$C$23*POWER(1+$C$2,A171-$F$2),Dashboard!$C$23)))</f>
        <v>5092.3674515238745</v>
      </c>
      <c r="E171" s="24">
        <f>IF(A171&gt;=$F$2,0,IF(A171=0,Dashboard!$G$10,IF(B171&lt;Dashboard!$I$6,IF($J$2&lt;=Dashboard!$H$10,Dashboard!$H$10,MAX(Dashboard!$H$10,MIN($J$2,Dashboard!$H$10*POWER($J$2/Dashboard!$H$10,A171/$D$2)))),$I$2-D171-Dashboard!$I$10-Dashboard!$J$10-Dashboard!$F$10*$I$2)))</f>
        <v>1789.4325484761255</v>
      </c>
      <c r="F171" s="24">
        <f t="shared" si="23"/>
        <v>0</v>
      </c>
      <c r="G171" s="24">
        <f t="shared" si="24"/>
        <v>0</v>
      </c>
      <c r="H171" s="24">
        <f t="shared" si="25"/>
        <v>0</v>
      </c>
      <c r="I171" s="24">
        <f t="shared" si="26"/>
        <v>1789.4325484761255</v>
      </c>
      <c r="J171" s="25">
        <f t="shared" si="27"/>
        <v>7.9741404289037643E-3</v>
      </c>
      <c r="K171" s="24">
        <f t="shared" si="32"/>
        <v>703909.48296394735</v>
      </c>
      <c r="L171" s="24" t="str">
        <f t="shared" si="28"/>
        <v/>
      </c>
      <c r="M171" s="24">
        <f t="shared" si="29"/>
        <v>0</v>
      </c>
      <c r="N171" s="24">
        <f>IF(M171&lt;=0,0,IF($E$2-A171&lt;12,(M171-E171)*Dashboard!$B$18,IF($Q$2+A171&gt;=$R$2,MAX(0,M171-E171*POWER(1+$C$2,$E$2-A171))*MAX(Dashboard!$C$18,Dashboard!$B$18),IF($S$2&lt;$R$2,(M171-E171)*0.5*Dashboard!$B$18,(E171*POWER(1+$A$2,$R$2-($Q$2+A171))-E171)*0.5*Dashboard!$B$18+MAX(0,M171-E171*POWER(1+$A$2,$R$2-($Q$2+A171))*POWER(1+$C$2,$S$2-$R$2))*MAX(Dashboard!$C$18,Dashboard!$B$18)))))</f>
        <v>0</v>
      </c>
    </row>
    <row r="172" spans="1:14" x14ac:dyDescent="0.2">
      <c r="A172" s="22">
        <f t="shared" si="30"/>
        <v>167</v>
      </c>
      <c r="B172" s="23">
        <f t="shared" si="31"/>
        <v>31.971461187214413</v>
      </c>
      <c r="C172" t="str">
        <f t="shared" si="22"/>
        <v>31 y 11.66 m</v>
      </c>
      <c r="D172" s="24">
        <f>IF(A172&gt;=$E$2,IF(A172&lt;$E$2+$H$2,$P$2,0),IF(B172&lt;Dashboard!$I$6,0,IF(A172&gt;=$F$2,Dashboard!$C$23*POWER(1+$C$2,A172-$F$2),Dashboard!$C$23)))</f>
        <v>5092.3674515238745</v>
      </c>
      <c r="E172" s="24">
        <f>IF(A172&gt;=$F$2,0,IF(A172=0,Dashboard!$G$10,IF(B172&lt;Dashboard!$I$6,IF($J$2&lt;=Dashboard!$H$10,Dashboard!$H$10,MAX(Dashboard!$H$10,MIN($J$2,Dashboard!$H$10*POWER($J$2/Dashboard!$H$10,A172/$D$2)))),$I$2-D172-Dashboard!$I$10-Dashboard!$J$10-Dashboard!$F$10*$I$2)))</f>
        <v>1789.4325484761255</v>
      </c>
      <c r="F172" s="24">
        <f t="shared" si="23"/>
        <v>0</v>
      </c>
      <c r="G172" s="24">
        <f t="shared" si="24"/>
        <v>0</v>
      </c>
      <c r="H172" s="24">
        <f t="shared" si="25"/>
        <v>0</v>
      </c>
      <c r="I172" s="24">
        <f t="shared" si="26"/>
        <v>1789.4325484761255</v>
      </c>
      <c r="J172" s="25">
        <f t="shared" si="27"/>
        <v>7.9741404289037643E-3</v>
      </c>
      <c r="K172" s="24">
        <f t="shared" si="32"/>
        <v>711326.25776524469</v>
      </c>
      <c r="L172" s="24" t="str">
        <f t="shared" si="28"/>
        <v/>
      </c>
      <c r="M172" s="24">
        <f t="shared" si="29"/>
        <v>0</v>
      </c>
      <c r="N172" s="24">
        <f>IF(M172&lt;=0,0,IF($E$2-A172&lt;12,(M172-E172)*Dashboard!$B$18,IF($Q$2+A172&gt;=$R$2,MAX(0,M172-E172*POWER(1+$C$2,$E$2-A172))*MAX(Dashboard!$C$18,Dashboard!$B$18),IF($S$2&lt;$R$2,(M172-E172)*0.5*Dashboard!$B$18,(E172*POWER(1+$A$2,$R$2-($Q$2+A172))-E172)*0.5*Dashboard!$B$18+MAX(0,M172-E172*POWER(1+$A$2,$R$2-($Q$2+A172))*POWER(1+$C$2,$S$2-$R$2))*MAX(Dashboard!$C$18,Dashboard!$B$18)))))</f>
        <v>0</v>
      </c>
    </row>
    <row r="173" spans="1:14" x14ac:dyDescent="0.2">
      <c r="A173" s="22">
        <f t="shared" si="30"/>
        <v>168</v>
      </c>
      <c r="B173" s="23">
        <f t="shared" si="31"/>
        <v>32.054794520547745</v>
      </c>
      <c r="C173" t="str">
        <f t="shared" si="22"/>
        <v>32 y 0.66 m</v>
      </c>
      <c r="D173" s="24">
        <f>IF(A173&gt;=$E$2,IF(A173&lt;$E$2+$H$2,$P$2,0),IF(B173&lt;Dashboard!$I$6,0,IF(A173&gt;=$F$2,Dashboard!$C$23*POWER(1+$C$2,A173-$F$2),Dashboard!$C$23)))</f>
        <v>5092.3674515238745</v>
      </c>
      <c r="E173" s="24">
        <f>IF(A173&gt;=$F$2,0,IF(A173=0,Dashboard!$G$10,IF(B173&lt;Dashboard!$I$6,IF($J$2&lt;=Dashboard!$H$10,Dashboard!$H$10,MAX(Dashboard!$H$10,MIN($J$2,Dashboard!$H$10*POWER($J$2/Dashboard!$H$10,A173/$D$2)))),$I$2-D173-Dashboard!$I$10-Dashboard!$J$10-Dashboard!$F$10*$I$2)))</f>
        <v>1789.4325484761255</v>
      </c>
      <c r="F173" s="24">
        <f t="shared" si="23"/>
        <v>0</v>
      </c>
      <c r="G173" s="24">
        <f t="shared" si="24"/>
        <v>0</v>
      </c>
      <c r="H173" s="24">
        <f t="shared" si="25"/>
        <v>0</v>
      </c>
      <c r="I173" s="24">
        <f t="shared" si="26"/>
        <v>1789.4325484761255</v>
      </c>
      <c r="J173" s="25">
        <f t="shared" si="27"/>
        <v>7.9741404289037643E-3</v>
      </c>
      <c r="K173" s="24">
        <f t="shared" si="32"/>
        <v>718802.17497033707</v>
      </c>
      <c r="L173" s="24" t="str">
        <f t="shared" si="28"/>
        <v/>
      </c>
      <c r="M173" s="24">
        <f t="shared" si="29"/>
        <v>0</v>
      </c>
      <c r="N173" s="24">
        <f>IF(M173&lt;=0,0,IF($E$2-A173&lt;12,(M173-E173)*Dashboard!$B$18,IF($Q$2+A173&gt;=$R$2,MAX(0,M173-E173*POWER(1+$C$2,$E$2-A173))*MAX(Dashboard!$C$18,Dashboard!$B$18),IF($S$2&lt;$R$2,(M173-E173)*0.5*Dashboard!$B$18,(E173*POWER(1+$A$2,$R$2-($Q$2+A173))-E173)*0.5*Dashboard!$B$18+MAX(0,M173-E173*POWER(1+$A$2,$R$2-($Q$2+A173))*POWER(1+$C$2,$S$2-$R$2))*MAX(Dashboard!$C$18,Dashboard!$B$18)))))</f>
        <v>0</v>
      </c>
    </row>
    <row r="174" spans="1:14" x14ac:dyDescent="0.2">
      <c r="A174" s="22">
        <f t="shared" si="30"/>
        <v>169</v>
      </c>
      <c r="B174" s="23">
        <f t="shared" si="31"/>
        <v>32.13812785388108</v>
      </c>
      <c r="C174" t="str">
        <f t="shared" si="22"/>
        <v>32 y 1.66 m</v>
      </c>
      <c r="D174" s="24">
        <f>IF(A174&gt;=$E$2,IF(A174&lt;$E$2+$H$2,$P$2,0),IF(B174&lt;Dashboard!$I$6,0,IF(A174&gt;=$F$2,Dashboard!$C$23*POWER(1+$C$2,A174-$F$2),Dashboard!$C$23)))</f>
        <v>5092.3674515238745</v>
      </c>
      <c r="E174" s="24">
        <f>IF(A174&gt;=$F$2,0,IF(A174=0,Dashboard!$G$10,IF(B174&lt;Dashboard!$I$6,IF($J$2&lt;=Dashboard!$H$10,Dashboard!$H$10,MAX(Dashboard!$H$10,MIN($J$2,Dashboard!$H$10*POWER($J$2/Dashboard!$H$10,A174/$D$2)))),$I$2-D174-Dashboard!$I$10-Dashboard!$J$10-Dashboard!$F$10*$I$2)))</f>
        <v>1789.4325484761255</v>
      </c>
      <c r="F174" s="24">
        <f t="shared" si="23"/>
        <v>0</v>
      </c>
      <c r="G174" s="24">
        <f t="shared" si="24"/>
        <v>0</v>
      </c>
      <c r="H174" s="24">
        <f t="shared" si="25"/>
        <v>0</v>
      </c>
      <c r="I174" s="24">
        <f t="shared" si="26"/>
        <v>1789.4325484761255</v>
      </c>
      <c r="J174" s="25">
        <f t="shared" si="27"/>
        <v>7.9741404289037643E-3</v>
      </c>
      <c r="K174" s="24">
        <f t="shared" si="32"/>
        <v>726337.70618905779</v>
      </c>
      <c r="L174" s="24" t="str">
        <f t="shared" si="28"/>
        <v/>
      </c>
      <c r="M174" s="24">
        <f t="shared" si="29"/>
        <v>0</v>
      </c>
      <c r="N174" s="24">
        <f>IF(M174&lt;=0,0,IF($E$2-A174&lt;12,(M174-E174)*Dashboard!$B$18,IF($Q$2+A174&gt;=$R$2,MAX(0,M174-E174*POWER(1+$C$2,$E$2-A174))*MAX(Dashboard!$C$18,Dashboard!$B$18),IF($S$2&lt;$R$2,(M174-E174)*0.5*Dashboard!$B$18,(E174*POWER(1+$A$2,$R$2-($Q$2+A174))-E174)*0.5*Dashboard!$B$18+MAX(0,M174-E174*POWER(1+$A$2,$R$2-($Q$2+A174))*POWER(1+$C$2,$S$2-$R$2))*MAX(Dashboard!$C$18,Dashboard!$B$18)))))</f>
        <v>0</v>
      </c>
    </row>
    <row r="175" spans="1:14" x14ac:dyDescent="0.2">
      <c r="A175" s="22">
        <f t="shared" si="30"/>
        <v>170</v>
      </c>
      <c r="B175" s="23">
        <f t="shared" si="31"/>
        <v>32.221461187214416</v>
      </c>
      <c r="C175" t="str">
        <f t="shared" si="22"/>
        <v>32 y 2.66 m</v>
      </c>
      <c r="D175" s="24">
        <f>IF(A175&gt;=$E$2,IF(A175&lt;$E$2+$H$2,$P$2,0),IF(B175&lt;Dashboard!$I$6,0,IF(A175&gt;=$F$2,Dashboard!$C$23*POWER(1+$C$2,A175-$F$2),Dashboard!$C$23)))</f>
        <v>5092.3674515238745</v>
      </c>
      <c r="E175" s="24">
        <f>IF(A175&gt;=$F$2,0,IF(A175=0,Dashboard!$G$10,IF(B175&lt;Dashboard!$I$6,IF($J$2&lt;=Dashboard!$H$10,Dashboard!$H$10,MAX(Dashboard!$H$10,MIN($J$2,Dashboard!$H$10*POWER($J$2/Dashboard!$H$10,A175/$D$2)))),$I$2-D175-Dashboard!$I$10-Dashboard!$J$10-Dashboard!$F$10*$I$2)))</f>
        <v>1789.4325484761255</v>
      </c>
      <c r="F175" s="24">
        <f t="shared" si="23"/>
        <v>0</v>
      </c>
      <c r="G175" s="24">
        <f t="shared" si="24"/>
        <v>0</v>
      </c>
      <c r="H175" s="24">
        <f t="shared" si="25"/>
        <v>0</v>
      </c>
      <c r="I175" s="24">
        <f t="shared" si="26"/>
        <v>1789.4325484761255</v>
      </c>
      <c r="J175" s="25">
        <f t="shared" si="27"/>
        <v>7.9741404289037643E-3</v>
      </c>
      <c r="K175" s="24">
        <f t="shared" si="32"/>
        <v>733933.32679192291</v>
      </c>
      <c r="L175" s="24" t="str">
        <f t="shared" si="28"/>
        <v/>
      </c>
      <c r="M175" s="24">
        <f t="shared" si="29"/>
        <v>0</v>
      </c>
      <c r="N175" s="24">
        <f>IF(M175&lt;=0,0,IF($E$2-A175&lt;12,(M175-E175)*Dashboard!$B$18,IF($Q$2+A175&gt;=$R$2,MAX(0,M175-E175*POWER(1+$C$2,$E$2-A175))*MAX(Dashboard!$C$18,Dashboard!$B$18),IF($S$2&lt;$R$2,(M175-E175)*0.5*Dashboard!$B$18,(E175*POWER(1+$A$2,$R$2-($Q$2+A175))-E175)*0.5*Dashboard!$B$18+MAX(0,M175-E175*POWER(1+$A$2,$R$2-($Q$2+A175))*POWER(1+$C$2,$S$2-$R$2))*MAX(Dashboard!$C$18,Dashboard!$B$18)))))</f>
        <v>0</v>
      </c>
    </row>
    <row r="176" spans="1:14" x14ac:dyDescent="0.2">
      <c r="A176" s="22">
        <f t="shared" si="30"/>
        <v>171</v>
      </c>
      <c r="B176" s="23">
        <f t="shared" si="31"/>
        <v>32.304794520547752</v>
      </c>
      <c r="C176" t="str">
        <f t="shared" si="22"/>
        <v>32 y 3.66 m</v>
      </c>
      <c r="D176" s="24">
        <f>IF(A176&gt;=$E$2,IF(A176&lt;$E$2+$H$2,$P$2,0),IF(B176&lt;Dashboard!$I$6,0,IF(A176&gt;=$F$2,Dashboard!$C$23*POWER(1+$C$2,A176-$F$2),Dashboard!$C$23)))</f>
        <v>5092.3674515238745</v>
      </c>
      <c r="E176" s="24">
        <f>IF(A176&gt;=$F$2,0,IF(A176=0,Dashboard!$G$10,IF(B176&lt;Dashboard!$I$6,IF($J$2&lt;=Dashboard!$H$10,Dashboard!$H$10,MAX(Dashboard!$H$10,MIN($J$2,Dashboard!$H$10*POWER($J$2/Dashboard!$H$10,A176/$D$2)))),$I$2-D176-Dashboard!$I$10-Dashboard!$J$10-Dashboard!$F$10*$I$2)))</f>
        <v>1789.4325484761255</v>
      </c>
      <c r="F176" s="24">
        <f t="shared" si="23"/>
        <v>0</v>
      </c>
      <c r="G176" s="24">
        <f t="shared" si="24"/>
        <v>0</v>
      </c>
      <c r="H176" s="24">
        <f t="shared" si="25"/>
        <v>0</v>
      </c>
      <c r="I176" s="24">
        <f t="shared" si="26"/>
        <v>1789.4325484761255</v>
      </c>
      <c r="J176" s="25">
        <f t="shared" si="27"/>
        <v>7.9741404289037643E-3</v>
      </c>
      <c r="K176" s="24">
        <f t="shared" si="32"/>
        <v>741589.51594011998</v>
      </c>
      <c r="L176" s="24" t="str">
        <f t="shared" si="28"/>
        <v/>
      </c>
      <c r="M176" s="24">
        <f t="shared" si="29"/>
        <v>0</v>
      </c>
      <c r="N176" s="24">
        <f>IF(M176&lt;=0,0,IF($E$2-A176&lt;12,(M176-E176)*Dashboard!$B$18,IF($Q$2+A176&gt;=$R$2,MAX(0,M176-E176*POWER(1+$C$2,$E$2-A176))*MAX(Dashboard!$C$18,Dashboard!$B$18),IF($S$2&lt;$R$2,(M176-E176)*0.5*Dashboard!$B$18,(E176*POWER(1+$A$2,$R$2-($Q$2+A176))-E176)*0.5*Dashboard!$B$18+MAX(0,M176-E176*POWER(1+$A$2,$R$2-($Q$2+A176))*POWER(1+$C$2,$S$2-$R$2))*MAX(Dashboard!$C$18,Dashboard!$B$18)))))</f>
        <v>0</v>
      </c>
    </row>
    <row r="177" spans="1:14" x14ac:dyDescent="0.2">
      <c r="A177" s="22">
        <f t="shared" si="30"/>
        <v>172</v>
      </c>
      <c r="B177" s="23">
        <f t="shared" si="31"/>
        <v>32.388127853881088</v>
      </c>
      <c r="C177" t="str">
        <f t="shared" si="22"/>
        <v>32 y 4.66 m</v>
      </c>
      <c r="D177" s="24">
        <f>IF(A177&gt;=$E$2,IF(A177&lt;$E$2+$H$2,$P$2,0),IF(B177&lt;Dashboard!$I$6,0,IF(A177&gt;=$F$2,Dashboard!$C$23*POWER(1+$C$2,A177-$F$2),Dashboard!$C$23)))</f>
        <v>5092.3674515238745</v>
      </c>
      <c r="E177" s="24">
        <f>IF(A177&gt;=$F$2,0,IF(A177=0,Dashboard!$G$10,IF(B177&lt;Dashboard!$I$6,IF($J$2&lt;=Dashboard!$H$10,Dashboard!$H$10,MAX(Dashboard!$H$10,MIN($J$2,Dashboard!$H$10*POWER($J$2/Dashboard!$H$10,A177/$D$2)))),$I$2-D177-Dashboard!$I$10-Dashboard!$J$10-Dashboard!$F$10*$I$2)))</f>
        <v>1789.4325484761255</v>
      </c>
      <c r="F177" s="24">
        <f t="shared" si="23"/>
        <v>0</v>
      </c>
      <c r="G177" s="24">
        <f t="shared" si="24"/>
        <v>0</v>
      </c>
      <c r="H177" s="24">
        <f t="shared" si="25"/>
        <v>0</v>
      </c>
      <c r="I177" s="24">
        <f t="shared" si="26"/>
        <v>1789.4325484761255</v>
      </c>
      <c r="J177" s="25">
        <f t="shared" si="27"/>
        <v>7.9741404289037643E-3</v>
      </c>
      <c r="K177" s="24">
        <f t="shared" si="32"/>
        <v>749306.75661573501</v>
      </c>
      <c r="L177" s="24" t="str">
        <f t="shared" si="28"/>
        <v/>
      </c>
      <c r="M177" s="24">
        <f t="shared" si="29"/>
        <v>0</v>
      </c>
      <c r="N177" s="24">
        <f>IF(M177&lt;=0,0,IF($E$2-A177&lt;12,(M177-E177)*Dashboard!$B$18,IF($Q$2+A177&gt;=$R$2,MAX(0,M177-E177*POWER(1+$C$2,$E$2-A177))*MAX(Dashboard!$C$18,Dashboard!$B$18),IF($S$2&lt;$R$2,(M177-E177)*0.5*Dashboard!$B$18,(E177*POWER(1+$A$2,$R$2-($Q$2+A177))-E177)*0.5*Dashboard!$B$18+MAX(0,M177-E177*POWER(1+$A$2,$R$2-($Q$2+A177))*POWER(1+$C$2,$S$2-$R$2))*MAX(Dashboard!$C$18,Dashboard!$B$18)))))</f>
        <v>0</v>
      </c>
    </row>
    <row r="178" spans="1:14" x14ac:dyDescent="0.2">
      <c r="A178" s="22">
        <f t="shared" si="30"/>
        <v>173</v>
      </c>
      <c r="B178" s="23">
        <f t="shared" si="31"/>
        <v>32.471461187214423</v>
      </c>
      <c r="C178" t="str">
        <f t="shared" si="22"/>
        <v>32 y 5.66 m</v>
      </c>
      <c r="D178" s="24">
        <f>IF(A178&gt;=$E$2,IF(A178&lt;$E$2+$H$2,$P$2,0),IF(B178&lt;Dashboard!$I$6,0,IF(A178&gt;=$F$2,Dashboard!$C$23*POWER(1+$C$2,A178-$F$2),Dashboard!$C$23)))</f>
        <v>5092.3674515238745</v>
      </c>
      <c r="E178" s="24">
        <f>IF(A178&gt;=$F$2,0,IF(A178=0,Dashboard!$G$10,IF(B178&lt;Dashboard!$I$6,IF($J$2&lt;=Dashboard!$H$10,Dashboard!$H$10,MAX(Dashboard!$H$10,MIN($J$2,Dashboard!$H$10*POWER($J$2/Dashboard!$H$10,A178/$D$2)))),$I$2-D178-Dashboard!$I$10-Dashboard!$J$10-Dashboard!$F$10*$I$2)))</f>
        <v>1789.4325484761255</v>
      </c>
      <c r="F178" s="24">
        <f t="shared" si="23"/>
        <v>0</v>
      </c>
      <c r="G178" s="24">
        <f t="shared" si="24"/>
        <v>0</v>
      </c>
      <c r="H178" s="24">
        <f t="shared" si="25"/>
        <v>0</v>
      </c>
      <c r="I178" s="24">
        <f t="shared" si="26"/>
        <v>1789.4325484761255</v>
      </c>
      <c r="J178" s="25">
        <f t="shared" si="27"/>
        <v>7.9741404289037643E-3</v>
      </c>
      <c r="K178" s="24">
        <f t="shared" si="32"/>
        <v>757085.53565222106</v>
      </c>
      <c r="L178" s="24" t="str">
        <f t="shared" si="28"/>
        <v/>
      </c>
      <c r="M178" s="24">
        <f t="shared" si="29"/>
        <v>0</v>
      </c>
      <c r="N178" s="24">
        <f>IF(M178&lt;=0,0,IF($E$2-A178&lt;12,(M178-E178)*Dashboard!$B$18,IF($Q$2+A178&gt;=$R$2,MAX(0,M178-E178*POWER(1+$C$2,$E$2-A178))*MAX(Dashboard!$C$18,Dashboard!$B$18),IF($S$2&lt;$R$2,(M178-E178)*0.5*Dashboard!$B$18,(E178*POWER(1+$A$2,$R$2-($Q$2+A178))-E178)*0.5*Dashboard!$B$18+MAX(0,M178-E178*POWER(1+$A$2,$R$2-($Q$2+A178))*POWER(1+$C$2,$S$2-$R$2))*MAX(Dashboard!$C$18,Dashboard!$B$18)))))</f>
        <v>0</v>
      </c>
    </row>
    <row r="179" spans="1:14" x14ac:dyDescent="0.2">
      <c r="A179" s="22">
        <f t="shared" si="30"/>
        <v>174</v>
      </c>
      <c r="B179" s="23">
        <f t="shared" si="31"/>
        <v>32.554794520547759</v>
      </c>
      <c r="C179" t="str">
        <f t="shared" si="22"/>
        <v>32 y 6.66 m</v>
      </c>
      <c r="D179" s="24">
        <f>IF(A179&gt;=$E$2,IF(A179&lt;$E$2+$H$2,$P$2,0),IF(B179&lt;Dashboard!$I$6,0,IF(A179&gt;=$F$2,Dashboard!$C$23*POWER(1+$C$2,A179-$F$2),Dashboard!$C$23)))</f>
        <v>5092.3674515238745</v>
      </c>
      <c r="E179" s="24">
        <f>IF(A179&gt;=$F$2,0,IF(A179=0,Dashboard!$G$10,IF(B179&lt;Dashboard!$I$6,IF($J$2&lt;=Dashboard!$H$10,Dashboard!$H$10,MAX(Dashboard!$H$10,MIN($J$2,Dashboard!$H$10*POWER($J$2/Dashboard!$H$10,A179/$D$2)))),$I$2-D179-Dashboard!$I$10-Dashboard!$J$10-Dashboard!$F$10*$I$2)))</f>
        <v>1789.4325484761255</v>
      </c>
      <c r="F179" s="24">
        <f t="shared" si="23"/>
        <v>0</v>
      </c>
      <c r="G179" s="24">
        <f t="shared" si="24"/>
        <v>0</v>
      </c>
      <c r="H179" s="24">
        <f t="shared" si="25"/>
        <v>0</v>
      </c>
      <c r="I179" s="24">
        <f t="shared" si="26"/>
        <v>1789.4325484761255</v>
      </c>
      <c r="J179" s="25">
        <f t="shared" si="27"/>
        <v>7.9741404289037643E-3</v>
      </c>
      <c r="K179" s="24">
        <f t="shared" si="32"/>
        <v>764926.34376510943</v>
      </c>
      <c r="L179" s="24" t="str">
        <f t="shared" si="28"/>
        <v/>
      </c>
      <c r="M179" s="24">
        <f t="shared" si="29"/>
        <v>0</v>
      </c>
      <c r="N179" s="24">
        <f>IF(M179&lt;=0,0,IF($E$2-A179&lt;12,(M179-E179)*Dashboard!$B$18,IF($Q$2+A179&gt;=$R$2,MAX(0,M179-E179*POWER(1+$C$2,$E$2-A179))*MAX(Dashboard!$C$18,Dashboard!$B$18),IF($S$2&lt;$R$2,(M179-E179)*0.5*Dashboard!$B$18,(E179*POWER(1+$A$2,$R$2-($Q$2+A179))-E179)*0.5*Dashboard!$B$18+MAX(0,M179-E179*POWER(1+$A$2,$R$2-($Q$2+A179))*POWER(1+$C$2,$S$2-$R$2))*MAX(Dashboard!$C$18,Dashboard!$B$18)))))</f>
        <v>0</v>
      </c>
    </row>
    <row r="180" spans="1:14" x14ac:dyDescent="0.2">
      <c r="A180" s="22">
        <f t="shared" si="30"/>
        <v>175</v>
      </c>
      <c r="B180" s="23">
        <f t="shared" si="31"/>
        <v>32.638127853881095</v>
      </c>
      <c r="C180" t="str">
        <f t="shared" si="22"/>
        <v>32 y 7.66 m</v>
      </c>
      <c r="D180" s="24">
        <f>IF(A180&gt;=$E$2,IF(A180&lt;$E$2+$H$2,$P$2,0),IF(B180&lt;Dashboard!$I$6,0,IF(A180&gt;=$F$2,Dashboard!$C$23*POWER(1+$C$2,A180-$F$2),Dashboard!$C$23)))</f>
        <v>5092.3674515238745</v>
      </c>
      <c r="E180" s="24">
        <f>IF(A180&gt;=$F$2,0,IF(A180=0,Dashboard!$G$10,IF(B180&lt;Dashboard!$I$6,IF($J$2&lt;=Dashboard!$H$10,Dashboard!$H$10,MAX(Dashboard!$H$10,MIN($J$2,Dashboard!$H$10*POWER($J$2/Dashboard!$H$10,A180/$D$2)))),$I$2-D180-Dashboard!$I$10-Dashboard!$J$10-Dashboard!$F$10*$I$2)))</f>
        <v>1789.4325484761255</v>
      </c>
      <c r="F180" s="24">
        <f t="shared" si="23"/>
        <v>0</v>
      </c>
      <c r="G180" s="24">
        <f t="shared" si="24"/>
        <v>0</v>
      </c>
      <c r="H180" s="24">
        <f t="shared" si="25"/>
        <v>0</v>
      </c>
      <c r="I180" s="24">
        <f t="shared" si="26"/>
        <v>1789.4325484761255</v>
      </c>
      <c r="J180" s="25">
        <f t="shared" si="27"/>
        <v>7.9741404289037643E-3</v>
      </c>
      <c r="K180" s="24">
        <f t="shared" si="32"/>
        <v>772829.67558296607</v>
      </c>
      <c r="L180" s="24" t="str">
        <f t="shared" si="28"/>
        <v/>
      </c>
      <c r="M180" s="24">
        <f t="shared" si="29"/>
        <v>0</v>
      </c>
      <c r="N180" s="24">
        <f>IF(M180&lt;=0,0,IF($E$2-A180&lt;12,(M180-E180)*Dashboard!$B$18,IF($Q$2+A180&gt;=$R$2,MAX(0,M180-E180*POWER(1+$C$2,$E$2-A180))*MAX(Dashboard!$C$18,Dashboard!$B$18),IF($S$2&lt;$R$2,(M180-E180)*0.5*Dashboard!$B$18,(E180*POWER(1+$A$2,$R$2-($Q$2+A180))-E180)*0.5*Dashboard!$B$18+MAX(0,M180-E180*POWER(1+$A$2,$R$2-($Q$2+A180))*POWER(1+$C$2,$S$2-$R$2))*MAX(Dashboard!$C$18,Dashboard!$B$18)))))</f>
        <v>0</v>
      </c>
    </row>
    <row r="181" spans="1:14" x14ac:dyDescent="0.2">
      <c r="A181" s="22">
        <f t="shared" si="30"/>
        <v>176</v>
      </c>
      <c r="B181" s="23">
        <f t="shared" si="31"/>
        <v>32.72146118721443</v>
      </c>
      <c r="C181" t="str">
        <f t="shared" si="22"/>
        <v>32 y 8.66 m</v>
      </c>
      <c r="D181" s="24">
        <f>IF(A181&gt;=$E$2,IF(A181&lt;$E$2+$H$2,$P$2,0),IF(B181&lt;Dashboard!$I$6,0,IF(A181&gt;=$F$2,Dashboard!$C$23*POWER(1+$C$2,A181-$F$2),Dashboard!$C$23)))</f>
        <v>5092.3674515238745</v>
      </c>
      <c r="E181" s="24">
        <f>IF(A181&gt;=$F$2,0,IF(A181=0,Dashboard!$G$10,IF(B181&lt;Dashboard!$I$6,IF($J$2&lt;=Dashboard!$H$10,Dashboard!$H$10,MAX(Dashboard!$H$10,MIN($J$2,Dashboard!$H$10*POWER($J$2/Dashboard!$H$10,A181/$D$2)))),$I$2-D181-Dashboard!$I$10-Dashboard!$J$10-Dashboard!$F$10*$I$2)))</f>
        <v>1789.4325484761255</v>
      </c>
      <c r="F181" s="24">
        <f t="shared" si="23"/>
        <v>0</v>
      </c>
      <c r="G181" s="24">
        <f t="shared" si="24"/>
        <v>0</v>
      </c>
      <c r="H181" s="24">
        <f t="shared" si="25"/>
        <v>0</v>
      </c>
      <c r="I181" s="24">
        <f t="shared" si="26"/>
        <v>1789.4325484761255</v>
      </c>
      <c r="J181" s="25">
        <f t="shared" si="27"/>
        <v>7.9741404289037643E-3</v>
      </c>
      <c r="K181" s="24">
        <f t="shared" si="32"/>
        <v>780796.02967859455</v>
      </c>
      <c r="L181" s="24" t="str">
        <f t="shared" si="28"/>
        <v/>
      </c>
      <c r="M181" s="24">
        <f t="shared" si="29"/>
        <v>0</v>
      </c>
      <c r="N181" s="24">
        <f>IF(M181&lt;=0,0,IF($E$2-A181&lt;12,(M181-E181)*Dashboard!$B$18,IF($Q$2+A181&gt;=$R$2,MAX(0,M181-E181*POWER(1+$C$2,$E$2-A181))*MAX(Dashboard!$C$18,Dashboard!$B$18),IF($S$2&lt;$R$2,(M181-E181)*0.5*Dashboard!$B$18,(E181*POWER(1+$A$2,$R$2-($Q$2+A181))-E181)*0.5*Dashboard!$B$18+MAX(0,M181-E181*POWER(1+$A$2,$R$2-($Q$2+A181))*POWER(1+$C$2,$S$2-$R$2))*MAX(Dashboard!$C$18,Dashboard!$B$18)))))</f>
        <v>0</v>
      </c>
    </row>
    <row r="182" spans="1:14" x14ac:dyDescent="0.2">
      <c r="A182" s="22">
        <f t="shared" si="30"/>
        <v>177</v>
      </c>
      <c r="B182" s="23">
        <f t="shared" si="31"/>
        <v>32.804794520547766</v>
      </c>
      <c r="C182" t="str">
        <f t="shared" si="22"/>
        <v>32 y 9.66 m</v>
      </c>
      <c r="D182" s="24">
        <f>IF(A182&gt;=$E$2,IF(A182&lt;$E$2+$H$2,$P$2,0),IF(B182&lt;Dashboard!$I$6,0,IF(A182&gt;=$F$2,Dashboard!$C$23*POWER(1+$C$2,A182-$F$2),Dashboard!$C$23)))</f>
        <v>5092.3674515238745</v>
      </c>
      <c r="E182" s="24">
        <f>IF(A182&gt;=$F$2,0,IF(A182=0,Dashboard!$G$10,IF(B182&lt;Dashboard!$I$6,IF($J$2&lt;=Dashboard!$H$10,Dashboard!$H$10,MAX(Dashboard!$H$10,MIN($J$2,Dashboard!$H$10*POWER($J$2/Dashboard!$H$10,A182/$D$2)))),$I$2-D182-Dashboard!$I$10-Dashboard!$J$10-Dashboard!$F$10*$I$2)))</f>
        <v>1789.4325484761255</v>
      </c>
      <c r="F182" s="24">
        <f t="shared" si="23"/>
        <v>0</v>
      </c>
      <c r="G182" s="24">
        <f t="shared" si="24"/>
        <v>0</v>
      </c>
      <c r="H182" s="24">
        <f t="shared" si="25"/>
        <v>0</v>
      </c>
      <c r="I182" s="24">
        <f t="shared" si="26"/>
        <v>1789.4325484761255</v>
      </c>
      <c r="J182" s="25">
        <f t="shared" si="27"/>
        <v>7.9741404289037643E-3</v>
      </c>
      <c r="K182" s="24">
        <f t="shared" si="32"/>
        <v>788825.90860048798</v>
      </c>
      <c r="L182" s="24" t="str">
        <f t="shared" si="28"/>
        <v/>
      </c>
      <c r="M182" s="24">
        <f t="shared" si="29"/>
        <v>0</v>
      </c>
      <c r="N182" s="24">
        <f>IF(M182&lt;=0,0,IF($E$2-A182&lt;12,(M182-E182)*Dashboard!$B$18,IF($Q$2+A182&gt;=$R$2,MAX(0,M182-E182*POWER(1+$C$2,$E$2-A182))*MAX(Dashboard!$C$18,Dashboard!$B$18),IF($S$2&lt;$R$2,(M182-E182)*0.5*Dashboard!$B$18,(E182*POWER(1+$A$2,$R$2-($Q$2+A182))-E182)*0.5*Dashboard!$B$18+MAX(0,M182-E182*POWER(1+$A$2,$R$2-($Q$2+A182))*POWER(1+$C$2,$S$2-$R$2))*MAX(Dashboard!$C$18,Dashboard!$B$18)))))</f>
        <v>0</v>
      </c>
    </row>
    <row r="183" spans="1:14" x14ac:dyDescent="0.2">
      <c r="A183" s="22">
        <f t="shared" si="30"/>
        <v>178</v>
      </c>
      <c r="B183" s="23">
        <f t="shared" si="31"/>
        <v>32.888127853881102</v>
      </c>
      <c r="C183" t="str">
        <f t="shared" si="22"/>
        <v>32 y 10.66 m</v>
      </c>
      <c r="D183" s="24">
        <f>IF(A183&gt;=$E$2,IF(A183&lt;$E$2+$H$2,$P$2,0),IF(B183&lt;Dashboard!$I$6,0,IF(A183&gt;=$F$2,Dashboard!$C$23*POWER(1+$C$2,A183-$F$2),Dashboard!$C$23)))</f>
        <v>5092.3674515238745</v>
      </c>
      <c r="E183" s="24">
        <f>IF(A183&gt;=$F$2,0,IF(A183=0,Dashboard!$G$10,IF(B183&lt;Dashboard!$I$6,IF($J$2&lt;=Dashboard!$H$10,Dashboard!$H$10,MAX(Dashboard!$H$10,MIN($J$2,Dashboard!$H$10*POWER($J$2/Dashboard!$H$10,A183/$D$2)))),$I$2-D183-Dashboard!$I$10-Dashboard!$J$10-Dashboard!$F$10*$I$2)))</f>
        <v>1789.4325484761255</v>
      </c>
      <c r="F183" s="24">
        <f t="shared" si="23"/>
        <v>0</v>
      </c>
      <c r="G183" s="24">
        <f t="shared" si="24"/>
        <v>0</v>
      </c>
      <c r="H183" s="24">
        <f t="shared" si="25"/>
        <v>0</v>
      </c>
      <c r="I183" s="24">
        <f t="shared" si="26"/>
        <v>1789.4325484761255</v>
      </c>
      <c r="J183" s="25">
        <f t="shared" si="27"/>
        <v>7.9741404289037643E-3</v>
      </c>
      <c r="K183" s="24">
        <f t="shared" si="32"/>
        <v>796919.81890453165</v>
      </c>
      <c r="L183" s="24" t="str">
        <f t="shared" si="28"/>
        <v/>
      </c>
      <c r="M183" s="24">
        <f t="shared" si="29"/>
        <v>0</v>
      </c>
      <c r="N183" s="24">
        <f>IF(M183&lt;=0,0,IF($E$2-A183&lt;12,(M183-E183)*Dashboard!$B$18,IF($Q$2+A183&gt;=$R$2,MAX(0,M183-E183*POWER(1+$C$2,$E$2-A183))*MAX(Dashboard!$C$18,Dashboard!$B$18),IF($S$2&lt;$R$2,(M183-E183)*0.5*Dashboard!$B$18,(E183*POWER(1+$A$2,$R$2-($Q$2+A183))-E183)*0.5*Dashboard!$B$18+MAX(0,M183-E183*POWER(1+$A$2,$R$2-($Q$2+A183))*POWER(1+$C$2,$S$2-$R$2))*MAX(Dashboard!$C$18,Dashboard!$B$18)))))</f>
        <v>0</v>
      </c>
    </row>
    <row r="184" spans="1:14" x14ac:dyDescent="0.2">
      <c r="A184" s="22">
        <f t="shared" si="30"/>
        <v>179</v>
      </c>
      <c r="B184" s="23">
        <f t="shared" si="31"/>
        <v>32.971461187214437</v>
      </c>
      <c r="C184" t="str">
        <f t="shared" si="22"/>
        <v>32 y 11.66 m</v>
      </c>
      <c r="D184" s="24">
        <f>IF(A184&gt;=$E$2,IF(A184&lt;$E$2+$H$2,$P$2,0),IF(B184&lt;Dashboard!$I$6,0,IF(A184&gt;=$F$2,Dashboard!$C$23*POWER(1+$C$2,A184-$F$2),Dashboard!$C$23)))</f>
        <v>5092.3674515238745</v>
      </c>
      <c r="E184" s="24">
        <f>IF(A184&gt;=$F$2,0,IF(A184=0,Dashboard!$G$10,IF(B184&lt;Dashboard!$I$6,IF($J$2&lt;=Dashboard!$H$10,Dashboard!$H$10,MAX(Dashboard!$H$10,MIN($J$2,Dashboard!$H$10*POWER($J$2/Dashboard!$H$10,A184/$D$2)))),$I$2-D184-Dashboard!$I$10-Dashboard!$J$10-Dashboard!$F$10*$I$2)))</f>
        <v>1789.4325484761255</v>
      </c>
      <c r="F184" s="24">
        <f t="shared" si="23"/>
        <v>0</v>
      </c>
      <c r="G184" s="24">
        <f t="shared" si="24"/>
        <v>0</v>
      </c>
      <c r="H184" s="24">
        <f t="shared" si="25"/>
        <v>0</v>
      </c>
      <c r="I184" s="24">
        <f t="shared" si="26"/>
        <v>1789.4325484761255</v>
      </c>
      <c r="J184" s="25">
        <f t="shared" si="27"/>
        <v>7.9741404289037643E-3</v>
      </c>
      <c r="K184" s="24">
        <f t="shared" si="32"/>
        <v>805078.27118595864</v>
      </c>
      <c r="L184" s="24" t="str">
        <f t="shared" si="28"/>
        <v/>
      </c>
      <c r="M184" s="24">
        <f t="shared" si="29"/>
        <v>0</v>
      </c>
      <c r="N184" s="24">
        <f>IF(M184&lt;=0,0,IF($E$2-A184&lt;12,(M184-E184)*Dashboard!$B$18,IF($Q$2+A184&gt;=$R$2,MAX(0,M184-E184*POWER(1+$C$2,$E$2-A184))*MAX(Dashboard!$C$18,Dashboard!$B$18),IF($S$2&lt;$R$2,(M184-E184)*0.5*Dashboard!$B$18,(E184*POWER(1+$A$2,$R$2-($Q$2+A184))-E184)*0.5*Dashboard!$B$18+MAX(0,M184-E184*POWER(1+$A$2,$R$2-($Q$2+A184))*POWER(1+$C$2,$S$2-$R$2))*MAX(Dashboard!$C$18,Dashboard!$B$18)))))</f>
        <v>0</v>
      </c>
    </row>
    <row r="185" spans="1:14" x14ac:dyDescent="0.2">
      <c r="A185" s="22">
        <f t="shared" si="30"/>
        <v>180</v>
      </c>
      <c r="B185" s="23">
        <f t="shared" si="31"/>
        <v>33.054794520547773</v>
      </c>
      <c r="C185" t="str">
        <f t="shared" si="22"/>
        <v>33 y 0.66 m</v>
      </c>
      <c r="D185" s="24">
        <f>IF(A185&gt;=$E$2,IF(A185&lt;$E$2+$H$2,$P$2,0),IF(B185&lt;Dashboard!$I$6,0,IF(A185&gt;=$F$2,Dashboard!$C$23*POWER(1+$C$2,A185-$F$2),Dashboard!$C$23)))</f>
        <v>5092.3674515238745</v>
      </c>
      <c r="E185" s="24">
        <f>IF(A185&gt;=$F$2,0,IF(A185=0,Dashboard!$G$10,IF(B185&lt;Dashboard!$I$6,IF($J$2&lt;=Dashboard!$H$10,Dashboard!$H$10,MAX(Dashboard!$H$10,MIN($J$2,Dashboard!$H$10*POWER($J$2/Dashboard!$H$10,A185/$D$2)))),$I$2-D185-Dashboard!$I$10-Dashboard!$J$10-Dashboard!$F$10*$I$2)))</f>
        <v>1789.4325484761255</v>
      </c>
      <c r="F185" s="24">
        <f t="shared" si="23"/>
        <v>0</v>
      </c>
      <c r="G185" s="24">
        <f t="shared" si="24"/>
        <v>0</v>
      </c>
      <c r="H185" s="24">
        <f t="shared" si="25"/>
        <v>0</v>
      </c>
      <c r="I185" s="24">
        <f t="shared" si="26"/>
        <v>1789.4325484761255</v>
      </c>
      <c r="J185" s="25">
        <f t="shared" si="27"/>
        <v>7.9741404289037643E-3</v>
      </c>
      <c r="K185" s="24">
        <f t="shared" si="32"/>
        <v>813301.78011156025</v>
      </c>
      <c r="L185" s="24" t="str">
        <f t="shared" si="28"/>
        <v/>
      </c>
      <c r="M185" s="24">
        <f t="shared" si="29"/>
        <v>0</v>
      </c>
      <c r="N185" s="24">
        <f>IF(M185&lt;=0,0,IF($E$2-A185&lt;12,(M185-E185)*Dashboard!$B$18,IF($Q$2+A185&gt;=$R$2,MAX(0,M185-E185*POWER(1+$C$2,$E$2-A185))*MAX(Dashboard!$C$18,Dashboard!$B$18),IF($S$2&lt;$R$2,(M185-E185)*0.5*Dashboard!$B$18,(E185*POWER(1+$A$2,$R$2-($Q$2+A185))-E185)*0.5*Dashboard!$B$18+MAX(0,M185-E185*POWER(1+$A$2,$R$2-($Q$2+A185))*POWER(1+$C$2,$S$2-$R$2))*MAX(Dashboard!$C$18,Dashboard!$B$18)))))</f>
        <v>0</v>
      </c>
    </row>
    <row r="186" spans="1:14" x14ac:dyDescent="0.2">
      <c r="A186" s="22">
        <f t="shared" si="30"/>
        <v>181</v>
      </c>
      <c r="B186" s="23">
        <f t="shared" si="31"/>
        <v>33.138127853881109</v>
      </c>
      <c r="C186" t="str">
        <f t="shared" si="22"/>
        <v>33 y 1.66 m</v>
      </c>
      <c r="D186" s="24">
        <f>IF(A186&gt;=$E$2,IF(A186&lt;$E$2+$H$2,$P$2,0),IF(B186&lt;Dashboard!$I$6,0,IF(A186&gt;=$F$2,Dashboard!$C$23*POWER(1+$C$2,A186-$F$2),Dashboard!$C$23)))</f>
        <v>5092.3674515238745</v>
      </c>
      <c r="E186" s="24">
        <f>IF(A186&gt;=$F$2,0,IF(A186=0,Dashboard!$G$10,IF(B186&lt;Dashboard!$I$6,IF($J$2&lt;=Dashboard!$H$10,Dashboard!$H$10,MAX(Dashboard!$H$10,MIN($J$2,Dashboard!$H$10*POWER($J$2/Dashboard!$H$10,A186/$D$2)))),$I$2-D186-Dashboard!$I$10-Dashboard!$J$10-Dashboard!$F$10*$I$2)))</f>
        <v>1789.4325484761255</v>
      </c>
      <c r="F186" s="24">
        <f t="shared" si="23"/>
        <v>0</v>
      </c>
      <c r="G186" s="24">
        <f t="shared" si="24"/>
        <v>0</v>
      </c>
      <c r="H186" s="24">
        <f t="shared" si="25"/>
        <v>0</v>
      </c>
      <c r="I186" s="24">
        <f t="shared" si="26"/>
        <v>1789.4325484761255</v>
      </c>
      <c r="J186" s="25">
        <f t="shared" si="27"/>
        <v>7.9741404289037643E-3</v>
      </c>
      <c r="K186" s="24">
        <f t="shared" si="32"/>
        <v>821590.86445215298</v>
      </c>
      <c r="L186" s="24" t="str">
        <f t="shared" si="28"/>
        <v/>
      </c>
      <c r="M186" s="24">
        <f t="shared" si="29"/>
        <v>0</v>
      </c>
      <c r="N186" s="24">
        <f>IF(M186&lt;=0,0,IF($E$2-A186&lt;12,(M186-E186)*Dashboard!$B$18,IF($Q$2+A186&gt;=$R$2,MAX(0,M186-E186*POWER(1+$C$2,$E$2-A186))*MAX(Dashboard!$C$18,Dashboard!$B$18),IF($S$2&lt;$R$2,(M186-E186)*0.5*Dashboard!$B$18,(E186*POWER(1+$A$2,$R$2-($Q$2+A186))-E186)*0.5*Dashboard!$B$18+MAX(0,M186-E186*POWER(1+$A$2,$R$2-($Q$2+A186))*POWER(1+$C$2,$S$2-$R$2))*MAX(Dashboard!$C$18,Dashboard!$B$18)))))</f>
        <v>0</v>
      </c>
    </row>
    <row r="187" spans="1:14" x14ac:dyDescent="0.2">
      <c r="A187" s="22">
        <f t="shared" si="30"/>
        <v>182</v>
      </c>
      <c r="B187" s="23">
        <f t="shared" si="31"/>
        <v>33.221461187214445</v>
      </c>
      <c r="C187" t="str">
        <f t="shared" si="22"/>
        <v>33 y 2.66 m</v>
      </c>
      <c r="D187" s="24">
        <f>IF(A187&gt;=$E$2,IF(A187&lt;$E$2+$H$2,$P$2,0),IF(B187&lt;Dashboard!$I$6,0,IF(A187&gt;=$F$2,Dashboard!$C$23*POWER(1+$C$2,A187-$F$2),Dashboard!$C$23)))</f>
        <v>5092.3674515238745</v>
      </c>
      <c r="E187" s="24">
        <f>IF(A187&gt;=$F$2,0,IF(A187=0,Dashboard!$G$10,IF(B187&lt;Dashboard!$I$6,IF($J$2&lt;=Dashboard!$H$10,Dashboard!$H$10,MAX(Dashboard!$H$10,MIN($J$2,Dashboard!$H$10*POWER($J$2/Dashboard!$H$10,A187/$D$2)))),$I$2-D187-Dashboard!$I$10-Dashboard!$J$10-Dashboard!$F$10*$I$2)))</f>
        <v>1789.4325484761255</v>
      </c>
      <c r="F187" s="24">
        <f t="shared" si="23"/>
        <v>0</v>
      </c>
      <c r="G187" s="24">
        <f t="shared" si="24"/>
        <v>0</v>
      </c>
      <c r="H187" s="24">
        <f t="shared" si="25"/>
        <v>0</v>
      </c>
      <c r="I187" s="24">
        <f t="shared" si="26"/>
        <v>1789.4325484761255</v>
      </c>
      <c r="J187" s="25">
        <f t="shared" si="27"/>
        <v>7.9741404289037643E-3</v>
      </c>
      <c r="K187" s="24">
        <f t="shared" si="32"/>
        <v>829946.04711530462</v>
      </c>
      <c r="L187" s="24" t="str">
        <f t="shared" si="28"/>
        <v/>
      </c>
      <c r="M187" s="24">
        <f t="shared" si="29"/>
        <v>0</v>
      </c>
      <c r="N187" s="24">
        <f>IF(M187&lt;=0,0,IF($E$2-A187&lt;12,(M187-E187)*Dashboard!$B$18,IF($Q$2+A187&gt;=$R$2,MAX(0,M187-E187*POWER(1+$C$2,$E$2-A187))*MAX(Dashboard!$C$18,Dashboard!$B$18),IF($S$2&lt;$R$2,(M187-E187)*0.5*Dashboard!$B$18,(E187*POWER(1+$A$2,$R$2-($Q$2+A187))-E187)*0.5*Dashboard!$B$18+MAX(0,M187-E187*POWER(1+$A$2,$R$2-($Q$2+A187))*POWER(1+$C$2,$S$2-$R$2))*MAX(Dashboard!$C$18,Dashboard!$B$18)))))</f>
        <v>0</v>
      </c>
    </row>
    <row r="188" spans="1:14" x14ac:dyDescent="0.2">
      <c r="A188" s="22">
        <f t="shared" si="30"/>
        <v>183</v>
      </c>
      <c r="B188" s="23">
        <f t="shared" si="31"/>
        <v>33.30479452054778</v>
      </c>
      <c r="C188" t="str">
        <f t="shared" si="22"/>
        <v>33 y 3.66 m</v>
      </c>
      <c r="D188" s="24">
        <f>IF(A188&gt;=$E$2,IF(A188&lt;$E$2+$H$2,$P$2,0),IF(B188&lt;Dashboard!$I$6,0,IF(A188&gt;=$F$2,Dashboard!$C$23*POWER(1+$C$2,A188-$F$2),Dashboard!$C$23)))</f>
        <v>5092.3674515238745</v>
      </c>
      <c r="E188" s="24">
        <f>IF(A188&gt;=$F$2,0,IF(A188=0,Dashboard!$G$10,IF(B188&lt;Dashboard!$I$6,IF($J$2&lt;=Dashboard!$H$10,Dashboard!$H$10,MAX(Dashboard!$H$10,MIN($J$2,Dashboard!$H$10*POWER($J$2/Dashboard!$H$10,A188/$D$2)))),$I$2-D188-Dashboard!$I$10-Dashboard!$J$10-Dashboard!$F$10*$I$2)))</f>
        <v>1789.4325484761255</v>
      </c>
      <c r="F188" s="24">
        <f t="shared" si="23"/>
        <v>0</v>
      </c>
      <c r="G188" s="24">
        <f t="shared" si="24"/>
        <v>0</v>
      </c>
      <c r="H188" s="24">
        <f t="shared" si="25"/>
        <v>0</v>
      </c>
      <c r="I188" s="24">
        <f t="shared" si="26"/>
        <v>1789.4325484761255</v>
      </c>
      <c r="J188" s="25">
        <f t="shared" si="27"/>
        <v>7.9741404289037643E-3</v>
      </c>
      <c r="K188" s="24">
        <f t="shared" si="32"/>
        <v>838367.85517832136</v>
      </c>
      <c r="L188" s="24" t="str">
        <f t="shared" si="28"/>
        <v/>
      </c>
      <c r="M188" s="24">
        <f t="shared" si="29"/>
        <v>0</v>
      </c>
      <c r="N188" s="24">
        <f>IF(M188&lt;=0,0,IF($E$2-A188&lt;12,(M188-E188)*Dashboard!$B$18,IF($Q$2+A188&gt;=$R$2,MAX(0,M188-E188*POWER(1+$C$2,$E$2-A188))*MAX(Dashboard!$C$18,Dashboard!$B$18),IF($S$2&lt;$R$2,(M188-E188)*0.5*Dashboard!$B$18,(E188*POWER(1+$A$2,$R$2-($Q$2+A188))-E188)*0.5*Dashboard!$B$18+MAX(0,M188-E188*POWER(1+$A$2,$R$2-($Q$2+A188))*POWER(1+$C$2,$S$2-$R$2))*MAX(Dashboard!$C$18,Dashboard!$B$18)))))</f>
        <v>0</v>
      </c>
    </row>
    <row r="189" spans="1:14" x14ac:dyDescent="0.2">
      <c r="A189" s="22">
        <f t="shared" si="30"/>
        <v>184</v>
      </c>
      <c r="B189" s="23">
        <f t="shared" si="31"/>
        <v>33.388127853881116</v>
      </c>
      <c r="C189" t="str">
        <f t="shared" si="22"/>
        <v>33 y 4.66 m</v>
      </c>
      <c r="D189" s="24">
        <f>IF(A189&gt;=$E$2,IF(A189&lt;$E$2+$H$2,$P$2,0),IF(B189&lt;Dashboard!$I$6,0,IF(A189&gt;=$F$2,Dashboard!$C$23*POWER(1+$C$2,A189-$F$2),Dashboard!$C$23)))</f>
        <v>5092.3674515238745</v>
      </c>
      <c r="E189" s="24">
        <f>IF(A189&gt;=$F$2,0,IF(A189=0,Dashboard!$G$10,IF(B189&lt;Dashboard!$I$6,IF($J$2&lt;=Dashboard!$H$10,Dashboard!$H$10,MAX(Dashboard!$H$10,MIN($J$2,Dashboard!$H$10*POWER($J$2/Dashboard!$H$10,A189/$D$2)))),$I$2-D189-Dashboard!$I$10-Dashboard!$J$10-Dashboard!$F$10*$I$2)))</f>
        <v>1789.4325484761255</v>
      </c>
      <c r="F189" s="24">
        <f t="shared" si="23"/>
        <v>0</v>
      </c>
      <c r="G189" s="24">
        <f t="shared" si="24"/>
        <v>0</v>
      </c>
      <c r="H189" s="24">
        <f t="shared" si="25"/>
        <v>0</v>
      </c>
      <c r="I189" s="24">
        <f t="shared" si="26"/>
        <v>1789.4325484761255</v>
      </c>
      <c r="J189" s="25">
        <f t="shared" si="27"/>
        <v>7.9741404289037643E-3</v>
      </c>
      <c r="K189" s="24">
        <f t="shared" si="32"/>
        <v>846856.81992149795</v>
      </c>
      <c r="L189" s="24" t="str">
        <f t="shared" si="28"/>
        <v/>
      </c>
      <c r="M189" s="24">
        <f t="shared" si="29"/>
        <v>0</v>
      </c>
      <c r="N189" s="24">
        <f>IF(M189&lt;=0,0,IF($E$2-A189&lt;12,(M189-E189)*Dashboard!$B$18,IF($Q$2+A189&gt;=$R$2,MAX(0,M189-E189*POWER(1+$C$2,$E$2-A189))*MAX(Dashboard!$C$18,Dashboard!$B$18),IF($S$2&lt;$R$2,(M189-E189)*0.5*Dashboard!$B$18,(E189*POWER(1+$A$2,$R$2-($Q$2+A189))-E189)*0.5*Dashboard!$B$18+MAX(0,M189-E189*POWER(1+$A$2,$R$2-($Q$2+A189))*POWER(1+$C$2,$S$2-$R$2))*MAX(Dashboard!$C$18,Dashboard!$B$18)))))</f>
        <v>0</v>
      </c>
    </row>
    <row r="190" spans="1:14" x14ac:dyDescent="0.2">
      <c r="A190" s="22">
        <f t="shared" si="30"/>
        <v>185</v>
      </c>
      <c r="B190" s="23">
        <f t="shared" si="31"/>
        <v>33.471461187214452</v>
      </c>
      <c r="C190" t="str">
        <f t="shared" si="22"/>
        <v>33 y 5.66 m</v>
      </c>
      <c r="D190" s="24">
        <f>IF(A190&gt;=$E$2,IF(A190&lt;$E$2+$H$2,$P$2,0),IF(B190&lt;Dashboard!$I$6,0,IF(A190&gt;=$F$2,Dashboard!$C$23*POWER(1+$C$2,A190-$F$2),Dashboard!$C$23)))</f>
        <v>5092.3674515238745</v>
      </c>
      <c r="E190" s="24">
        <f>IF(A190&gt;=$F$2,0,IF(A190=0,Dashboard!$G$10,IF(B190&lt;Dashboard!$I$6,IF($J$2&lt;=Dashboard!$H$10,Dashboard!$H$10,MAX(Dashboard!$H$10,MIN($J$2,Dashboard!$H$10*POWER($J$2/Dashboard!$H$10,A190/$D$2)))),$I$2-D190-Dashboard!$I$10-Dashboard!$J$10-Dashboard!$F$10*$I$2)))</f>
        <v>1789.4325484761255</v>
      </c>
      <c r="F190" s="24">
        <f t="shared" si="23"/>
        <v>0</v>
      </c>
      <c r="G190" s="24">
        <f t="shared" si="24"/>
        <v>0</v>
      </c>
      <c r="H190" s="24">
        <f t="shared" si="25"/>
        <v>0</v>
      </c>
      <c r="I190" s="24">
        <f t="shared" si="26"/>
        <v>1789.4325484761255</v>
      </c>
      <c r="J190" s="25">
        <f t="shared" si="27"/>
        <v>7.9741404289037643E-3</v>
      </c>
      <c r="K190" s="24">
        <f t="shared" si="32"/>
        <v>855413.47686163255</v>
      </c>
      <c r="L190" s="24" t="str">
        <f t="shared" si="28"/>
        <v/>
      </c>
      <c r="M190" s="24">
        <f t="shared" si="29"/>
        <v>0</v>
      </c>
      <c r="N190" s="24">
        <f>IF(M190&lt;=0,0,IF($E$2-A190&lt;12,(M190-E190)*Dashboard!$B$18,IF($Q$2+A190&gt;=$R$2,MAX(0,M190-E190*POWER(1+$C$2,$E$2-A190))*MAX(Dashboard!$C$18,Dashboard!$B$18),IF($S$2&lt;$R$2,(M190-E190)*0.5*Dashboard!$B$18,(E190*POWER(1+$A$2,$R$2-($Q$2+A190))-E190)*0.5*Dashboard!$B$18+MAX(0,M190-E190*POWER(1+$A$2,$R$2-($Q$2+A190))*POWER(1+$C$2,$S$2-$R$2))*MAX(Dashboard!$C$18,Dashboard!$B$18)))))</f>
        <v>0</v>
      </c>
    </row>
    <row r="191" spans="1:14" x14ac:dyDescent="0.2">
      <c r="A191" s="22">
        <f t="shared" si="30"/>
        <v>186</v>
      </c>
      <c r="B191" s="23">
        <f t="shared" si="31"/>
        <v>33.554794520547787</v>
      </c>
      <c r="C191" t="str">
        <f t="shared" si="22"/>
        <v>33 y 6.66 m</v>
      </c>
      <c r="D191" s="24">
        <f>IF(A191&gt;=$E$2,IF(A191&lt;$E$2+$H$2,$P$2,0),IF(B191&lt;Dashboard!$I$6,0,IF(A191&gt;=$F$2,Dashboard!$C$23*POWER(1+$C$2,A191-$F$2),Dashboard!$C$23)))</f>
        <v>5092.3674515238745</v>
      </c>
      <c r="E191" s="24">
        <f>IF(A191&gt;=$F$2,0,IF(A191=0,Dashboard!$G$10,IF(B191&lt;Dashboard!$I$6,IF($J$2&lt;=Dashboard!$H$10,Dashboard!$H$10,MAX(Dashboard!$H$10,MIN($J$2,Dashboard!$H$10*POWER($J$2/Dashboard!$H$10,A191/$D$2)))),$I$2-D191-Dashboard!$I$10-Dashboard!$J$10-Dashboard!$F$10*$I$2)))</f>
        <v>1789.4325484761255</v>
      </c>
      <c r="F191" s="24">
        <f t="shared" si="23"/>
        <v>0</v>
      </c>
      <c r="G191" s="24">
        <f t="shared" si="24"/>
        <v>0</v>
      </c>
      <c r="H191" s="24">
        <f t="shared" si="25"/>
        <v>0</v>
      </c>
      <c r="I191" s="24">
        <f t="shared" si="26"/>
        <v>1789.4325484761255</v>
      </c>
      <c r="J191" s="25">
        <f t="shared" si="27"/>
        <v>7.9741404289037643E-3</v>
      </c>
      <c r="K191" s="24">
        <f t="shared" si="32"/>
        <v>864038.36578580982</v>
      </c>
      <c r="L191" s="24" t="str">
        <f t="shared" si="28"/>
        <v/>
      </c>
      <c r="M191" s="24">
        <f t="shared" si="29"/>
        <v>0</v>
      </c>
      <c r="N191" s="24">
        <f>IF(M191&lt;=0,0,IF($E$2-A191&lt;12,(M191-E191)*Dashboard!$B$18,IF($Q$2+A191&gt;=$R$2,MAX(0,M191-E191*POWER(1+$C$2,$E$2-A191))*MAX(Dashboard!$C$18,Dashboard!$B$18),IF($S$2&lt;$R$2,(M191-E191)*0.5*Dashboard!$B$18,(E191*POWER(1+$A$2,$R$2-($Q$2+A191))-E191)*0.5*Dashboard!$B$18+MAX(0,M191-E191*POWER(1+$A$2,$R$2-($Q$2+A191))*POWER(1+$C$2,$S$2-$R$2))*MAX(Dashboard!$C$18,Dashboard!$B$18)))))</f>
        <v>0</v>
      </c>
    </row>
    <row r="192" spans="1:14" x14ac:dyDescent="0.2">
      <c r="A192" s="22">
        <f t="shared" si="30"/>
        <v>187</v>
      </c>
      <c r="B192" s="23">
        <f t="shared" si="31"/>
        <v>33.638127853881123</v>
      </c>
      <c r="C192" t="str">
        <f t="shared" si="22"/>
        <v>33 y 7.66 m</v>
      </c>
      <c r="D192" s="24">
        <f>IF(A192&gt;=$E$2,IF(A192&lt;$E$2+$H$2,$P$2,0),IF(B192&lt;Dashboard!$I$6,0,IF(A192&gt;=$F$2,Dashboard!$C$23*POWER(1+$C$2,A192-$F$2),Dashboard!$C$23)))</f>
        <v>5092.3674515238745</v>
      </c>
      <c r="E192" s="24">
        <f>IF(A192&gt;=$F$2,0,IF(A192=0,Dashboard!$G$10,IF(B192&lt;Dashboard!$I$6,IF($J$2&lt;=Dashboard!$H$10,Dashboard!$H$10,MAX(Dashboard!$H$10,MIN($J$2,Dashboard!$H$10*POWER($J$2/Dashboard!$H$10,A192/$D$2)))),$I$2-D192-Dashboard!$I$10-Dashboard!$J$10-Dashboard!$F$10*$I$2)))</f>
        <v>1789.4325484761255</v>
      </c>
      <c r="F192" s="24">
        <f t="shared" si="23"/>
        <v>0</v>
      </c>
      <c r="G192" s="24">
        <f t="shared" si="24"/>
        <v>0</v>
      </c>
      <c r="H192" s="24">
        <f t="shared" si="25"/>
        <v>0</v>
      </c>
      <c r="I192" s="24">
        <f t="shared" si="26"/>
        <v>1789.4325484761255</v>
      </c>
      <c r="J192" s="25">
        <f t="shared" si="27"/>
        <v>7.9741404289037643E-3</v>
      </c>
      <c r="K192" s="24">
        <f t="shared" si="32"/>
        <v>872732.03078545211</v>
      </c>
      <c r="L192" s="24" t="str">
        <f t="shared" si="28"/>
        <v/>
      </c>
      <c r="M192" s="24">
        <f t="shared" si="29"/>
        <v>0</v>
      </c>
      <c r="N192" s="24">
        <f>IF(M192&lt;=0,0,IF($E$2-A192&lt;12,(M192-E192)*Dashboard!$B$18,IF($Q$2+A192&gt;=$R$2,MAX(0,M192-E192*POWER(1+$C$2,$E$2-A192))*MAX(Dashboard!$C$18,Dashboard!$B$18),IF($S$2&lt;$R$2,(M192-E192)*0.5*Dashboard!$B$18,(E192*POWER(1+$A$2,$R$2-($Q$2+A192))-E192)*0.5*Dashboard!$B$18+MAX(0,M192-E192*POWER(1+$A$2,$R$2-($Q$2+A192))*POWER(1+$C$2,$S$2-$R$2))*MAX(Dashboard!$C$18,Dashboard!$B$18)))))</f>
        <v>0</v>
      </c>
    </row>
    <row r="193" spans="1:14" x14ac:dyDescent="0.2">
      <c r="A193" s="22">
        <f t="shared" si="30"/>
        <v>188</v>
      </c>
      <c r="B193" s="23">
        <f t="shared" si="31"/>
        <v>33.721461187214459</v>
      </c>
      <c r="C193" t="str">
        <f t="shared" si="22"/>
        <v>33 y 8.66 m</v>
      </c>
      <c r="D193" s="24">
        <f>IF(A193&gt;=$E$2,IF(A193&lt;$E$2+$H$2,$P$2,0),IF(B193&lt;Dashboard!$I$6,0,IF(A193&gt;=$F$2,Dashboard!$C$23*POWER(1+$C$2,A193-$F$2),Dashboard!$C$23)))</f>
        <v>5092.3674515238745</v>
      </c>
      <c r="E193" s="24">
        <f>IF(A193&gt;=$F$2,0,IF(A193=0,Dashboard!$G$10,IF(B193&lt;Dashboard!$I$6,IF($J$2&lt;=Dashboard!$H$10,Dashboard!$H$10,MAX(Dashboard!$H$10,MIN($J$2,Dashboard!$H$10*POWER($J$2/Dashboard!$H$10,A193/$D$2)))),$I$2-D193-Dashboard!$I$10-Dashboard!$J$10-Dashboard!$F$10*$I$2)))</f>
        <v>1789.4325484761255</v>
      </c>
      <c r="F193" s="24">
        <f t="shared" si="23"/>
        <v>0</v>
      </c>
      <c r="G193" s="24">
        <f t="shared" si="24"/>
        <v>0</v>
      </c>
      <c r="H193" s="24">
        <f t="shared" si="25"/>
        <v>0</v>
      </c>
      <c r="I193" s="24">
        <f t="shared" si="26"/>
        <v>1789.4325484761255</v>
      </c>
      <c r="J193" s="25">
        <f t="shared" si="27"/>
        <v>7.9741404289037643E-3</v>
      </c>
      <c r="K193" s="24">
        <f t="shared" si="32"/>
        <v>881495.02029064344</v>
      </c>
      <c r="L193" s="24" t="str">
        <f t="shared" si="28"/>
        <v/>
      </c>
      <c r="M193" s="24">
        <f t="shared" si="29"/>
        <v>0</v>
      </c>
      <c r="N193" s="24">
        <f>IF(M193&lt;=0,0,IF($E$2-A193&lt;12,(M193-E193)*Dashboard!$B$18,IF($Q$2+A193&gt;=$R$2,MAX(0,M193-E193*POWER(1+$C$2,$E$2-A193))*MAX(Dashboard!$C$18,Dashboard!$B$18),IF($S$2&lt;$R$2,(M193-E193)*0.5*Dashboard!$B$18,(E193*POWER(1+$A$2,$R$2-($Q$2+A193))-E193)*0.5*Dashboard!$B$18+MAX(0,M193-E193*POWER(1+$A$2,$R$2-($Q$2+A193))*POWER(1+$C$2,$S$2-$R$2))*MAX(Dashboard!$C$18,Dashboard!$B$18)))))</f>
        <v>0</v>
      </c>
    </row>
    <row r="194" spans="1:14" x14ac:dyDescent="0.2">
      <c r="A194" s="22">
        <f t="shared" si="30"/>
        <v>189</v>
      </c>
      <c r="B194" s="23">
        <f t="shared" si="31"/>
        <v>33.804794520547794</v>
      </c>
      <c r="C194" t="str">
        <f t="shared" si="22"/>
        <v>33 y 9.66 m</v>
      </c>
      <c r="D194" s="24">
        <f>IF(A194&gt;=$E$2,IF(A194&lt;$E$2+$H$2,$P$2,0),IF(B194&lt;Dashboard!$I$6,0,IF(A194&gt;=$F$2,Dashboard!$C$23*POWER(1+$C$2,A194-$F$2),Dashboard!$C$23)))</f>
        <v>5092.3674515238745</v>
      </c>
      <c r="E194" s="24">
        <f>IF(A194&gt;=$F$2,0,IF(A194=0,Dashboard!$G$10,IF(B194&lt;Dashboard!$I$6,IF($J$2&lt;=Dashboard!$H$10,Dashboard!$H$10,MAX(Dashboard!$H$10,MIN($J$2,Dashboard!$H$10*POWER($J$2/Dashboard!$H$10,A194/$D$2)))),$I$2-D194-Dashboard!$I$10-Dashboard!$J$10-Dashboard!$F$10*$I$2)))</f>
        <v>1789.4325484761255</v>
      </c>
      <c r="F194" s="24">
        <f t="shared" si="23"/>
        <v>0</v>
      </c>
      <c r="G194" s="24">
        <f t="shared" si="24"/>
        <v>0</v>
      </c>
      <c r="H194" s="24">
        <f t="shared" si="25"/>
        <v>0</v>
      </c>
      <c r="I194" s="24">
        <f t="shared" si="26"/>
        <v>1789.4325484761255</v>
      </c>
      <c r="J194" s="25">
        <f t="shared" si="27"/>
        <v>7.9741404289037643E-3</v>
      </c>
      <c r="K194" s="24">
        <f t="shared" si="32"/>
        <v>890327.88710472616</v>
      </c>
      <c r="L194" s="24" t="str">
        <f t="shared" si="28"/>
        <v/>
      </c>
      <c r="M194" s="24">
        <f t="shared" si="29"/>
        <v>0</v>
      </c>
      <c r="N194" s="24">
        <f>IF(M194&lt;=0,0,IF($E$2-A194&lt;12,(M194-E194)*Dashboard!$B$18,IF($Q$2+A194&gt;=$R$2,MAX(0,M194-E194*POWER(1+$C$2,$E$2-A194))*MAX(Dashboard!$C$18,Dashboard!$B$18),IF($S$2&lt;$R$2,(M194-E194)*0.5*Dashboard!$B$18,(E194*POWER(1+$A$2,$R$2-($Q$2+A194))-E194)*0.5*Dashboard!$B$18+MAX(0,M194-E194*POWER(1+$A$2,$R$2-($Q$2+A194))*POWER(1+$C$2,$S$2-$R$2))*MAX(Dashboard!$C$18,Dashboard!$B$18)))))</f>
        <v>0</v>
      </c>
    </row>
    <row r="195" spans="1:14" x14ac:dyDescent="0.2">
      <c r="A195" s="22">
        <f t="shared" si="30"/>
        <v>190</v>
      </c>
      <c r="B195" s="23">
        <f t="shared" si="31"/>
        <v>33.88812785388113</v>
      </c>
      <c r="C195" t="str">
        <f t="shared" si="22"/>
        <v>33 y 10.66 m</v>
      </c>
      <c r="D195" s="24">
        <f>IF(A195&gt;=$E$2,IF(A195&lt;$E$2+$H$2,$P$2,0),IF(B195&lt;Dashboard!$I$6,0,IF(A195&gt;=$F$2,Dashboard!$C$23*POWER(1+$C$2,A195-$F$2),Dashboard!$C$23)))</f>
        <v>5092.3674515238745</v>
      </c>
      <c r="E195" s="24">
        <f>IF(A195&gt;=$F$2,0,IF(A195=0,Dashboard!$G$10,IF(B195&lt;Dashboard!$I$6,IF($J$2&lt;=Dashboard!$H$10,Dashboard!$H$10,MAX(Dashboard!$H$10,MIN($J$2,Dashboard!$H$10*POWER($J$2/Dashboard!$H$10,A195/$D$2)))),$I$2-D195-Dashboard!$I$10-Dashboard!$J$10-Dashboard!$F$10*$I$2)))</f>
        <v>1789.4325484761255</v>
      </c>
      <c r="F195" s="24">
        <f t="shared" si="23"/>
        <v>0</v>
      </c>
      <c r="G195" s="24">
        <f t="shared" si="24"/>
        <v>0</v>
      </c>
      <c r="H195" s="24">
        <f t="shared" si="25"/>
        <v>0</v>
      </c>
      <c r="I195" s="24">
        <f t="shared" si="26"/>
        <v>1789.4325484761255</v>
      </c>
      <c r="J195" s="25">
        <f t="shared" si="27"/>
        <v>7.9741404289037643E-3</v>
      </c>
      <c r="K195" s="24">
        <f t="shared" si="32"/>
        <v>899231.18843917421</v>
      </c>
      <c r="L195" s="24" t="str">
        <f t="shared" si="28"/>
        <v/>
      </c>
      <c r="M195" s="24">
        <f t="shared" si="29"/>
        <v>0</v>
      </c>
      <c r="N195" s="24">
        <f>IF(M195&lt;=0,0,IF($E$2-A195&lt;12,(M195-E195)*Dashboard!$B$18,IF($Q$2+A195&gt;=$R$2,MAX(0,M195-E195*POWER(1+$C$2,$E$2-A195))*MAX(Dashboard!$C$18,Dashboard!$B$18),IF($S$2&lt;$R$2,(M195-E195)*0.5*Dashboard!$B$18,(E195*POWER(1+$A$2,$R$2-($Q$2+A195))-E195)*0.5*Dashboard!$B$18+MAX(0,M195-E195*POWER(1+$A$2,$R$2-($Q$2+A195))*POWER(1+$C$2,$S$2-$R$2))*MAX(Dashboard!$C$18,Dashboard!$B$18)))))</f>
        <v>0</v>
      </c>
    </row>
    <row r="196" spans="1:14" x14ac:dyDescent="0.2">
      <c r="A196" s="22">
        <f t="shared" si="30"/>
        <v>191</v>
      </c>
      <c r="B196" s="23">
        <f t="shared" si="31"/>
        <v>33.971461187214466</v>
      </c>
      <c r="C196" t="str">
        <f t="shared" si="22"/>
        <v>33 y 11.66 m</v>
      </c>
      <c r="D196" s="24">
        <f>IF(A196&gt;=$E$2,IF(A196&lt;$E$2+$H$2,$P$2,0),IF(B196&lt;Dashboard!$I$6,0,IF(A196&gt;=$F$2,Dashboard!$C$23*POWER(1+$C$2,A196-$F$2),Dashboard!$C$23)))</f>
        <v>5092.3674515238745</v>
      </c>
      <c r="E196" s="24">
        <f>IF(A196&gt;=$F$2,0,IF(A196=0,Dashboard!$G$10,IF(B196&lt;Dashboard!$I$6,IF($J$2&lt;=Dashboard!$H$10,Dashboard!$H$10,MAX(Dashboard!$H$10,MIN($J$2,Dashboard!$H$10*POWER($J$2/Dashboard!$H$10,A196/$D$2)))),$I$2-D196-Dashboard!$I$10-Dashboard!$J$10-Dashboard!$F$10*$I$2)))</f>
        <v>1789.4325484761255</v>
      </c>
      <c r="F196" s="24">
        <f t="shared" si="23"/>
        <v>0</v>
      </c>
      <c r="G196" s="24">
        <f t="shared" si="24"/>
        <v>0</v>
      </c>
      <c r="H196" s="24">
        <f t="shared" si="25"/>
        <v>0</v>
      </c>
      <c r="I196" s="24">
        <f t="shared" si="26"/>
        <v>1789.4325484761255</v>
      </c>
      <c r="J196" s="25">
        <f t="shared" si="27"/>
        <v>7.9741404289037643E-3</v>
      </c>
      <c r="K196" s="24">
        <f t="shared" si="32"/>
        <v>908205.485948744</v>
      </c>
      <c r="L196" s="24" t="str">
        <f t="shared" si="28"/>
        <v/>
      </c>
      <c r="M196" s="24">
        <f t="shared" si="29"/>
        <v>0</v>
      </c>
      <c r="N196" s="24">
        <f>IF(M196&lt;=0,0,IF($E$2-A196&lt;12,(M196-E196)*Dashboard!$B$18,IF($Q$2+A196&gt;=$R$2,MAX(0,M196-E196*POWER(1+$C$2,$E$2-A196))*MAX(Dashboard!$C$18,Dashboard!$B$18),IF($S$2&lt;$R$2,(M196-E196)*0.5*Dashboard!$B$18,(E196*POWER(1+$A$2,$R$2-($Q$2+A196))-E196)*0.5*Dashboard!$B$18+MAX(0,M196-E196*POWER(1+$A$2,$R$2-($Q$2+A196))*POWER(1+$C$2,$S$2-$R$2))*MAX(Dashboard!$C$18,Dashboard!$B$18)))))</f>
        <v>0</v>
      </c>
    </row>
    <row r="197" spans="1:14" x14ac:dyDescent="0.2">
      <c r="A197" s="22">
        <f t="shared" si="30"/>
        <v>192</v>
      </c>
      <c r="B197" s="23">
        <f t="shared" si="31"/>
        <v>34.054794520547802</v>
      </c>
      <c r="C197" t="str">
        <f t="shared" ref="C197:C260" si="33">INT(B197)&amp;" y "&amp;ROUND((B197-INT(B197))*12,2)&amp;" m"</f>
        <v>34 y 0.66 m</v>
      </c>
      <c r="D197" s="24">
        <f>IF(A197&gt;=$E$2,IF(A197&lt;$E$2+$H$2,$P$2,0),IF(B197&lt;Dashboard!$I$6,0,IF(A197&gt;=$F$2,Dashboard!$C$23*POWER(1+$C$2,A197-$F$2),Dashboard!$C$23)))</f>
        <v>5092.3674515238745</v>
      </c>
      <c r="E197" s="24">
        <f>IF(A197&gt;=$F$2,0,IF(A197=0,Dashboard!$G$10,IF(B197&lt;Dashboard!$I$6,IF($J$2&lt;=Dashboard!$H$10,Dashboard!$H$10,MAX(Dashboard!$H$10,MIN($J$2,Dashboard!$H$10*POWER($J$2/Dashboard!$H$10,A197/$D$2)))),$I$2-D197-Dashboard!$I$10-Dashboard!$J$10-Dashboard!$F$10*$I$2)))</f>
        <v>1789.4325484761255</v>
      </c>
      <c r="F197" s="24">
        <f t="shared" ref="F197:F260" si="34">IF(A197&gt;=$F$2,$X$2*POWER(1+$C$2,A197-$F$2)+D197,0)</f>
        <v>0</v>
      </c>
      <c r="G197" s="24">
        <f t="shared" ref="G197:G260" si="35">IF(F197&lt;=0,0,IF(F197*12&lt;=18200,F197,IF(F197*12&lt;=40712,(18200+(F197*12-18200)/0.84)/12,IF(F197*12&lt;=103712,(45000+(F197*12-40712)/0.7)/12,IF(F197*12&lt;=138362,(135000+(F197*12-103712)/0.63)/12,(190000+(F197*12-138362)/0.55)/12)))))</f>
        <v>0</v>
      </c>
      <c r="H197" s="24">
        <f t="shared" ref="H197:H260" si="36">IF(A197=$E$2,$W$2,0)</f>
        <v>0</v>
      </c>
      <c r="I197" s="24">
        <f t="shared" ref="I197:I260" si="37">E197-G197-H197</f>
        <v>1789.4325484761255</v>
      </c>
      <c r="J197" s="25">
        <f t="shared" ref="J197:J260" si="38">IF(A197&gt;=$F$2,$B$2,$A$2)</f>
        <v>7.9741404289037643E-3</v>
      </c>
      <c r="K197" s="24">
        <f t="shared" si="32"/>
        <v>917251.34576690581</v>
      </c>
      <c r="L197" s="24" t="str">
        <f t="shared" ref="L197:L260" si="39">IF(A197&gt;=$F$2,K197,"")</f>
        <v/>
      </c>
      <c r="M197" s="24">
        <f t="shared" ref="M197:M260" si="40">IF(AND(A197&lt;$E$2,E197&gt;0),E197*POWER(1+$A$2,$E$2-A197),0)</f>
        <v>0</v>
      </c>
      <c r="N197" s="24">
        <f>IF(M197&lt;=0,0,IF($E$2-A197&lt;12,(M197-E197)*Dashboard!$B$18,IF($Q$2+A197&gt;=$R$2,MAX(0,M197-E197*POWER(1+$C$2,$E$2-A197))*MAX(Dashboard!$C$18,Dashboard!$B$18),IF($S$2&lt;$R$2,(M197-E197)*0.5*Dashboard!$B$18,(E197*POWER(1+$A$2,$R$2-($Q$2+A197))-E197)*0.5*Dashboard!$B$18+MAX(0,M197-E197*POWER(1+$A$2,$R$2-($Q$2+A197))*POWER(1+$C$2,$S$2-$R$2))*MAX(Dashboard!$C$18,Dashboard!$B$18)))))</f>
        <v>0</v>
      </c>
    </row>
    <row r="198" spans="1:14" x14ac:dyDescent="0.2">
      <c r="A198" s="22">
        <f t="shared" ref="A198:A261" si="41">A197+1</f>
        <v>193</v>
      </c>
      <c r="B198" s="23">
        <f t="shared" ref="B198:B261" si="42">B197+1/12</f>
        <v>34.138127853881137</v>
      </c>
      <c r="C198" t="str">
        <f t="shared" si="33"/>
        <v>34 y 1.66 m</v>
      </c>
      <c r="D198" s="24">
        <f>IF(A198&gt;=$E$2,IF(A198&lt;$E$2+$H$2,$P$2,0),IF(B198&lt;Dashboard!$I$6,0,IF(A198&gt;=$F$2,Dashboard!$C$23*POWER(1+$C$2,A198-$F$2),Dashboard!$C$23)))</f>
        <v>5092.3674515238745</v>
      </c>
      <c r="E198" s="24">
        <f>IF(A198&gt;=$F$2,0,IF(A198=0,Dashboard!$G$10,IF(B198&lt;Dashboard!$I$6,IF($J$2&lt;=Dashboard!$H$10,Dashboard!$H$10,MAX(Dashboard!$H$10,MIN($J$2,Dashboard!$H$10*POWER($J$2/Dashboard!$H$10,A198/$D$2)))),$I$2-D198-Dashboard!$I$10-Dashboard!$J$10-Dashboard!$F$10*$I$2)))</f>
        <v>1789.4325484761255</v>
      </c>
      <c r="F198" s="24">
        <f t="shared" si="34"/>
        <v>0</v>
      </c>
      <c r="G198" s="24">
        <f t="shared" si="35"/>
        <v>0</v>
      </c>
      <c r="H198" s="24">
        <f t="shared" si="36"/>
        <v>0</v>
      </c>
      <c r="I198" s="24">
        <f t="shared" si="37"/>
        <v>1789.4325484761255</v>
      </c>
      <c r="J198" s="25">
        <f t="shared" si="38"/>
        <v>7.9741404289037643E-3</v>
      </c>
      <c r="K198" s="24">
        <f t="shared" ref="K198:K261" si="43">(K197+I198)*(1+J198)</f>
        <v>926369.33854155778</v>
      </c>
      <c r="L198" s="24" t="str">
        <f t="shared" si="39"/>
        <v/>
      </c>
      <c r="M198" s="24">
        <f t="shared" si="40"/>
        <v>0</v>
      </c>
      <c r="N198" s="24">
        <f>IF(M198&lt;=0,0,IF($E$2-A198&lt;12,(M198-E198)*Dashboard!$B$18,IF($Q$2+A198&gt;=$R$2,MAX(0,M198-E198*POWER(1+$C$2,$E$2-A198))*MAX(Dashboard!$C$18,Dashboard!$B$18),IF($S$2&lt;$R$2,(M198-E198)*0.5*Dashboard!$B$18,(E198*POWER(1+$A$2,$R$2-($Q$2+A198))-E198)*0.5*Dashboard!$B$18+MAX(0,M198-E198*POWER(1+$A$2,$R$2-($Q$2+A198))*POWER(1+$C$2,$S$2-$R$2))*MAX(Dashboard!$C$18,Dashboard!$B$18)))))</f>
        <v>0</v>
      </c>
    </row>
    <row r="199" spans="1:14" x14ac:dyDescent="0.2">
      <c r="A199" s="22">
        <f t="shared" si="41"/>
        <v>194</v>
      </c>
      <c r="B199" s="23">
        <f t="shared" si="42"/>
        <v>34.221461187214473</v>
      </c>
      <c r="C199" t="str">
        <f t="shared" si="33"/>
        <v>34 y 2.66 m</v>
      </c>
      <c r="D199" s="24">
        <f>IF(A199&gt;=$E$2,IF(A199&lt;$E$2+$H$2,$P$2,0),IF(B199&lt;Dashboard!$I$6,0,IF(A199&gt;=$F$2,Dashboard!$C$23*POWER(1+$C$2,A199-$F$2),Dashboard!$C$23)))</f>
        <v>5092.3674515238745</v>
      </c>
      <c r="E199" s="24">
        <f>IF(A199&gt;=$F$2,0,IF(A199=0,Dashboard!$G$10,IF(B199&lt;Dashboard!$I$6,IF($J$2&lt;=Dashboard!$H$10,Dashboard!$H$10,MAX(Dashboard!$H$10,MIN($J$2,Dashboard!$H$10*POWER($J$2/Dashboard!$H$10,A199/$D$2)))),$I$2-D199-Dashboard!$I$10-Dashboard!$J$10-Dashboard!$F$10*$I$2)))</f>
        <v>1789.4325484761255</v>
      </c>
      <c r="F199" s="24">
        <f t="shared" si="34"/>
        <v>0</v>
      </c>
      <c r="G199" s="24">
        <f t="shared" si="35"/>
        <v>0</v>
      </c>
      <c r="H199" s="24">
        <f t="shared" si="36"/>
        <v>0</v>
      </c>
      <c r="I199" s="24">
        <f t="shared" si="37"/>
        <v>1789.4325484761255</v>
      </c>
      <c r="J199" s="25">
        <f t="shared" si="38"/>
        <v>7.9741404289037643E-3</v>
      </c>
      <c r="K199" s="24">
        <f t="shared" si="43"/>
        <v>935560.03947102465</v>
      </c>
      <c r="L199" s="24" t="str">
        <f t="shared" si="39"/>
        <v/>
      </c>
      <c r="M199" s="24">
        <f t="shared" si="40"/>
        <v>0</v>
      </c>
      <c r="N199" s="24">
        <f>IF(M199&lt;=0,0,IF($E$2-A199&lt;12,(M199-E199)*Dashboard!$B$18,IF($Q$2+A199&gt;=$R$2,MAX(0,M199-E199*POWER(1+$C$2,$E$2-A199))*MAX(Dashboard!$C$18,Dashboard!$B$18),IF($S$2&lt;$R$2,(M199-E199)*0.5*Dashboard!$B$18,(E199*POWER(1+$A$2,$R$2-($Q$2+A199))-E199)*0.5*Dashboard!$B$18+MAX(0,M199-E199*POWER(1+$A$2,$R$2-($Q$2+A199))*POWER(1+$C$2,$S$2-$R$2))*MAX(Dashboard!$C$18,Dashboard!$B$18)))))</f>
        <v>0</v>
      </c>
    </row>
    <row r="200" spans="1:14" x14ac:dyDescent="0.2">
      <c r="A200" s="22">
        <f t="shared" si="41"/>
        <v>195</v>
      </c>
      <c r="B200" s="23">
        <f t="shared" si="42"/>
        <v>34.304794520547809</v>
      </c>
      <c r="C200" t="str">
        <f t="shared" si="33"/>
        <v>34 y 3.66 m</v>
      </c>
      <c r="D200" s="24">
        <f>IF(A200&gt;=$E$2,IF(A200&lt;$E$2+$H$2,$P$2,0),IF(B200&lt;Dashboard!$I$6,0,IF(A200&gt;=$F$2,Dashboard!$C$23*POWER(1+$C$2,A200-$F$2),Dashboard!$C$23)))</f>
        <v>5092.3674515238745</v>
      </c>
      <c r="E200" s="24">
        <f>IF(A200&gt;=$F$2,0,IF(A200=0,Dashboard!$G$10,IF(B200&lt;Dashboard!$I$6,IF($J$2&lt;=Dashboard!$H$10,Dashboard!$H$10,MAX(Dashboard!$H$10,MIN($J$2,Dashboard!$H$10*POWER($J$2/Dashboard!$H$10,A200/$D$2)))),$I$2-D200-Dashboard!$I$10-Dashboard!$J$10-Dashboard!$F$10*$I$2)))</f>
        <v>1789.4325484761255</v>
      </c>
      <c r="F200" s="24">
        <f t="shared" si="34"/>
        <v>0</v>
      </c>
      <c r="G200" s="24">
        <f t="shared" si="35"/>
        <v>0</v>
      </c>
      <c r="H200" s="24">
        <f t="shared" si="36"/>
        <v>0</v>
      </c>
      <c r="I200" s="24">
        <f t="shared" si="37"/>
        <v>1789.4325484761255</v>
      </c>
      <c r="J200" s="25">
        <f t="shared" si="38"/>
        <v>7.9741404289037643E-3</v>
      </c>
      <c r="K200" s="24">
        <f t="shared" si="43"/>
        <v>944824.02834034315</v>
      </c>
      <c r="L200" s="24" t="str">
        <f t="shared" si="39"/>
        <v/>
      </c>
      <c r="M200" s="24">
        <f t="shared" si="40"/>
        <v>0</v>
      </c>
      <c r="N200" s="24">
        <f>IF(M200&lt;=0,0,IF($E$2-A200&lt;12,(M200-E200)*Dashboard!$B$18,IF($Q$2+A200&gt;=$R$2,MAX(0,M200-E200*POWER(1+$C$2,$E$2-A200))*MAX(Dashboard!$C$18,Dashboard!$B$18),IF($S$2&lt;$R$2,(M200-E200)*0.5*Dashboard!$B$18,(E200*POWER(1+$A$2,$R$2-($Q$2+A200))-E200)*0.5*Dashboard!$B$18+MAX(0,M200-E200*POWER(1+$A$2,$R$2-($Q$2+A200))*POWER(1+$C$2,$S$2-$R$2))*MAX(Dashboard!$C$18,Dashboard!$B$18)))))</f>
        <v>0</v>
      </c>
    </row>
    <row r="201" spans="1:14" x14ac:dyDescent="0.2">
      <c r="A201" s="22">
        <f t="shared" si="41"/>
        <v>196</v>
      </c>
      <c r="B201" s="23">
        <f t="shared" si="42"/>
        <v>34.388127853881144</v>
      </c>
      <c r="C201" t="str">
        <f t="shared" si="33"/>
        <v>34 y 4.66 m</v>
      </c>
      <c r="D201" s="24">
        <f>IF(A201&gt;=$E$2,IF(A201&lt;$E$2+$H$2,$P$2,0),IF(B201&lt;Dashboard!$I$6,0,IF(A201&gt;=$F$2,Dashboard!$C$23*POWER(1+$C$2,A201-$F$2),Dashboard!$C$23)))</f>
        <v>5092.3674515238745</v>
      </c>
      <c r="E201" s="24">
        <f>IF(A201&gt;=$F$2,0,IF(A201=0,Dashboard!$G$10,IF(B201&lt;Dashboard!$I$6,IF($J$2&lt;=Dashboard!$H$10,Dashboard!$H$10,MAX(Dashboard!$H$10,MIN($J$2,Dashboard!$H$10*POWER($J$2/Dashboard!$H$10,A201/$D$2)))),$I$2-D201-Dashboard!$I$10-Dashboard!$J$10-Dashboard!$F$10*$I$2)))</f>
        <v>1789.4325484761255</v>
      </c>
      <c r="F201" s="24">
        <f t="shared" si="34"/>
        <v>0</v>
      </c>
      <c r="G201" s="24">
        <f t="shared" si="35"/>
        <v>0</v>
      </c>
      <c r="H201" s="24">
        <f t="shared" si="36"/>
        <v>0</v>
      </c>
      <c r="I201" s="24">
        <f t="shared" si="37"/>
        <v>1789.4325484761255</v>
      </c>
      <c r="J201" s="25">
        <f t="shared" si="38"/>
        <v>7.9741404289037643E-3</v>
      </c>
      <c r="K201" s="24">
        <f t="shared" si="43"/>
        <v>954161.88955783739</v>
      </c>
      <c r="L201" s="24" t="str">
        <f t="shared" si="39"/>
        <v/>
      </c>
      <c r="M201" s="24">
        <f t="shared" si="40"/>
        <v>0</v>
      </c>
      <c r="N201" s="24">
        <f>IF(M201&lt;=0,0,IF($E$2-A201&lt;12,(M201-E201)*Dashboard!$B$18,IF($Q$2+A201&gt;=$R$2,MAX(0,M201-E201*POWER(1+$C$2,$E$2-A201))*MAX(Dashboard!$C$18,Dashboard!$B$18),IF($S$2&lt;$R$2,(M201-E201)*0.5*Dashboard!$B$18,(E201*POWER(1+$A$2,$R$2-($Q$2+A201))-E201)*0.5*Dashboard!$B$18+MAX(0,M201-E201*POWER(1+$A$2,$R$2-($Q$2+A201))*POWER(1+$C$2,$S$2-$R$2))*MAX(Dashboard!$C$18,Dashboard!$B$18)))))</f>
        <v>0</v>
      </c>
    </row>
    <row r="202" spans="1:14" x14ac:dyDescent="0.2">
      <c r="A202" s="22">
        <f t="shared" si="41"/>
        <v>197</v>
      </c>
      <c r="B202" s="23">
        <f t="shared" si="42"/>
        <v>34.47146118721448</v>
      </c>
      <c r="C202" t="str">
        <f t="shared" si="33"/>
        <v>34 y 5.66 m</v>
      </c>
      <c r="D202" s="24">
        <f>IF(A202&gt;=$E$2,IF(A202&lt;$E$2+$H$2,$P$2,0),IF(B202&lt;Dashboard!$I$6,0,IF(A202&gt;=$F$2,Dashboard!$C$23*POWER(1+$C$2,A202-$F$2),Dashboard!$C$23)))</f>
        <v>5092.3674515238745</v>
      </c>
      <c r="E202" s="24">
        <f>IF(A202&gt;=$F$2,0,IF(A202=0,Dashboard!$G$10,IF(B202&lt;Dashboard!$I$6,IF($J$2&lt;=Dashboard!$H$10,Dashboard!$H$10,MAX(Dashboard!$H$10,MIN($J$2,Dashboard!$H$10*POWER($J$2/Dashboard!$H$10,A202/$D$2)))),$I$2-D202-Dashboard!$I$10-Dashboard!$J$10-Dashboard!$F$10*$I$2)))</f>
        <v>1789.4325484761255</v>
      </c>
      <c r="F202" s="24">
        <f t="shared" si="34"/>
        <v>0</v>
      </c>
      <c r="G202" s="24">
        <f t="shared" si="35"/>
        <v>0</v>
      </c>
      <c r="H202" s="24">
        <f t="shared" si="36"/>
        <v>0</v>
      </c>
      <c r="I202" s="24">
        <f t="shared" si="37"/>
        <v>1789.4325484761255</v>
      </c>
      <c r="J202" s="25">
        <f t="shared" si="38"/>
        <v>7.9741404289037643E-3</v>
      </c>
      <c r="K202" s="24">
        <f t="shared" si="43"/>
        <v>963574.21219198545</v>
      </c>
      <c r="L202" s="24" t="str">
        <f t="shared" si="39"/>
        <v/>
      </c>
      <c r="M202" s="24">
        <f t="shared" si="40"/>
        <v>0</v>
      </c>
      <c r="N202" s="24">
        <f>IF(M202&lt;=0,0,IF($E$2-A202&lt;12,(M202-E202)*Dashboard!$B$18,IF($Q$2+A202&gt;=$R$2,MAX(0,M202-E202*POWER(1+$C$2,$E$2-A202))*MAX(Dashboard!$C$18,Dashboard!$B$18),IF($S$2&lt;$R$2,(M202-E202)*0.5*Dashboard!$B$18,(E202*POWER(1+$A$2,$R$2-($Q$2+A202))-E202)*0.5*Dashboard!$B$18+MAX(0,M202-E202*POWER(1+$A$2,$R$2-($Q$2+A202))*POWER(1+$C$2,$S$2-$R$2))*MAX(Dashboard!$C$18,Dashboard!$B$18)))))</f>
        <v>0</v>
      </c>
    </row>
    <row r="203" spans="1:14" x14ac:dyDescent="0.2">
      <c r="A203" s="22">
        <f t="shared" si="41"/>
        <v>198</v>
      </c>
      <c r="B203" s="23">
        <f t="shared" si="42"/>
        <v>34.554794520547816</v>
      </c>
      <c r="C203" t="str">
        <f t="shared" si="33"/>
        <v>34 y 6.66 m</v>
      </c>
      <c r="D203" s="24">
        <f>IF(A203&gt;=$E$2,IF(A203&lt;$E$2+$H$2,$P$2,0),IF(B203&lt;Dashboard!$I$6,0,IF(A203&gt;=$F$2,Dashboard!$C$23*POWER(1+$C$2,A203-$F$2),Dashboard!$C$23)))</f>
        <v>5092.3674515238745</v>
      </c>
      <c r="E203" s="24">
        <f>IF(A203&gt;=$F$2,0,IF(A203=0,Dashboard!$G$10,IF(B203&lt;Dashboard!$I$6,IF($J$2&lt;=Dashboard!$H$10,Dashboard!$H$10,MAX(Dashboard!$H$10,MIN($J$2,Dashboard!$H$10*POWER($J$2/Dashboard!$H$10,A203/$D$2)))),$I$2-D203-Dashboard!$I$10-Dashboard!$J$10-Dashboard!$F$10*$I$2)))</f>
        <v>1789.4325484761255</v>
      </c>
      <c r="F203" s="24">
        <f t="shared" si="34"/>
        <v>0</v>
      </c>
      <c r="G203" s="24">
        <f t="shared" si="35"/>
        <v>0</v>
      </c>
      <c r="H203" s="24">
        <f t="shared" si="36"/>
        <v>0</v>
      </c>
      <c r="I203" s="24">
        <f t="shared" si="37"/>
        <v>1789.4325484761255</v>
      </c>
      <c r="J203" s="25">
        <f t="shared" si="38"/>
        <v>7.9741404289037643E-3</v>
      </c>
      <c r="K203" s="24">
        <f t="shared" si="43"/>
        <v>973061.59000858036</v>
      </c>
      <c r="L203" s="24" t="str">
        <f t="shared" si="39"/>
        <v/>
      </c>
      <c r="M203" s="24">
        <f t="shared" si="40"/>
        <v>0</v>
      </c>
      <c r="N203" s="24">
        <f>IF(M203&lt;=0,0,IF($E$2-A203&lt;12,(M203-E203)*Dashboard!$B$18,IF($Q$2+A203&gt;=$R$2,MAX(0,M203-E203*POWER(1+$C$2,$E$2-A203))*MAX(Dashboard!$C$18,Dashboard!$B$18),IF($S$2&lt;$R$2,(M203-E203)*0.5*Dashboard!$B$18,(E203*POWER(1+$A$2,$R$2-($Q$2+A203))-E203)*0.5*Dashboard!$B$18+MAX(0,M203-E203*POWER(1+$A$2,$R$2-($Q$2+A203))*POWER(1+$C$2,$S$2-$R$2))*MAX(Dashboard!$C$18,Dashboard!$B$18)))))</f>
        <v>0</v>
      </c>
    </row>
    <row r="204" spans="1:14" x14ac:dyDescent="0.2">
      <c r="A204" s="22">
        <f t="shared" si="41"/>
        <v>199</v>
      </c>
      <c r="B204" s="23">
        <f t="shared" si="42"/>
        <v>34.638127853881151</v>
      </c>
      <c r="C204" t="str">
        <f t="shared" si="33"/>
        <v>34 y 7.66 m</v>
      </c>
      <c r="D204" s="24">
        <f>IF(A204&gt;=$E$2,IF(A204&lt;$E$2+$H$2,$P$2,0),IF(B204&lt;Dashboard!$I$6,0,IF(A204&gt;=$F$2,Dashboard!$C$23*POWER(1+$C$2,A204-$F$2),Dashboard!$C$23)))</f>
        <v>5092.3674515238745</v>
      </c>
      <c r="E204" s="24">
        <f>IF(A204&gt;=$F$2,0,IF(A204=0,Dashboard!$G$10,IF(B204&lt;Dashboard!$I$6,IF($J$2&lt;=Dashboard!$H$10,Dashboard!$H$10,MAX(Dashboard!$H$10,MIN($J$2,Dashboard!$H$10*POWER($J$2/Dashboard!$H$10,A204/$D$2)))),$I$2-D204-Dashboard!$I$10-Dashboard!$J$10-Dashboard!$F$10*$I$2)))</f>
        <v>1789.4325484761255</v>
      </c>
      <c r="F204" s="24">
        <f t="shared" si="34"/>
        <v>0</v>
      </c>
      <c r="G204" s="24">
        <f t="shared" si="35"/>
        <v>0</v>
      </c>
      <c r="H204" s="24">
        <f t="shared" si="36"/>
        <v>0</v>
      </c>
      <c r="I204" s="24">
        <f t="shared" si="37"/>
        <v>1789.4325484761255</v>
      </c>
      <c r="J204" s="25">
        <f t="shared" si="38"/>
        <v>7.9741404289037643E-3</v>
      </c>
      <c r="K204" s="24">
        <f t="shared" si="43"/>
        <v>982624.62150818692</v>
      </c>
      <c r="L204" s="24" t="str">
        <f t="shared" si="39"/>
        <v/>
      </c>
      <c r="M204" s="24">
        <f t="shared" si="40"/>
        <v>0</v>
      </c>
      <c r="N204" s="24">
        <f>IF(M204&lt;=0,0,IF($E$2-A204&lt;12,(M204-E204)*Dashboard!$B$18,IF($Q$2+A204&gt;=$R$2,MAX(0,M204-E204*POWER(1+$C$2,$E$2-A204))*MAX(Dashboard!$C$18,Dashboard!$B$18),IF($S$2&lt;$R$2,(M204-E204)*0.5*Dashboard!$B$18,(E204*POWER(1+$A$2,$R$2-($Q$2+A204))-E204)*0.5*Dashboard!$B$18+MAX(0,M204-E204*POWER(1+$A$2,$R$2-($Q$2+A204))*POWER(1+$C$2,$S$2-$R$2))*MAX(Dashboard!$C$18,Dashboard!$B$18)))))</f>
        <v>0</v>
      </c>
    </row>
    <row r="205" spans="1:14" x14ac:dyDescent="0.2">
      <c r="A205" s="22">
        <f t="shared" si="41"/>
        <v>200</v>
      </c>
      <c r="B205" s="23">
        <f t="shared" si="42"/>
        <v>34.721461187214487</v>
      </c>
      <c r="C205" t="str">
        <f t="shared" si="33"/>
        <v>34 y 8.66 m</v>
      </c>
      <c r="D205" s="24">
        <f>IF(A205&gt;=$E$2,IF(A205&lt;$E$2+$H$2,$P$2,0),IF(B205&lt;Dashboard!$I$6,0,IF(A205&gt;=$F$2,Dashboard!$C$23*POWER(1+$C$2,A205-$F$2),Dashboard!$C$23)))</f>
        <v>5092.3674515238745</v>
      </c>
      <c r="E205" s="24">
        <f>IF(A205&gt;=$F$2,0,IF(A205=0,Dashboard!$G$10,IF(B205&lt;Dashboard!$I$6,IF($J$2&lt;=Dashboard!$H$10,Dashboard!$H$10,MAX(Dashboard!$H$10,MIN($J$2,Dashboard!$H$10*POWER($J$2/Dashboard!$H$10,A205/$D$2)))),$I$2-D205-Dashboard!$I$10-Dashboard!$J$10-Dashboard!$F$10*$I$2)))</f>
        <v>1789.4325484761255</v>
      </c>
      <c r="F205" s="24">
        <f t="shared" si="34"/>
        <v>0</v>
      </c>
      <c r="G205" s="24">
        <f t="shared" si="35"/>
        <v>0</v>
      </c>
      <c r="H205" s="24">
        <f t="shared" si="36"/>
        <v>0</v>
      </c>
      <c r="I205" s="24">
        <f t="shared" si="37"/>
        <v>1789.4325484761255</v>
      </c>
      <c r="J205" s="25">
        <f t="shared" si="38"/>
        <v>7.9741404289037643E-3</v>
      </c>
      <c r="K205" s="24">
        <f t="shared" si="43"/>
        <v>992263.90996389731</v>
      </c>
      <c r="L205" s="24" t="str">
        <f t="shared" si="39"/>
        <v/>
      </c>
      <c r="M205" s="24">
        <f t="shared" si="40"/>
        <v>0</v>
      </c>
      <c r="N205" s="24">
        <f>IF(M205&lt;=0,0,IF($E$2-A205&lt;12,(M205-E205)*Dashboard!$B$18,IF($Q$2+A205&gt;=$R$2,MAX(0,M205-E205*POWER(1+$C$2,$E$2-A205))*MAX(Dashboard!$C$18,Dashboard!$B$18),IF($S$2&lt;$R$2,(M205-E205)*0.5*Dashboard!$B$18,(E205*POWER(1+$A$2,$R$2-($Q$2+A205))-E205)*0.5*Dashboard!$B$18+MAX(0,M205-E205*POWER(1+$A$2,$R$2-($Q$2+A205))*POWER(1+$C$2,$S$2-$R$2))*MAX(Dashboard!$C$18,Dashboard!$B$18)))))</f>
        <v>0</v>
      </c>
    </row>
    <row r="206" spans="1:14" x14ac:dyDescent="0.2">
      <c r="A206" s="22">
        <f t="shared" si="41"/>
        <v>201</v>
      </c>
      <c r="B206" s="23">
        <f t="shared" si="42"/>
        <v>34.804794520547823</v>
      </c>
      <c r="C206" t="str">
        <f t="shared" si="33"/>
        <v>34 y 9.66 m</v>
      </c>
      <c r="D206" s="24">
        <f>IF(A206&gt;=$E$2,IF(A206&lt;$E$2+$H$2,$P$2,0),IF(B206&lt;Dashboard!$I$6,0,IF(A206&gt;=$F$2,Dashboard!$C$23*POWER(1+$C$2,A206-$F$2),Dashboard!$C$23)))</f>
        <v>5092.3674515238745</v>
      </c>
      <c r="E206" s="24">
        <f>IF(A206&gt;=$F$2,0,IF(A206=0,Dashboard!$G$10,IF(B206&lt;Dashboard!$I$6,IF($J$2&lt;=Dashboard!$H$10,Dashboard!$H$10,MAX(Dashboard!$H$10,MIN($J$2,Dashboard!$H$10*POWER($J$2/Dashboard!$H$10,A206/$D$2)))),$I$2-D206-Dashboard!$I$10-Dashboard!$J$10-Dashboard!$F$10*$I$2)))</f>
        <v>1789.4325484761255</v>
      </c>
      <c r="F206" s="24">
        <f t="shared" si="34"/>
        <v>0</v>
      </c>
      <c r="G206" s="24">
        <f t="shared" si="35"/>
        <v>0</v>
      </c>
      <c r="H206" s="24">
        <f t="shared" si="36"/>
        <v>0</v>
      </c>
      <c r="I206" s="24">
        <f t="shared" si="37"/>
        <v>1789.4325484761255</v>
      </c>
      <c r="J206" s="25">
        <f t="shared" si="38"/>
        <v>7.9741404289037643E-3</v>
      </c>
      <c r="K206" s="24">
        <f t="shared" si="43"/>
        <v>1001980.0634593883</v>
      </c>
      <c r="L206" s="24" t="str">
        <f t="shared" si="39"/>
        <v/>
      </c>
      <c r="M206" s="24">
        <f t="shared" si="40"/>
        <v>0</v>
      </c>
      <c r="N206" s="24">
        <f>IF(M206&lt;=0,0,IF($E$2-A206&lt;12,(M206-E206)*Dashboard!$B$18,IF($Q$2+A206&gt;=$R$2,MAX(0,M206-E206*POWER(1+$C$2,$E$2-A206))*MAX(Dashboard!$C$18,Dashboard!$B$18),IF($S$2&lt;$R$2,(M206-E206)*0.5*Dashboard!$B$18,(E206*POWER(1+$A$2,$R$2-($Q$2+A206))-E206)*0.5*Dashboard!$B$18+MAX(0,M206-E206*POWER(1+$A$2,$R$2-($Q$2+A206))*POWER(1+$C$2,$S$2-$R$2))*MAX(Dashboard!$C$18,Dashboard!$B$18)))))</f>
        <v>0</v>
      </c>
    </row>
    <row r="207" spans="1:14" x14ac:dyDescent="0.2">
      <c r="A207" s="22">
        <f t="shared" si="41"/>
        <v>202</v>
      </c>
      <c r="B207" s="23">
        <f t="shared" si="42"/>
        <v>34.888127853881159</v>
      </c>
      <c r="C207" t="str">
        <f t="shared" si="33"/>
        <v>34 y 10.66 m</v>
      </c>
      <c r="D207" s="24">
        <f>IF(A207&gt;=$E$2,IF(A207&lt;$E$2+$H$2,$P$2,0),IF(B207&lt;Dashboard!$I$6,0,IF(A207&gt;=$F$2,Dashboard!$C$23*POWER(1+$C$2,A207-$F$2),Dashboard!$C$23)))</f>
        <v>5092.3674515238745</v>
      </c>
      <c r="E207" s="24">
        <f>IF(A207&gt;=$F$2,0,IF(A207=0,Dashboard!$G$10,IF(B207&lt;Dashboard!$I$6,IF($J$2&lt;=Dashboard!$H$10,Dashboard!$H$10,MAX(Dashboard!$H$10,MIN($J$2,Dashboard!$H$10*POWER($J$2/Dashboard!$H$10,A207/$D$2)))),$I$2-D207-Dashboard!$I$10-Dashboard!$J$10-Dashboard!$F$10*$I$2)))</f>
        <v>1789.4325484761255</v>
      </c>
      <c r="F207" s="24">
        <f t="shared" si="34"/>
        <v>0</v>
      </c>
      <c r="G207" s="24">
        <f t="shared" si="35"/>
        <v>0</v>
      </c>
      <c r="H207" s="24">
        <f t="shared" si="36"/>
        <v>0</v>
      </c>
      <c r="I207" s="24">
        <f t="shared" si="37"/>
        <v>1789.4325484761255</v>
      </c>
      <c r="J207" s="25">
        <f t="shared" si="38"/>
        <v>7.9741404289037643E-3</v>
      </c>
      <c r="K207" s="24">
        <f t="shared" si="43"/>
        <v>1011773.6949272811</v>
      </c>
      <c r="L207" s="24" t="str">
        <f t="shared" si="39"/>
        <v/>
      </c>
      <c r="M207" s="24">
        <f t="shared" si="40"/>
        <v>0</v>
      </c>
      <c r="N207" s="24">
        <f>IF(M207&lt;=0,0,IF($E$2-A207&lt;12,(M207-E207)*Dashboard!$B$18,IF($Q$2+A207&gt;=$R$2,MAX(0,M207-E207*POWER(1+$C$2,$E$2-A207))*MAX(Dashboard!$C$18,Dashboard!$B$18),IF($S$2&lt;$R$2,(M207-E207)*0.5*Dashboard!$B$18,(E207*POWER(1+$A$2,$R$2-($Q$2+A207))-E207)*0.5*Dashboard!$B$18+MAX(0,M207-E207*POWER(1+$A$2,$R$2-($Q$2+A207))*POWER(1+$C$2,$S$2-$R$2))*MAX(Dashboard!$C$18,Dashboard!$B$18)))))</f>
        <v>0</v>
      </c>
    </row>
    <row r="208" spans="1:14" x14ac:dyDescent="0.2">
      <c r="A208" s="22">
        <f t="shared" si="41"/>
        <v>203</v>
      </c>
      <c r="B208" s="23">
        <f t="shared" si="42"/>
        <v>34.971461187214494</v>
      </c>
      <c r="C208" t="str">
        <f t="shared" si="33"/>
        <v>34 y 11.66 m</v>
      </c>
      <c r="D208" s="24">
        <f>IF(A208&gt;=$E$2,IF(A208&lt;$E$2+$H$2,$P$2,0),IF(B208&lt;Dashboard!$I$6,0,IF(A208&gt;=$F$2,Dashboard!$C$23*POWER(1+$C$2,A208-$F$2),Dashboard!$C$23)))</f>
        <v>5092.3674515238745</v>
      </c>
      <c r="E208" s="24">
        <f>IF(A208&gt;=$F$2,0,IF(A208=0,Dashboard!$G$10,IF(B208&lt;Dashboard!$I$6,IF($J$2&lt;=Dashboard!$H$10,Dashboard!$H$10,MAX(Dashboard!$H$10,MIN($J$2,Dashboard!$H$10*POWER($J$2/Dashboard!$H$10,A208/$D$2)))),$I$2-D208-Dashboard!$I$10-Dashboard!$J$10-Dashboard!$F$10*$I$2)))</f>
        <v>1789.4325484761255</v>
      </c>
      <c r="F208" s="24">
        <f t="shared" si="34"/>
        <v>0</v>
      </c>
      <c r="G208" s="24">
        <f t="shared" si="35"/>
        <v>0</v>
      </c>
      <c r="H208" s="24">
        <f t="shared" si="36"/>
        <v>0</v>
      </c>
      <c r="I208" s="24">
        <f t="shared" si="37"/>
        <v>1789.4325484761255</v>
      </c>
      <c r="J208" s="25">
        <f t="shared" si="38"/>
        <v>7.9741404289037643E-3</v>
      </c>
      <c r="K208" s="24">
        <f t="shared" si="43"/>
        <v>1021645.4221878079</v>
      </c>
      <c r="L208" s="24" t="str">
        <f t="shared" si="39"/>
        <v/>
      </c>
      <c r="M208" s="24">
        <f t="shared" si="40"/>
        <v>0</v>
      </c>
      <c r="N208" s="24">
        <f>IF(M208&lt;=0,0,IF($E$2-A208&lt;12,(M208-E208)*Dashboard!$B$18,IF($Q$2+A208&gt;=$R$2,MAX(0,M208-E208*POWER(1+$C$2,$E$2-A208))*MAX(Dashboard!$C$18,Dashboard!$B$18),IF($S$2&lt;$R$2,(M208-E208)*0.5*Dashboard!$B$18,(E208*POWER(1+$A$2,$R$2-($Q$2+A208))-E208)*0.5*Dashboard!$B$18+MAX(0,M208-E208*POWER(1+$A$2,$R$2-($Q$2+A208))*POWER(1+$C$2,$S$2-$R$2))*MAX(Dashboard!$C$18,Dashboard!$B$18)))))</f>
        <v>0</v>
      </c>
    </row>
    <row r="209" spans="1:14" x14ac:dyDescent="0.2">
      <c r="A209" s="22">
        <f t="shared" si="41"/>
        <v>204</v>
      </c>
      <c r="B209" s="23">
        <f t="shared" si="42"/>
        <v>35.05479452054783</v>
      </c>
      <c r="C209" t="str">
        <f t="shared" si="33"/>
        <v>35 y 0.66 m</v>
      </c>
      <c r="D209" s="24">
        <f>IF(A209&gt;=$E$2,IF(A209&lt;$E$2+$H$2,$P$2,0),IF(B209&lt;Dashboard!$I$6,0,IF(A209&gt;=$F$2,Dashboard!$C$23*POWER(1+$C$2,A209-$F$2),Dashboard!$C$23)))</f>
        <v>5092.3674515238745</v>
      </c>
      <c r="E209" s="24">
        <f>IF(A209&gt;=$F$2,0,IF(A209=0,Dashboard!$G$10,IF(B209&lt;Dashboard!$I$6,IF($J$2&lt;=Dashboard!$H$10,Dashboard!$H$10,MAX(Dashboard!$H$10,MIN($J$2,Dashboard!$H$10*POWER($J$2/Dashboard!$H$10,A209/$D$2)))),$I$2-D209-Dashboard!$I$10-Dashboard!$J$10-Dashboard!$F$10*$I$2)))</f>
        <v>1789.4325484761255</v>
      </c>
      <c r="F209" s="24">
        <f t="shared" si="34"/>
        <v>0</v>
      </c>
      <c r="G209" s="24">
        <f t="shared" si="35"/>
        <v>0</v>
      </c>
      <c r="H209" s="24">
        <f t="shared" si="36"/>
        <v>0</v>
      </c>
      <c r="I209" s="24">
        <f t="shared" si="37"/>
        <v>1789.4325484761255</v>
      </c>
      <c r="J209" s="25">
        <f t="shared" si="38"/>
        <v>7.9741404289037643E-3</v>
      </c>
      <c r="K209" s="24">
        <f t="shared" si="43"/>
        <v>1031595.8679877858</v>
      </c>
      <c r="L209" s="24" t="str">
        <f t="shared" si="39"/>
        <v/>
      </c>
      <c r="M209" s="24">
        <f t="shared" si="40"/>
        <v>0</v>
      </c>
      <c r="N209" s="24">
        <f>IF(M209&lt;=0,0,IF($E$2-A209&lt;12,(M209-E209)*Dashboard!$B$18,IF($Q$2+A209&gt;=$R$2,MAX(0,M209-E209*POWER(1+$C$2,$E$2-A209))*MAX(Dashboard!$C$18,Dashboard!$B$18),IF($S$2&lt;$R$2,(M209-E209)*0.5*Dashboard!$B$18,(E209*POWER(1+$A$2,$R$2-($Q$2+A209))-E209)*0.5*Dashboard!$B$18+MAX(0,M209-E209*POWER(1+$A$2,$R$2-($Q$2+A209))*POWER(1+$C$2,$S$2-$R$2))*MAX(Dashboard!$C$18,Dashboard!$B$18)))))</f>
        <v>0</v>
      </c>
    </row>
    <row r="210" spans="1:14" x14ac:dyDescent="0.2">
      <c r="A210" s="22">
        <f t="shared" si="41"/>
        <v>205</v>
      </c>
      <c r="B210" s="23">
        <f t="shared" si="42"/>
        <v>35.138127853881166</v>
      </c>
      <c r="C210" t="str">
        <f t="shared" si="33"/>
        <v>35 y 1.66 m</v>
      </c>
      <c r="D210" s="24">
        <f>IF(A210&gt;=$E$2,IF(A210&lt;$E$2+$H$2,$P$2,0),IF(B210&lt;Dashboard!$I$6,0,IF(A210&gt;=$F$2,Dashboard!$C$23*POWER(1+$C$2,A210-$F$2),Dashboard!$C$23)))</f>
        <v>5092.3674515238745</v>
      </c>
      <c r="E210" s="24">
        <f>IF(A210&gt;=$F$2,0,IF(A210=0,Dashboard!$G$10,IF(B210&lt;Dashboard!$I$6,IF($J$2&lt;=Dashboard!$H$10,Dashboard!$H$10,MAX(Dashboard!$H$10,MIN($J$2,Dashboard!$H$10*POWER($J$2/Dashboard!$H$10,A210/$D$2)))),$I$2-D210-Dashboard!$I$10-Dashboard!$J$10-Dashboard!$F$10*$I$2)))</f>
        <v>1789.4325484761255</v>
      </c>
      <c r="F210" s="24">
        <f t="shared" si="34"/>
        <v>0</v>
      </c>
      <c r="G210" s="24">
        <f t="shared" si="35"/>
        <v>0</v>
      </c>
      <c r="H210" s="24">
        <f t="shared" si="36"/>
        <v>0</v>
      </c>
      <c r="I210" s="24">
        <f t="shared" si="37"/>
        <v>1789.4325484761255</v>
      </c>
      <c r="J210" s="25">
        <f t="shared" si="38"/>
        <v>7.9741404289037643E-3</v>
      </c>
      <c r="K210" s="24">
        <f t="shared" si="43"/>
        <v>1041625.660039903</v>
      </c>
      <c r="L210" s="24" t="str">
        <f t="shared" si="39"/>
        <v/>
      </c>
      <c r="M210" s="24">
        <f t="shared" si="40"/>
        <v>0</v>
      </c>
      <c r="N210" s="24">
        <f>IF(M210&lt;=0,0,IF($E$2-A210&lt;12,(M210-E210)*Dashboard!$B$18,IF($Q$2+A210&gt;=$R$2,MAX(0,M210-E210*POWER(1+$C$2,$E$2-A210))*MAX(Dashboard!$C$18,Dashboard!$B$18),IF($S$2&lt;$R$2,(M210-E210)*0.5*Dashboard!$B$18,(E210*POWER(1+$A$2,$R$2-($Q$2+A210))-E210)*0.5*Dashboard!$B$18+MAX(0,M210-E210*POWER(1+$A$2,$R$2-($Q$2+A210))*POWER(1+$C$2,$S$2-$R$2))*MAX(Dashboard!$C$18,Dashboard!$B$18)))))</f>
        <v>0</v>
      </c>
    </row>
    <row r="211" spans="1:14" x14ac:dyDescent="0.2">
      <c r="A211" s="22">
        <f t="shared" si="41"/>
        <v>206</v>
      </c>
      <c r="B211" s="23">
        <f t="shared" si="42"/>
        <v>35.221461187214501</v>
      </c>
      <c r="C211" t="str">
        <f t="shared" si="33"/>
        <v>35 y 2.66 m</v>
      </c>
      <c r="D211" s="24">
        <f>IF(A211&gt;=$E$2,IF(A211&lt;$E$2+$H$2,$P$2,0),IF(B211&lt;Dashboard!$I$6,0,IF(A211&gt;=$F$2,Dashboard!$C$23*POWER(1+$C$2,A211-$F$2),Dashboard!$C$23)))</f>
        <v>5092.3674515238745</v>
      </c>
      <c r="E211" s="24">
        <f>IF(A211&gt;=$F$2,0,IF(A211=0,Dashboard!$G$10,IF(B211&lt;Dashboard!$I$6,IF($J$2&lt;=Dashboard!$H$10,Dashboard!$H$10,MAX(Dashboard!$H$10,MIN($J$2,Dashboard!$H$10*POWER($J$2/Dashboard!$H$10,A211/$D$2)))),$I$2-D211-Dashboard!$I$10-Dashboard!$J$10-Dashboard!$F$10*$I$2)))</f>
        <v>1789.4325484761255</v>
      </c>
      <c r="F211" s="24">
        <f t="shared" si="34"/>
        <v>0</v>
      </c>
      <c r="G211" s="24">
        <f t="shared" si="35"/>
        <v>0</v>
      </c>
      <c r="H211" s="24">
        <f t="shared" si="36"/>
        <v>0</v>
      </c>
      <c r="I211" s="24">
        <f t="shared" si="37"/>
        <v>1789.4325484761255</v>
      </c>
      <c r="J211" s="25">
        <f t="shared" si="38"/>
        <v>7.9741404289037643E-3</v>
      </c>
      <c r="K211" s="24">
        <f t="shared" si="43"/>
        <v>1051735.4310623165</v>
      </c>
      <c r="L211" s="24" t="str">
        <f t="shared" si="39"/>
        <v/>
      </c>
      <c r="M211" s="24">
        <f t="shared" si="40"/>
        <v>0</v>
      </c>
      <c r="N211" s="24">
        <f>IF(M211&lt;=0,0,IF($E$2-A211&lt;12,(M211-E211)*Dashboard!$B$18,IF($Q$2+A211&gt;=$R$2,MAX(0,M211-E211*POWER(1+$C$2,$E$2-A211))*MAX(Dashboard!$C$18,Dashboard!$B$18),IF($S$2&lt;$R$2,(M211-E211)*0.5*Dashboard!$B$18,(E211*POWER(1+$A$2,$R$2-($Q$2+A211))-E211)*0.5*Dashboard!$B$18+MAX(0,M211-E211*POWER(1+$A$2,$R$2-($Q$2+A211))*POWER(1+$C$2,$S$2-$R$2))*MAX(Dashboard!$C$18,Dashboard!$B$18)))))</f>
        <v>0</v>
      </c>
    </row>
    <row r="212" spans="1:14" x14ac:dyDescent="0.2">
      <c r="A212" s="22">
        <f t="shared" si="41"/>
        <v>207</v>
      </c>
      <c r="B212" s="23">
        <f t="shared" si="42"/>
        <v>35.304794520547837</v>
      </c>
      <c r="C212" t="str">
        <f t="shared" si="33"/>
        <v>35 y 3.66 m</v>
      </c>
      <c r="D212" s="24">
        <f>IF(A212&gt;=$E$2,IF(A212&lt;$E$2+$H$2,$P$2,0),IF(B212&lt;Dashboard!$I$6,0,IF(A212&gt;=$F$2,Dashboard!$C$23*POWER(1+$C$2,A212-$F$2),Dashboard!$C$23)))</f>
        <v>5092.3674515238745</v>
      </c>
      <c r="E212" s="24">
        <f>IF(A212&gt;=$F$2,0,IF(A212=0,Dashboard!$G$10,IF(B212&lt;Dashboard!$I$6,IF($J$2&lt;=Dashboard!$H$10,Dashboard!$H$10,MAX(Dashboard!$H$10,MIN($J$2,Dashboard!$H$10*POWER($J$2/Dashboard!$H$10,A212/$D$2)))),$I$2-D212-Dashboard!$I$10-Dashboard!$J$10-Dashboard!$F$10*$I$2)))</f>
        <v>1789.4325484761255</v>
      </c>
      <c r="F212" s="24">
        <f t="shared" si="34"/>
        <v>0</v>
      </c>
      <c r="G212" s="24">
        <f t="shared" si="35"/>
        <v>0</v>
      </c>
      <c r="H212" s="24">
        <f t="shared" si="36"/>
        <v>0</v>
      </c>
      <c r="I212" s="24">
        <f t="shared" si="37"/>
        <v>1789.4325484761255</v>
      </c>
      <c r="J212" s="25">
        <f t="shared" si="38"/>
        <v>7.9741404289037643E-3</v>
      </c>
      <c r="K212" s="24">
        <f t="shared" si="43"/>
        <v>1061925.8188185669</v>
      </c>
      <c r="L212" s="24" t="str">
        <f t="shared" si="39"/>
        <v/>
      </c>
      <c r="M212" s="24">
        <f t="shared" si="40"/>
        <v>0</v>
      </c>
      <c r="N212" s="24">
        <f>IF(M212&lt;=0,0,IF($E$2-A212&lt;12,(M212-E212)*Dashboard!$B$18,IF($Q$2+A212&gt;=$R$2,MAX(0,M212-E212*POWER(1+$C$2,$E$2-A212))*MAX(Dashboard!$C$18,Dashboard!$B$18),IF($S$2&lt;$R$2,(M212-E212)*0.5*Dashboard!$B$18,(E212*POWER(1+$A$2,$R$2-($Q$2+A212))-E212)*0.5*Dashboard!$B$18+MAX(0,M212-E212*POWER(1+$A$2,$R$2-($Q$2+A212))*POWER(1+$C$2,$S$2-$R$2))*MAX(Dashboard!$C$18,Dashboard!$B$18)))))</f>
        <v>0</v>
      </c>
    </row>
    <row r="213" spans="1:14" x14ac:dyDescent="0.2">
      <c r="A213" s="22">
        <f t="shared" si="41"/>
        <v>208</v>
      </c>
      <c r="B213" s="23">
        <f t="shared" si="42"/>
        <v>35.388127853881173</v>
      </c>
      <c r="C213" t="str">
        <f t="shared" si="33"/>
        <v>35 y 4.66 m</v>
      </c>
      <c r="D213" s="24">
        <f>IF(A213&gt;=$E$2,IF(A213&lt;$E$2+$H$2,$P$2,0),IF(B213&lt;Dashboard!$I$6,0,IF(A213&gt;=$F$2,Dashboard!$C$23*POWER(1+$C$2,A213-$F$2),Dashboard!$C$23)))</f>
        <v>5092.3674515238745</v>
      </c>
      <c r="E213" s="24">
        <f>IF(A213&gt;=$F$2,0,IF(A213=0,Dashboard!$G$10,IF(B213&lt;Dashboard!$I$6,IF($J$2&lt;=Dashboard!$H$10,Dashboard!$H$10,MAX(Dashboard!$H$10,MIN($J$2,Dashboard!$H$10*POWER($J$2/Dashboard!$H$10,A213/$D$2)))),$I$2-D213-Dashboard!$I$10-Dashboard!$J$10-Dashboard!$F$10*$I$2)))</f>
        <v>1789.4325484761255</v>
      </c>
      <c r="F213" s="24">
        <f t="shared" si="34"/>
        <v>0</v>
      </c>
      <c r="G213" s="24">
        <f t="shared" si="35"/>
        <v>0</v>
      </c>
      <c r="H213" s="24">
        <f t="shared" si="36"/>
        <v>0</v>
      </c>
      <c r="I213" s="24">
        <f t="shared" si="37"/>
        <v>1789.4325484761255</v>
      </c>
      <c r="J213" s="25">
        <f t="shared" si="38"/>
        <v>7.9741404289037643E-3</v>
      </c>
      <c r="K213" s="24">
        <f t="shared" si="43"/>
        <v>1072197.4661578105</v>
      </c>
      <c r="L213" s="24" t="str">
        <f t="shared" si="39"/>
        <v/>
      </c>
      <c r="M213" s="24">
        <f t="shared" si="40"/>
        <v>0</v>
      </c>
      <c r="N213" s="24">
        <f>IF(M213&lt;=0,0,IF($E$2-A213&lt;12,(M213-E213)*Dashboard!$B$18,IF($Q$2+A213&gt;=$R$2,MAX(0,M213-E213*POWER(1+$C$2,$E$2-A213))*MAX(Dashboard!$C$18,Dashboard!$B$18),IF($S$2&lt;$R$2,(M213-E213)*0.5*Dashboard!$B$18,(E213*POWER(1+$A$2,$R$2-($Q$2+A213))-E213)*0.5*Dashboard!$B$18+MAX(0,M213-E213*POWER(1+$A$2,$R$2-($Q$2+A213))*POWER(1+$C$2,$S$2-$R$2))*MAX(Dashboard!$C$18,Dashboard!$B$18)))))</f>
        <v>0</v>
      </c>
    </row>
    <row r="214" spans="1:14" x14ac:dyDescent="0.2">
      <c r="A214" s="22">
        <f t="shared" si="41"/>
        <v>209</v>
      </c>
      <c r="B214" s="23">
        <f t="shared" si="42"/>
        <v>35.471461187214508</v>
      </c>
      <c r="C214" t="str">
        <f t="shared" si="33"/>
        <v>35 y 5.66 m</v>
      </c>
      <c r="D214" s="24">
        <f>IF(A214&gt;=$E$2,IF(A214&lt;$E$2+$H$2,$P$2,0),IF(B214&lt;Dashboard!$I$6,0,IF(A214&gt;=$F$2,Dashboard!$C$23*POWER(1+$C$2,A214-$F$2),Dashboard!$C$23)))</f>
        <v>5092.3674515238745</v>
      </c>
      <c r="E214" s="24">
        <f>IF(A214&gt;=$F$2,0,IF(A214=0,Dashboard!$G$10,IF(B214&lt;Dashboard!$I$6,IF($J$2&lt;=Dashboard!$H$10,Dashboard!$H$10,MAX(Dashboard!$H$10,MIN($J$2,Dashboard!$H$10*POWER($J$2/Dashboard!$H$10,A214/$D$2)))),$I$2-D214-Dashboard!$I$10-Dashboard!$J$10-Dashboard!$F$10*$I$2)))</f>
        <v>1789.4325484761255</v>
      </c>
      <c r="F214" s="24">
        <f t="shared" si="34"/>
        <v>0</v>
      </c>
      <c r="G214" s="24">
        <f t="shared" si="35"/>
        <v>0</v>
      </c>
      <c r="H214" s="24">
        <f t="shared" si="36"/>
        <v>0</v>
      </c>
      <c r="I214" s="24">
        <f t="shared" si="37"/>
        <v>1789.4325484761255</v>
      </c>
      <c r="J214" s="25">
        <f t="shared" si="38"/>
        <v>7.9741404289037643E-3</v>
      </c>
      <c r="K214" s="24">
        <f t="shared" si="43"/>
        <v>1082551.0210553734</v>
      </c>
      <c r="L214" s="24" t="str">
        <f t="shared" si="39"/>
        <v/>
      </c>
      <c r="M214" s="24">
        <f t="shared" si="40"/>
        <v>0</v>
      </c>
      <c r="N214" s="24">
        <f>IF(M214&lt;=0,0,IF($E$2-A214&lt;12,(M214-E214)*Dashboard!$B$18,IF($Q$2+A214&gt;=$R$2,MAX(0,M214-E214*POWER(1+$C$2,$E$2-A214))*MAX(Dashboard!$C$18,Dashboard!$B$18),IF($S$2&lt;$R$2,(M214-E214)*0.5*Dashboard!$B$18,(E214*POWER(1+$A$2,$R$2-($Q$2+A214))-E214)*0.5*Dashboard!$B$18+MAX(0,M214-E214*POWER(1+$A$2,$R$2-($Q$2+A214))*POWER(1+$C$2,$S$2-$R$2))*MAX(Dashboard!$C$18,Dashboard!$B$18)))))</f>
        <v>0</v>
      </c>
    </row>
    <row r="215" spans="1:14" x14ac:dyDescent="0.2">
      <c r="A215" s="22">
        <f t="shared" si="41"/>
        <v>210</v>
      </c>
      <c r="B215" s="23">
        <f t="shared" si="42"/>
        <v>35.554794520547844</v>
      </c>
      <c r="C215" t="str">
        <f t="shared" si="33"/>
        <v>35 y 6.66 m</v>
      </c>
      <c r="D215" s="24">
        <f>IF(A215&gt;=$E$2,IF(A215&lt;$E$2+$H$2,$P$2,0),IF(B215&lt;Dashboard!$I$6,0,IF(A215&gt;=$F$2,Dashboard!$C$23*POWER(1+$C$2,A215-$F$2),Dashboard!$C$23)))</f>
        <v>5092.3674515238745</v>
      </c>
      <c r="E215" s="24">
        <f>IF(A215&gt;=$F$2,0,IF(A215=0,Dashboard!$G$10,IF(B215&lt;Dashboard!$I$6,IF($J$2&lt;=Dashboard!$H$10,Dashboard!$H$10,MAX(Dashboard!$H$10,MIN($J$2,Dashboard!$H$10*POWER($J$2/Dashboard!$H$10,A215/$D$2)))),$I$2-D215-Dashboard!$I$10-Dashboard!$J$10-Dashboard!$F$10*$I$2)))</f>
        <v>1789.4325484761255</v>
      </c>
      <c r="F215" s="24">
        <f t="shared" si="34"/>
        <v>0</v>
      </c>
      <c r="G215" s="24">
        <f t="shared" si="35"/>
        <v>0</v>
      </c>
      <c r="H215" s="24">
        <f t="shared" si="36"/>
        <v>0</v>
      </c>
      <c r="I215" s="24">
        <f t="shared" si="37"/>
        <v>1789.4325484761255</v>
      </c>
      <c r="J215" s="25">
        <f t="shared" si="38"/>
        <v>7.9741404289037643E-3</v>
      </c>
      <c r="K215" s="24">
        <f t="shared" si="43"/>
        <v>1092987.1366536277</v>
      </c>
      <c r="L215" s="24" t="str">
        <f t="shared" si="39"/>
        <v/>
      </c>
      <c r="M215" s="24">
        <f t="shared" si="40"/>
        <v>0</v>
      </c>
      <c r="N215" s="24">
        <f>IF(M215&lt;=0,0,IF($E$2-A215&lt;12,(M215-E215)*Dashboard!$B$18,IF($Q$2+A215&gt;=$R$2,MAX(0,M215-E215*POWER(1+$C$2,$E$2-A215))*MAX(Dashboard!$C$18,Dashboard!$B$18),IF($S$2&lt;$R$2,(M215-E215)*0.5*Dashboard!$B$18,(E215*POWER(1+$A$2,$R$2-($Q$2+A215))-E215)*0.5*Dashboard!$B$18+MAX(0,M215-E215*POWER(1+$A$2,$R$2-($Q$2+A215))*POWER(1+$C$2,$S$2-$R$2))*MAX(Dashboard!$C$18,Dashboard!$B$18)))))</f>
        <v>0</v>
      </c>
    </row>
    <row r="216" spans="1:14" x14ac:dyDescent="0.2">
      <c r="A216" s="22">
        <f t="shared" si="41"/>
        <v>211</v>
      </c>
      <c r="B216" s="23">
        <f t="shared" si="42"/>
        <v>35.63812785388118</v>
      </c>
      <c r="C216" t="str">
        <f t="shared" si="33"/>
        <v>35 y 7.66 m</v>
      </c>
      <c r="D216" s="24">
        <f>IF(A216&gt;=$E$2,IF(A216&lt;$E$2+$H$2,$P$2,0),IF(B216&lt;Dashboard!$I$6,0,IF(A216&gt;=$F$2,Dashboard!$C$23*POWER(1+$C$2,A216-$F$2),Dashboard!$C$23)))</f>
        <v>5092.3674515238745</v>
      </c>
      <c r="E216" s="24">
        <f>IF(A216&gt;=$F$2,0,IF(A216=0,Dashboard!$G$10,IF(B216&lt;Dashboard!$I$6,IF($J$2&lt;=Dashboard!$H$10,Dashboard!$H$10,MAX(Dashboard!$H$10,MIN($J$2,Dashboard!$H$10*POWER($J$2/Dashboard!$H$10,A216/$D$2)))),$I$2-D216-Dashboard!$I$10-Dashboard!$J$10-Dashboard!$F$10*$I$2)))</f>
        <v>1789.4325484761255</v>
      </c>
      <c r="F216" s="24">
        <f t="shared" si="34"/>
        <v>0</v>
      </c>
      <c r="G216" s="24">
        <f t="shared" si="35"/>
        <v>0</v>
      </c>
      <c r="H216" s="24">
        <f t="shared" si="36"/>
        <v>0</v>
      </c>
      <c r="I216" s="24">
        <f t="shared" si="37"/>
        <v>1789.4325484761255</v>
      </c>
      <c r="J216" s="25">
        <f t="shared" si="38"/>
        <v>7.9741404289037643E-3</v>
      </c>
      <c r="K216" s="24">
        <f t="shared" si="43"/>
        <v>1103506.471303195</v>
      </c>
      <c r="L216" s="24" t="str">
        <f t="shared" si="39"/>
        <v/>
      </c>
      <c r="M216" s="24">
        <f t="shared" si="40"/>
        <v>0</v>
      </c>
      <c r="N216" s="24">
        <f>IF(M216&lt;=0,0,IF($E$2-A216&lt;12,(M216-E216)*Dashboard!$B$18,IF($Q$2+A216&gt;=$R$2,MAX(0,M216-E216*POWER(1+$C$2,$E$2-A216))*MAX(Dashboard!$C$18,Dashboard!$B$18),IF($S$2&lt;$R$2,(M216-E216)*0.5*Dashboard!$B$18,(E216*POWER(1+$A$2,$R$2-($Q$2+A216))-E216)*0.5*Dashboard!$B$18+MAX(0,M216-E216*POWER(1+$A$2,$R$2-($Q$2+A216))*POWER(1+$C$2,$S$2-$R$2))*MAX(Dashboard!$C$18,Dashboard!$B$18)))))</f>
        <v>0</v>
      </c>
    </row>
    <row r="217" spans="1:14" x14ac:dyDescent="0.2">
      <c r="A217" s="22">
        <f t="shared" si="41"/>
        <v>212</v>
      </c>
      <c r="B217" s="23">
        <f t="shared" si="42"/>
        <v>35.721461187214516</v>
      </c>
      <c r="C217" t="str">
        <f t="shared" si="33"/>
        <v>35 y 8.66 m</v>
      </c>
      <c r="D217" s="24">
        <f>IF(A217&gt;=$E$2,IF(A217&lt;$E$2+$H$2,$P$2,0),IF(B217&lt;Dashboard!$I$6,0,IF(A217&gt;=$F$2,Dashboard!$C$23*POWER(1+$C$2,A217-$F$2),Dashboard!$C$23)))</f>
        <v>5092.3674515238745</v>
      </c>
      <c r="E217" s="24">
        <f>IF(A217&gt;=$F$2,0,IF(A217=0,Dashboard!$G$10,IF(B217&lt;Dashboard!$I$6,IF($J$2&lt;=Dashboard!$H$10,Dashboard!$H$10,MAX(Dashboard!$H$10,MIN($J$2,Dashboard!$H$10*POWER($J$2/Dashboard!$H$10,A217/$D$2)))),$I$2-D217-Dashboard!$I$10-Dashboard!$J$10-Dashboard!$F$10*$I$2)))</f>
        <v>1789.4325484761255</v>
      </c>
      <c r="F217" s="24">
        <f t="shared" si="34"/>
        <v>0</v>
      </c>
      <c r="G217" s="24">
        <f t="shared" si="35"/>
        <v>0</v>
      </c>
      <c r="H217" s="24">
        <f t="shared" si="36"/>
        <v>0</v>
      </c>
      <c r="I217" s="24">
        <f t="shared" si="37"/>
        <v>1789.4325484761255</v>
      </c>
      <c r="J217" s="25">
        <f t="shared" si="38"/>
        <v>7.9741404289037643E-3</v>
      </c>
      <c r="K217" s="24">
        <f t="shared" si="43"/>
        <v>1114109.6886044764</v>
      </c>
      <c r="L217" s="24" t="str">
        <f t="shared" si="39"/>
        <v/>
      </c>
      <c r="M217" s="24">
        <f t="shared" si="40"/>
        <v>0</v>
      </c>
      <c r="N217" s="24">
        <f>IF(M217&lt;=0,0,IF($E$2-A217&lt;12,(M217-E217)*Dashboard!$B$18,IF($Q$2+A217&gt;=$R$2,MAX(0,M217-E217*POWER(1+$C$2,$E$2-A217))*MAX(Dashboard!$C$18,Dashboard!$B$18),IF($S$2&lt;$R$2,(M217-E217)*0.5*Dashboard!$B$18,(E217*POWER(1+$A$2,$R$2-($Q$2+A217))-E217)*0.5*Dashboard!$B$18+MAX(0,M217-E217*POWER(1+$A$2,$R$2-($Q$2+A217))*POWER(1+$C$2,$S$2-$R$2))*MAX(Dashboard!$C$18,Dashboard!$B$18)))))</f>
        <v>0</v>
      </c>
    </row>
    <row r="218" spans="1:14" x14ac:dyDescent="0.2">
      <c r="A218" s="22">
        <f t="shared" si="41"/>
        <v>213</v>
      </c>
      <c r="B218" s="23">
        <f t="shared" si="42"/>
        <v>35.804794520547851</v>
      </c>
      <c r="C218" t="str">
        <f t="shared" si="33"/>
        <v>35 y 9.66 m</v>
      </c>
      <c r="D218" s="24">
        <f>IF(A218&gt;=$E$2,IF(A218&lt;$E$2+$H$2,$P$2,0),IF(B218&lt;Dashboard!$I$6,0,IF(A218&gt;=$F$2,Dashboard!$C$23*POWER(1+$C$2,A218-$F$2),Dashboard!$C$23)))</f>
        <v>5092.3674515238745</v>
      </c>
      <c r="E218" s="24">
        <f>IF(A218&gt;=$F$2,0,IF(A218=0,Dashboard!$G$10,IF(B218&lt;Dashboard!$I$6,IF($J$2&lt;=Dashboard!$H$10,Dashboard!$H$10,MAX(Dashboard!$H$10,MIN($J$2,Dashboard!$H$10*POWER($J$2/Dashboard!$H$10,A218/$D$2)))),$I$2-D218-Dashboard!$I$10-Dashboard!$J$10-Dashboard!$F$10*$I$2)))</f>
        <v>1789.4325484761255</v>
      </c>
      <c r="F218" s="24">
        <f t="shared" si="34"/>
        <v>0</v>
      </c>
      <c r="G218" s="24">
        <f t="shared" si="35"/>
        <v>0</v>
      </c>
      <c r="H218" s="24">
        <f t="shared" si="36"/>
        <v>0</v>
      </c>
      <c r="I218" s="24">
        <f t="shared" si="37"/>
        <v>1789.4325484761255</v>
      </c>
      <c r="J218" s="25">
        <f t="shared" si="38"/>
        <v>7.9741404289037643E-3</v>
      </c>
      <c r="K218" s="24">
        <f t="shared" si="43"/>
        <v>1124797.4574495165</v>
      </c>
      <c r="L218" s="24" t="str">
        <f t="shared" si="39"/>
        <v/>
      </c>
      <c r="M218" s="24">
        <f t="shared" si="40"/>
        <v>0</v>
      </c>
      <c r="N218" s="24">
        <f>IF(M218&lt;=0,0,IF($E$2-A218&lt;12,(M218-E218)*Dashboard!$B$18,IF($Q$2+A218&gt;=$R$2,MAX(0,M218-E218*POWER(1+$C$2,$E$2-A218))*MAX(Dashboard!$C$18,Dashboard!$B$18),IF($S$2&lt;$R$2,(M218-E218)*0.5*Dashboard!$B$18,(E218*POWER(1+$A$2,$R$2-($Q$2+A218))-E218)*0.5*Dashboard!$B$18+MAX(0,M218-E218*POWER(1+$A$2,$R$2-($Q$2+A218))*POWER(1+$C$2,$S$2-$R$2))*MAX(Dashboard!$C$18,Dashboard!$B$18)))))</f>
        <v>0</v>
      </c>
    </row>
    <row r="219" spans="1:14" x14ac:dyDescent="0.2">
      <c r="A219" s="22">
        <f t="shared" si="41"/>
        <v>214</v>
      </c>
      <c r="B219" s="23">
        <f t="shared" si="42"/>
        <v>35.888127853881187</v>
      </c>
      <c r="C219" t="str">
        <f t="shared" si="33"/>
        <v>35 y 10.66 m</v>
      </c>
      <c r="D219" s="24">
        <f>IF(A219&gt;=$E$2,IF(A219&lt;$E$2+$H$2,$P$2,0),IF(B219&lt;Dashboard!$I$6,0,IF(A219&gt;=$F$2,Dashboard!$C$23*POWER(1+$C$2,A219-$F$2),Dashboard!$C$23)))</f>
        <v>5092.3674515238745</v>
      </c>
      <c r="E219" s="24">
        <f>IF(A219&gt;=$F$2,0,IF(A219=0,Dashboard!$G$10,IF(B219&lt;Dashboard!$I$6,IF($J$2&lt;=Dashboard!$H$10,Dashboard!$H$10,MAX(Dashboard!$H$10,MIN($J$2,Dashboard!$H$10*POWER($J$2/Dashboard!$H$10,A219/$D$2)))),$I$2-D219-Dashboard!$I$10-Dashboard!$J$10-Dashboard!$F$10*$I$2)))</f>
        <v>1789.4325484761255</v>
      </c>
      <c r="F219" s="24">
        <f t="shared" si="34"/>
        <v>0</v>
      </c>
      <c r="G219" s="24">
        <f t="shared" si="35"/>
        <v>0</v>
      </c>
      <c r="H219" s="24">
        <f t="shared" si="36"/>
        <v>0</v>
      </c>
      <c r="I219" s="24">
        <f t="shared" si="37"/>
        <v>1789.4325484761255</v>
      </c>
      <c r="J219" s="25">
        <f t="shared" si="38"/>
        <v>7.9741404289037643E-3</v>
      </c>
      <c r="K219" s="24">
        <f t="shared" si="43"/>
        <v>1135570.4520641987</v>
      </c>
      <c r="L219" s="24" t="str">
        <f t="shared" si="39"/>
        <v/>
      </c>
      <c r="M219" s="24">
        <f t="shared" si="40"/>
        <v>0</v>
      </c>
      <c r="N219" s="24">
        <f>IF(M219&lt;=0,0,IF($E$2-A219&lt;12,(M219-E219)*Dashboard!$B$18,IF($Q$2+A219&gt;=$R$2,MAX(0,M219-E219*POWER(1+$C$2,$E$2-A219))*MAX(Dashboard!$C$18,Dashboard!$B$18),IF($S$2&lt;$R$2,(M219-E219)*0.5*Dashboard!$B$18,(E219*POWER(1+$A$2,$R$2-($Q$2+A219))-E219)*0.5*Dashboard!$B$18+MAX(0,M219-E219*POWER(1+$A$2,$R$2-($Q$2+A219))*POWER(1+$C$2,$S$2-$R$2))*MAX(Dashboard!$C$18,Dashboard!$B$18)))))</f>
        <v>0</v>
      </c>
    </row>
    <row r="220" spans="1:14" x14ac:dyDescent="0.2">
      <c r="A220" s="22">
        <f t="shared" si="41"/>
        <v>215</v>
      </c>
      <c r="B220" s="23">
        <f t="shared" si="42"/>
        <v>35.971461187214523</v>
      </c>
      <c r="C220" t="str">
        <f t="shared" si="33"/>
        <v>35 y 11.66 m</v>
      </c>
      <c r="D220" s="24">
        <f>IF(A220&gt;=$E$2,IF(A220&lt;$E$2+$H$2,$P$2,0),IF(B220&lt;Dashboard!$I$6,0,IF(A220&gt;=$F$2,Dashboard!$C$23*POWER(1+$C$2,A220-$F$2),Dashboard!$C$23)))</f>
        <v>5092.3674515238745</v>
      </c>
      <c r="E220" s="24">
        <f>IF(A220&gt;=$F$2,0,IF(A220=0,Dashboard!$G$10,IF(B220&lt;Dashboard!$I$6,IF($J$2&lt;=Dashboard!$H$10,Dashboard!$H$10,MAX(Dashboard!$H$10,MIN($J$2,Dashboard!$H$10*POWER($J$2/Dashboard!$H$10,A220/$D$2)))),$I$2-D220-Dashboard!$I$10-Dashboard!$J$10-Dashboard!$F$10*$I$2)))</f>
        <v>1789.4325484761255</v>
      </c>
      <c r="F220" s="24">
        <f t="shared" si="34"/>
        <v>0</v>
      </c>
      <c r="G220" s="24">
        <f t="shared" si="35"/>
        <v>0</v>
      </c>
      <c r="H220" s="24">
        <f t="shared" si="36"/>
        <v>0</v>
      </c>
      <c r="I220" s="24">
        <f t="shared" si="37"/>
        <v>1789.4325484761255</v>
      </c>
      <c r="J220" s="25">
        <f t="shared" si="38"/>
        <v>7.9741404289037643E-3</v>
      </c>
      <c r="K220" s="24">
        <f t="shared" si="43"/>
        <v>1146429.352050778</v>
      </c>
      <c r="L220" s="24" t="str">
        <f t="shared" si="39"/>
        <v/>
      </c>
      <c r="M220" s="24">
        <f t="shared" si="40"/>
        <v>0</v>
      </c>
      <c r="N220" s="24">
        <f>IF(M220&lt;=0,0,IF($E$2-A220&lt;12,(M220-E220)*Dashboard!$B$18,IF($Q$2+A220&gt;=$R$2,MAX(0,M220-E220*POWER(1+$C$2,$E$2-A220))*MAX(Dashboard!$C$18,Dashboard!$B$18),IF($S$2&lt;$R$2,(M220-E220)*0.5*Dashboard!$B$18,(E220*POWER(1+$A$2,$R$2-($Q$2+A220))-E220)*0.5*Dashboard!$B$18+MAX(0,M220-E220*POWER(1+$A$2,$R$2-($Q$2+A220))*POWER(1+$C$2,$S$2-$R$2))*MAX(Dashboard!$C$18,Dashboard!$B$18)))))</f>
        <v>0</v>
      </c>
    </row>
    <row r="221" spans="1:14" x14ac:dyDescent="0.2">
      <c r="A221" s="22">
        <f t="shared" si="41"/>
        <v>216</v>
      </c>
      <c r="B221" s="23">
        <f t="shared" si="42"/>
        <v>36.054794520547858</v>
      </c>
      <c r="C221" t="str">
        <f t="shared" si="33"/>
        <v>36 y 0.66 m</v>
      </c>
      <c r="D221" s="24">
        <f>IF(A221&gt;=$E$2,IF(A221&lt;$E$2+$H$2,$P$2,0),IF(B221&lt;Dashboard!$I$6,0,IF(A221&gt;=$F$2,Dashboard!$C$23*POWER(1+$C$2,A221-$F$2),Dashboard!$C$23)))</f>
        <v>5092.3674515238745</v>
      </c>
      <c r="E221" s="24">
        <f>IF(A221&gt;=$F$2,0,IF(A221=0,Dashboard!$G$10,IF(B221&lt;Dashboard!$I$6,IF($J$2&lt;=Dashboard!$H$10,Dashboard!$H$10,MAX(Dashboard!$H$10,MIN($J$2,Dashboard!$H$10*POWER($J$2/Dashboard!$H$10,A221/$D$2)))),$I$2-D221-Dashboard!$I$10-Dashboard!$J$10-Dashboard!$F$10*$I$2)))</f>
        <v>1789.4325484761255</v>
      </c>
      <c r="F221" s="24">
        <f t="shared" si="34"/>
        <v>0</v>
      </c>
      <c r="G221" s="24">
        <f t="shared" si="35"/>
        <v>0</v>
      </c>
      <c r="H221" s="24">
        <f t="shared" si="36"/>
        <v>0</v>
      </c>
      <c r="I221" s="24">
        <f t="shared" si="37"/>
        <v>1789.4325484761255</v>
      </c>
      <c r="J221" s="25">
        <f t="shared" si="38"/>
        <v>7.9741404289037643E-3</v>
      </c>
      <c r="K221" s="24">
        <f t="shared" si="43"/>
        <v>1157374.8424307539</v>
      </c>
      <c r="L221" s="24" t="str">
        <f t="shared" si="39"/>
        <v/>
      </c>
      <c r="M221" s="24">
        <f t="shared" si="40"/>
        <v>0</v>
      </c>
      <c r="N221" s="24">
        <f>IF(M221&lt;=0,0,IF($E$2-A221&lt;12,(M221-E221)*Dashboard!$B$18,IF($Q$2+A221&gt;=$R$2,MAX(0,M221-E221*POWER(1+$C$2,$E$2-A221))*MAX(Dashboard!$C$18,Dashboard!$B$18),IF($S$2&lt;$R$2,(M221-E221)*0.5*Dashboard!$B$18,(E221*POWER(1+$A$2,$R$2-($Q$2+A221))-E221)*0.5*Dashboard!$B$18+MAX(0,M221-E221*POWER(1+$A$2,$R$2-($Q$2+A221))*POWER(1+$C$2,$S$2-$R$2))*MAX(Dashboard!$C$18,Dashboard!$B$18)))))</f>
        <v>0</v>
      </c>
    </row>
    <row r="222" spans="1:14" x14ac:dyDescent="0.2">
      <c r="A222" s="22">
        <f t="shared" si="41"/>
        <v>217</v>
      </c>
      <c r="B222" s="23">
        <f t="shared" si="42"/>
        <v>36.138127853881194</v>
      </c>
      <c r="C222" t="str">
        <f t="shared" si="33"/>
        <v>36 y 1.66 m</v>
      </c>
      <c r="D222" s="24">
        <f>IF(A222&gt;=$E$2,IF(A222&lt;$E$2+$H$2,$P$2,0),IF(B222&lt;Dashboard!$I$6,0,IF(A222&gt;=$F$2,Dashboard!$C$23*POWER(1+$C$2,A222-$F$2),Dashboard!$C$23)))</f>
        <v>5092.3674515238745</v>
      </c>
      <c r="E222" s="24">
        <f>IF(A222&gt;=$F$2,0,IF(A222=0,Dashboard!$G$10,IF(B222&lt;Dashboard!$I$6,IF($J$2&lt;=Dashboard!$H$10,Dashboard!$H$10,MAX(Dashboard!$H$10,MIN($J$2,Dashboard!$H$10*POWER($J$2/Dashboard!$H$10,A222/$D$2)))),$I$2-D222-Dashboard!$I$10-Dashboard!$J$10-Dashboard!$F$10*$I$2)))</f>
        <v>1789.4325484761255</v>
      </c>
      <c r="F222" s="24">
        <f t="shared" si="34"/>
        <v>0</v>
      </c>
      <c r="G222" s="24">
        <f t="shared" si="35"/>
        <v>0</v>
      </c>
      <c r="H222" s="24">
        <f t="shared" si="36"/>
        <v>0</v>
      </c>
      <c r="I222" s="24">
        <f t="shared" si="37"/>
        <v>1789.4325484761255</v>
      </c>
      <c r="J222" s="25">
        <f t="shared" si="38"/>
        <v>7.9741404289037643E-3</v>
      </c>
      <c r="K222" s="24">
        <f t="shared" si="43"/>
        <v>1168407.6136880829</v>
      </c>
      <c r="L222" s="24" t="str">
        <f t="shared" si="39"/>
        <v/>
      </c>
      <c r="M222" s="24">
        <f t="shared" si="40"/>
        <v>0</v>
      </c>
      <c r="N222" s="24">
        <f>IF(M222&lt;=0,0,IF($E$2-A222&lt;12,(M222-E222)*Dashboard!$B$18,IF($Q$2+A222&gt;=$R$2,MAX(0,M222-E222*POWER(1+$C$2,$E$2-A222))*MAX(Dashboard!$C$18,Dashboard!$B$18),IF($S$2&lt;$R$2,(M222-E222)*0.5*Dashboard!$B$18,(E222*POWER(1+$A$2,$R$2-($Q$2+A222))-E222)*0.5*Dashboard!$B$18+MAX(0,M222-E222*POWER(1+$A$2,$R$2-($Q$2+A222))*POWER(1+$C$2,$S$2-$R$2))*MAX(Dashboard!$C$18,Dashboard!$B$18)))))</f>
        <v>0</v>
      </c>
    </row>
    <row r="223" spans="1:14" x14ac:dyDescent="0.2">
      <c r="A223" s="22">
        <f t="shared" si="41"/>
        <v>218</v>
      </c>
      <c r="B223" s="23">
        <f t="shared" si="42"/>
        <v>36.22146118721453</v>
      </c>
      <c r="C223" t="str">
        <f t="shared" si="33"/>
        <v>36 y 2.66 m</v>
      </c>
      <c r="D223" s="24">
        <f>IF(A223&gt;=$E$2,IF(A223&lt;$E$2+$H$2,$P$2,0),IF(B223&lt;Dashboard!$I$6,0,IF(A223&gt;=$F$2,Dashboard!$C$23*POWER(1+$C$2,A223-$F$2),Dashboard!$C$23)))</f>
        <v>5092.3674515238745</v>
      </c>
      <c r="E223" s="24">
        <f>IF(A223&gt;=$F$2,0,IF(A223=0,Dashboard!$G$10,IF(B223&lt;Dashboard!$I$6,IF($J$2&lt;=Dashboard!$H$10,Dashboard!$H$10,MAX(Dashboard!$H$10,MIN($J$2,Dashboard!$H$10*POWER($J$2/Dashboard!$H$10,A223/$D$2)))),$I$2-D223-Dashboard!$I$10-Dashboard!$J$10-Dashboard!$F$10*$I$2)))</f>
        <v>1789.4325484761255</v>
      </c>
      <c r="F223" s="24">
        <f t="shared" si="34"/>
        <v>0</v>
      </c>
      <c r="G223" s="24">
        <f t="shared" si="35"/>
        <v>0</v>
      </c>
      <c r="H223" s="24">
        <f t="shared" si="36"/>
        <v>0</v>
      </c>
      <c r="I223" s="24">
        <f t="shared" si="37"/>
        <v>1789.4325484761255</v>
      </c>
      <c r="J223" s="25">
        <f t="shared" si="38"/>
        <v>7.9741404289037643E-3</v>
      </c>
      <c r="K223" s="24">
        <f t="shared" si="43"/>
        <v>1179528.3618127378</v>
      </c>
      <c r="L223" s="24" t="str">
        <f t="shared" si="39"/>
        <v/>
      </c>
      <c r="M223" s="24">
        <f t="shared" si="40"/>
        <v>0</v>
      </c>
      <c r="N223" s="24">
        <f>IF(M223&lt;=0,0,IF($E$2-A223&lt;12,(M223-E223)*Dashboard!$B$18,IF($Q$2+A223&gt;=$R$2,MAX(0,M223-E223*POWER(1+$C$2,$E$2-A223))*MAX(Dashboard!$C$18,Dashboard!$B$18),IF($S$2&lt;$R$2,(M223-E223)*0.5*Dashboard!$B$18,(E223*POWER(1+$A$2,$R$2-($Q$2+A223))-E223)*0.5*Dashboard!$B$18+MAX(0,M223-E223*POWER(1+$A$2,$R$2-($Q$2+A223))*POWER(1+$C$2,$S$2-$R$2))*MAX(Dashboard!$C$18,Dashboard!$B$18)))))</f>
        <v>0</v>
      </c>
    </row>
    <row r="224" spans="1:14" x14ac:dyDescent="0.2">
      <c r="A224" s="22">
        <f t="shared" si="41"/>
        <v>219</v>
      </c>
      <c r="B224" s="23">
        <f t="shared" si="42"/>
        <v>36.304794520547865</v>
      </c>
      <c r="C224" t="str">
        <f t="shared" si="33"/>
        <v>36 y 3.66 m</v>
      </c>
      <c r="D224" s="24">
        <f>IF(A224&gt;=$E$2,IF(A224&lt;$E$2+$H$2,$P$2,0),IF(B224&lt;Dashboard!$I$6,0,IF(A224&gt;=$F$2,Dashboard!$C$23*POWER(1+$C$2,A224-$F$2),Dashboard!$C$23)))</f>
        <v>5092.3674515238745</v>
      </c>
      <c r="E224" s="24">
        <f>IF(A224&gt;=$F$2,0,IF(A224=0,Dashboard!$G$10,IF(B224&lt;Dashboard!$I$6,IF($J$2&lt;=Dashboard!$H$10,Dashboard!$H$10,MAX(Dashboard!$H$10,MIN($J$2,Dashboard!$H$10*POWER($J$2/Dashboard!$H$10,A224/$D$2)))),$I$2-D224-Dashboard!$I$10-Dashboard!$J$10-Dashboard!$F$10*$I$2)))</f>
        <v>1789.4325484761255</v>
      </c>
      <c r="F224" s="24">
        <f t="shared" si="34"/>
        <v>0</v>
      </c>
      <c r="G224" s="24">
        <f t="shared" si="35"/>
        <v>0</v>
      </c>
      <c r="H224" s="24">
        <f t="shared" si="36"/>
        <v>0</v>
      </c>
      <c r="I224" s="24">
        <f t="shared" si="37"/>
        <v>1789.4325484761255</v>
      </c>
      <c r="J224" s="25">
        <f t="shared" si="38"/>
        <v>7.9741404289037643E-3</v>
      </c>
      <c r="K224" s="24">
        <f t="shared" si="43"/>
        <v>1190737.788344613</v>
      </c>
      <c r="L224" s="24" t="str">
        <f t="shared" si="39"/>
        <v/>
      </c>
      <c r="M224" s="24">
        <f t="shared" si="40"/>
        <v>0</v>
      </c>
      <c r="N224" s="24">
        <f>IF(M224&lt;=0,0,IF($E$2-A224&lt;12,(M224-E224)*Dashboard!$B$18,IF($Q$2+A224&gt;=$R$2,MAX(0,M224-E224*POWER(1+$C$2,$E$2-A224))*MAX(Dashboard!$C$18,Dashboard!$B$18),IF($S$2&lt;$R$2,(M224-E224)*0.5*Dashboard!$B$18,(E224*POWER(1+$A$2,$R$2-($Q$2+A224))-E224)*0.5*Dashboard!$B$18+MAX(0,M224-E224*POWER(1+$A$2,$R$2-($Q$2+A224))*POWER(1+$C$2,$S$2-$R$2))*MAX(Dashboard!$C$18,Dashboard!$B$18)))))</f>
        <v>0</v>
      </c>
    </row>
    <row r="225" spans="1:14" x14ac:dyDescent="0.2">
      <c r="A225" s="22">
        <f t="shared" si="41"/>
        <v>220</v>
      </c>
      <c r="B225" s="23">
        <f t="shared" si="42"/>
        <v>36.388127853881201</v>
      </c>
      <c r="C225" t="str">
        <f t="shared" si="33"/>
        <v>36 y 4.66 m</v>
      </c>
      <c r="D225" s="24">
        <f>IF(A225&gt;=$E$2,IF(A225&lt;$E$2+$H$2,$P$2,0),IF(B225&lt;Dashboard!$I$6,0,IF(A225&gt;=$F$2,Dashboard!$C$23*POWER(1+$C$2,A225-$F$2),Dashboard!$C$23)))</f>
        <v>5092.3674515238745</v>
      </c>
      <c r="E225" s="24">
        <f>IF(A225&gt;=$F$2,0,IF(A225=0,Dashboard!$G$10,IF(B225&lt;Dashboard!$I$6,IF($J$2&lt;=Dashboard!$H$10,Dashboard!$H$10,MAX(Dashboard!$H$10,MIN($J$2,Dashboard!$H$10*POWER($J$2/Dashboard!$H$10,A225/$D$2)))),$I$2-D225-Dashboard!$I$10-Dashboard!$J$10-Dashboard!$F$10*$I$2)))</f>
        <v>1789.4325484761255</v>
      </c>
      <c r="F225" s="24">
        <f t="shared" si="34"/>
        <v>0</v>
      </c>
      <c r="G225" s="24">
        <f t="shared" si="35"/>
        <v>0</v>
      </c>
      <c r="H225" s="24">
        <f t="shared" si="36"/>
        <v>0</v>
      </c>
      <c r="I225" s="24">
        <f t="shared" si="37"/>
        <v>1789.4325484761255</v>
      </c>
      <c r="J225" s="25">
        <f t="shared" si="38"/>
        <v>7.9741404289037643E-3</v>
      </c>
      <c r="K225" s="24">
        <f t="shared" si="43"/>
        <v>1202036.6004177809</v>
      </c>
      <c r="L225" s="24" t="str">
        <f t="shared" si="39"/>
        <v/>
      </c>
      <c r="M225" s="24">
        <f t="shared" si="40"/>
        <v>0</v>
      </c>
      <c r="N225" s="24">
        <f>IF(M225&lt;=0,0,IF($E$2-A225&lt;12,(M225-E225)*Dashboard!$B$18,IF($Q$2+A225&gt;=$R$2,MAX(0,M225-E225*POWER(1+$C$2,$E$2-A225))*MAX(Dashboard!$C$18,Dashboard!$B$18),IF($S$2&lt;$R$2,(M225-E225)*0.5*Dashboard!$B$18,(E225*POWER(1+$A$2,$R$2-($Q$2+A225))-E225)*0.5*Dashboard!$B$18+MAX(0,M225-E225*POWER(1+$A$2,$R$2-($Q$2+A225))*POWER(1+$C$2,$S$2-$R$2))*MAX(Dashboard!$C$18,Dashboard!$B$18)))))</f>
        <v>0</v>
      </c>
    </row>
    <row r="226" spans="1:14" x14ac:dyDescent="0.2">
      <c r="A226" s="22">
        <f t="shared" si="41"/>
        <v>221</v>
      </c>
      <c r="B226" s="23">
        <f t="shared" si="42"/>
        <v>36.471461187214537</v>
      </c>
      <c r="C226" t="str">
        <f t="shared" si="33"/>
        <v>36 y 5.66 m</v>
      </c>
      <c r="D226" s="24">
        <f>IF(A226&gt;=$E$2,IF(A226&lt;$E$2+$H$2,$P$2,0),IF(B226&lt;Dashboard!$I$6,0,IF(A226&gt;=$F$2,Dashboard!$C$23*POWER(1+$C$2,A226-$F$2),Dashboard!$C$23)))</f>
        <v>5092.3674515238745</v>
      </c>
      <c r="E226" s="24">
        <f>IF(A226&gt;=$F$2,0,IF(A226=0,Dashboard!$G$10,IF(B226&lt;Dashboard!$I$6,IF($J$2&lt;=Dashboard!$H$10,Dashboard!$H$10,MAX(Dashboard!$H$10,MIN($J$2,Dashboard!$H$10*POWER($J$2/Dashboard!$H$10,A226/$D$2)))),$I$2-D226-Dashboard!$I$10-Dashboard!$J$10-Dashboard!$F$10*$I$2)))</f>
        <v>1789.4325484761255</v>
      </c>
      <c r="F226" s="24">
        <f t="shared" si="34"/>
        <v>0</v>
      </c>
      <c r="G226" s="24">
        <f t="shared" si="35"/>
        <v>0</v>
      </c>
      <c r="H226" s="24">
        <f t="shared" si="36"/>
        <v>0</v>
      </c>
      <c r="I226" s="24">
        <f t="shared" si="37"/>
        <v>1789.4325484761255</v>
      </c>
      <c r="J226" s="25">
        <f t="shared" si="38"/>
        <v>7.9741404289037643E-3</v>
      </c>
      <c r="K226" s="24">
        <f t="shared" si="43"/>
        <v>1213425.5108051002</v>
      </c>
      <c r="L226" s="24" t="str">
        <f t="shared" si="39"/>
        <v/>
      </c>
      <c r="M226" s="24">
        <f t="shared" si="40"/>
        <v>0</v>
      </c>
      <c r="N226" s="24">
        <f>IF(M226&lt;=0,0,IF($E$2-A226&lt;12,(M226-E226)*Dashboard!$B$18,IF($Q$2+A226&gt;=$R$2,MAX(0,M226-E226*POWER(1+$C$2,$E$2-A226))*MAX(Dashboard!$C$18,Dashboard!$B$18),IF($S$2&lt;$R$2,(M226-E226)*0.5*Dashboard!$B$18,(E226*POWER(1+$A$2,$R$2-($Q$2+A226))-E226)*0.5*Dashboard!$B$18+MAX(0,M226-E226*POWER(1+$A$2,$R$2-($Q$2+A226))*POWER(1+$C$2,$S$2-$R$2))*MAX(Dashboard!$C$18,Dashboard!$B$18)))))</f>
        <v>0</v>
      </c>
    </row>
    <row r="227" spans="1:14" x14ac:dyDescent="0.2">
      <c r="A227" s="22">
        <f t="shared" si="41"/>
        <v>222</v>
      </c>
      <c r="B227" s="23">
        <f t="shared" si="42"/>
        <v>36.554794520547873</v>
      </c>
      <c r="C227" t="str">
        <f t="shared" si="33"/>
        <v>36 y 6.66 m</v>
      </c>
      <c r="D227" s="24">
        <f>IF(A227&gt;=$E$2,IF(A227&lt;$E$2+$H$2,$P$2,0),IF(B227&lt;Dashboard!$I$6,0,IF(A227&gt;=$F$2,Dashboard!$C$23*POWER(1+$C$2,A227-$F$2),Dashboard!$C$23)))</f>
        <v>5092.3674515238745</v>
      </c>
      <c r="E227" s="24">
        <f>IF(A227&gt;=$F$2,0,IF(A227=0,Dashboard!$G$10,IF(B227&lt;Dashboard!$I$6,IF($J$2&lt;=Dashboard!$H$10,Dashboard!$H$10,MAX(Dashboard!$H$10,MIN($J$2,Dashboard!$H$10*POWER($J$2/Dashboard!$H$10,A227/$D$2)))),$I$2-D227-Dashboard!$I$10-Dashboard!$J$10-Dashboard!$F$10*$I$2)))</f>
        <v>1789.4325484761255</v>
      </c>
      <c r="F227" s="24">
        <f t="shared" si="34"/>
        <v>0</v>
      </c>
      <c r="G227" s="24">
        <f t="shared" si="35"/>
        <v>0</v>
      </c>
      <c r="H227" s="24">
        <f t="shared" si="36"/>
        <v>0</v>
      </c>
      <c r="I227" s="24">
        <f t="shared" si="37"/>
        <v>1789.4325484761255</v>
      </c>
      <c r="J227" s="25">
        <f t="shared" si="38"/>
        <v>7.9741404289037643E-3</v>
      </c>
      <c r="K227" s="24">
        <f t="shared" si="43"/>
        <v>1224905.2379631801</v>
      </c>
      <c r="L227" s="24" t="str">
        <f t="shared" si="39"/>
        <v/>
      </c>
      <c r="M227" s="24">
        <f t="shared" si="40"/>
        <v>0</v>
      </c>
      <c r="N227" s="24">
        <f>IF(M227&lt;=0,0,IF($E$2-A227&lt;12,(M227-E227)*Dashboard!$B$18,IF($Q$2+A227&gt;=$R$2,MAX(0,M227-E227*POWER(1+$C$2,$E$2-A227))*MAX(Dashboard!$C$18,Dashboard!$B$18),IF($S$2&lt;$R$2,(M227-E227)*0.5*Dashboard!$B$18,(E227*POWER(1+$A$2,$R$2-($Q$2+A227))-E227)*0.5*Dashboard!$B$18+MAX(0,M227-E227*POWER(1+$A$2,$R$2-($Q$2+A227))*POWER(1+$C$2,$S$2-$R$2))*MAX(Dashboard!$C$18,Dashboard!$B$18)))))</f>
        <v>0</v>
      </c>
    </row>
    <row r="228" spans="1:14" x14ac:dyDescent="0.2">
      <c r="A228" s="22">
        <f t="shared" si="41"/>
        <v>223</v>
      </c>
      <c r="B228" s="23">
        <f t="shared" si="42"/>
        <v>36.638127853881208</v>
      </c>
      <c r="C228" t="str">
        <f t="shared" si="33"/>
        <v>36 y 7.66 m</v>
      </c>
      <c r="D228" s="24">
        <f>IF(A228&gt;=$E$2,IF(A228&lt;$E$2+$H$2,$P$2,0),IF(B228&lt;Dashboard!$I$6,0,IF(A228&gt;=$F$2,Dashboard!$C$23*POWER(1+$C$2,A228-$F$2),Dashboard!$C$23)))</f>
        <v>5092.3674515238745</v>
      </c>
      <c r="E228" s="24">
        <f>IF(A228&gt;=$F$2,0,IF(A228=0,Dashboard!$G$10,IF(B228&lt;Dashboard!$I$6,IF($J$2&lt;=Dashboard!$H$10,Dashboard!$H$10,MAX(Dashboard!$H$10,MIN($J$2,Dashboard!$H$10*POWER($J$2/Dashboard!$H$10,A228/$D$2)))),$I$2-D228-Dashboard!$I$10-Dashboard!$J$10-Dashboard!$F$10*$I$2)))</f>
        <v>1789.4325484761255</v>
      </c>
      <c r="F228" s="24">
        <f t="shared" si="34"/>
        <v>0</v>
      </c>
      <c r="G228" s="24">
        <f t="shared" si="35"/>
        <v>0</v>
      </c>
      <c r="H228" s="24">
        <f t="shared" si="36"/>
        <v>0</v>
      </c>
      <c r="I228" s="24">
        <f t="shared" si="37"/>
        <v>1789.4325484761255</v>
      </c>
      <c r="J228" s="25">
        <f t="shared" si="38"/>
        <v>7.9741404289037643E-3</v>
      </c>
      <c r="K228" s="24">
        <f t="shared" si="43"/>
        <v>1236476.506077704</v>
      </c>
      <c r="L228" s="24" t="str">
        <f t="shared" si="39"/>
        <v/>
      </c>
      <c r="M228" s="24">
        <f t="shared" si="40"/>
        <v>0</v>
      </c>
      <c r="N228" s="24">
        <f>IF(M228&lt;=0,0,IF($E$2-A228&lt;12,(M228-E228)*Dashboard!$B$18,IF($Q$2+A228&gt;=$R$2,MAX(0,M228-E228*POWER(1+$C$2,$E$2-A228))*MAX(Dashboard!$C$18,Dashboard!$B$18),IF($S$2&lt;$R$2,(M228-E228)*0.5*Dashboard!$B$18,(E228*POWER(1+$A$2,$R$2-($Q$2+A228))-E228)*0.5*Dashboard!$B$18+MAX(0,M228-E228*POWER(1+$A$2,$R$2-($Q$2+A228))*POWER(1+$C$2,$S$2-$R$2))*MAX(Dashboard!$C$18,Dashboard!$B$18)))))</f>
        <v>0</v>
      </c>
    </row>
    <row r="229" spans="1:14" x14ac:dyDescent="0.2">
      <c r="A229" s="22">
        <f t="shared" si="41"/>
        <v>224</v>
      </c>
      <c r="B229" s="23">
        <f t="shared" si="42"/>
        <v>36.721461187214544</v>
      </c>
      <c r="C229" t="str">
        <f t="shared" si="33"/>
        <v>36 y 8.66 m</v>
      </c>
      <c r="D229" s="24">
        <f>IF(A229&gt;=$E$2,IF(A229&lt;$E$2+$H$2,$P$2,0),IF(B229&lt;Dashboard!$I$6,0,IF(A229&gt;=$F$2,Dashboard!$C$23*POWER(1+$C$2,A229-$F$2),Dashboard!$C$23)))</f>
        <v>5092.3674515238745</v>
      </c>
      <c r="E229" s="24">
        <f>IF(A229&gt;=$F$2,0,IF(A229=0,Dashboard!$G$10,IF(B229&lt;Dashboard!$I$6,IF($J$2&lt;=Dashboard!$H$10,Dashboard!$H$10,MAX(Dashboard!$H$10,MIN($J$2,Dashboard!$H$10*POWER($J$2/Dashboard!$H$10,A229/$D$2)))),$I$2-D229-Dashboard!$I$10-Dashboard!$J$10-Dashboard!$F$10*$I$2)))</f>
        <v>1789.4325484761255</v>
      </c>
      <c r="F229" s="24">
        <f t="shared" si="34"/>
        <v>0</v>
      </c>
      <c r="G229" s="24">
        <f t="shared" si="35"/>
        <v>0</v>
      </c>
      <c r="H229" s="24">
        <f t="shared" si="36"/>
        <v>0</v>
      </c>
      <c r="I229" s="24">
        <f t="shared" si="37"/>
        <v>1789.4325484761255</v>
      </c>
      <c r="J229" s="25">
        <f t="shared" si="38"/>
        <v>7.9741404289037643E-3</v>
      </c>
      <c r="K229" s="24">
        <f t="shared" si="43"/>
        <v>1248140.0451091137</v>
      </c>
      <c r="L229" s="24" t="str">
        <f t="shared" si="39"/>
        <v/>
      </c>
      <c r="M229" s="24">
        <f t="shared" si="40"/>
        <v>0</v>
      </c>
      <c r="N229" s="24">
        <f>IF(M229&lt;=0,0,IF($E$2-A229&lt;12,(M229-E229)*Dashboard!$B$18,IF($Q$2+A229&gt;=$R$2,MAX(0,M229-E229*POWER(1+$C$2,$E$2-A229))*MAX(Dashboard!$C$18,Dashboard!$B$18),IF($S$2&lt;$R$2,(M229-E229)*0.5*Dashboard!$B$18,(E229*POWER(1+$A$2,$R$2-($Q$2+A229))-E229)*0.5*Dashboard!$B$18+MAX(0,M229-E229*POWER(1+$A$2,$R$2-($Q$2+A229))*POWER(1+$C$2,$S$2-$R$2))*MAX(Dashboard!$C$18,Dashboard!$B$18)))))</f>
        <v>0</v>
      </c>
    </row>
    <row r="230" spans="1:14" x14ac:dyDescent="0.2">
      <c r="A230" s="22">
        <f t="shared" si="41"/>
        <v>225</v>
      </c>
      <c r="B230" s="23">
        <f t="shared" si="42"/>
        <v>36.80479452054788</v>
      </c>
      <c r="C230" t="str">
        <f t="shared" si="33"/>
        <v>36 y 9.66 m</v>
      </c>
      <c r="D230" s="24">
        <f>IF(A230&gt;=$E$2,IF(A230&lt;$E$2+$H$2,$P$2,0),IF(B230&lt;Dashboard!$I$6,0,IF(A230&gt;=$F$2,Dashboard!$C$23*POWER(1+$C$2,A230-$F$2),Dashboard!$C$23)))</f>
        <v>5092.3674515238745</v>
      </c>
      <c r="E230" s="24">
        <f>IF(A230&gt;=$F$2,0,IF(A230=0,Dashboard!$G$10,IF(B230&lt;Dashboard!$I$6,IF($J$2&lt;=Dashboard!$H$10,Dashboard!$H$10,MAX(Dashboard!$H$10,MIN($J$2,Dashboard!$H$10*POWER($J$2/Dashboard!$H$10,A230/$D$2)))),$I$2-D230-Dashboard!$I$10-Dashboard!$J$10-Dashboard!$F$10*$I$2)))</f>
        <v>1789.4325484761255</v>
      </c>
      <c r="F230" s="24">
        <f t="shared" si="34"/>
        <v>0</v>
      </c>
      <c r="G230" s="24">
        <f t="shared" si="35"/>
        <v>0</v>
      </c>
      <c r="H230" s="24">
        <f t="shared" si="36"/>
        <v>0</v>
      </c>
      <c r="I230" s="24">
        <f t="shared" si="37"/>
        <v>1789.4325484761255</v>
      </c>
      <c r="J230" s="25">
        <f t="shared" si="38"/>
        <v>7.9741404289037643E-3</v>
      </c>
      <c r="K230" s="24">
        <f t="shared" si="43"/>
        <v>1259896.5908386577</v>
      </c>
      <c r="L230" s="24" t="str">
        <f t="shared" si="39"/>
        <v/>
      </c>
      <c r="M230" s="24">
        <f t="shared" si="40"/>
        <v>0</v>
      </c>
      <c r="N230" s="24">
        <f>IF(M230&lt;=0,0,IF($E$2-A230&lt;12,(M230-E230)*Dashboard!$B$18,IF($Q$2+A230&gt;=$R$2,MAX(0,M230-E230*POWER(1+$C$2,$E$2-A230))*MAX(Dashboard!$C$18,Dashboard!$B$18),IF($S$2&lt;$R$2,(M230-E230)*0.5*Dashboard!$B$18,(E230*POWER(1+$A$2,$R$2-($Q$2+A230))-E230)*0.5*Dashboard!$B$18+MAX(0,M230-E230*POWER(1+$A$2,$R$2-($Q$2+A230))*POWER(1+$C$2,$S$2-$R$2))*MAX(Dashboard!$C$18,Dashboard!$B$18)))))</f>
        <v>0</v>
      </c>
    </row>
    <row r="231" spans="1:14" x14ac:dyDescent="0.2">
      <c r="A231" s="22">
        <f t="shared" si="41"/>
        <v>226</v>
      </c>
      <c r="B231" s="23">
        <f t="shared" si="42"/>
        <v>36.888127853881215</v>
      </c>
      <c r="C231" t="str">
        <f t="shared" si="33"/>
        <v>36 y 10.66 m</v>
      </c>
      <c r="D231" s="24">
        <f>IF(A231&gt;=$E$2,IF(A231&lt;$E$2+$H$2,$P$2,0),IF(B231&lt;Dashboard!$I$6,0,IF(A231&gt;=$F$2,Dashboard!$C$23*POWER(1+$C$2,A231-$F$2),Dashboard!$C$23)))</f>
        <v>5092.3674515238745</v>
      </c>
      <c r="E231" s="24">
        <f>IF(A231&gt;=$F$2,0,IF(A231=0,Dashboard!$G$10,IF(B231&lt;Dashboard!$I$6,IF($J$2&lt;=Dashboard!$H$10,Dashboard!$H$10,MAX(Dashboard!$H$10,MIN($J$2,Dashboard!$H$10*POWER($J$2/Dashboard!$H$10,A231/$D$2)))),$I$2-D231-Dashboard!$I$10-Dashboard!$J$10-Dashboard!$F$10*$I$2)))</f>
        <v>1789.4325484761255</v>
      </c>
      <c r="F231" s="24">
        <f t="shared" si="34"/>
        <v>0</v>
      </c>
      <c r="G231" s="24">
        <f t="shared" si="35"/>
        <v>0</v>
      </c>
      <c r="H231" s="24">
        <f t="shared" si="36"/>
        <v>0</v>
      </c>
      <c r="I231" s="24">
        <f t="shared" si="37"/>
        <v>1789.4325484761255</v>
      </c>
      <c r="J231" s="25">
        <f t="shared" si="38"/>
        <v>7.9741404289037643E-3</v>
      </c>
      <c r="K231" s="24">
        <f t="shared" si="43"/>
        <v>1271746.884914808</v>
      </c>
      <c r="L231" s="24" t="str">
        <f t="shared" si="39"/>
        <v/>
      </c>
      <c r="M231" s="24">
        <f t="shared" si="40"/>
        <v>0</v>
      </c>
      <c r="N231" s="24">
        <f>IF(M231&lt;=0,0,IF($E$2-A231&lt;12,(M231-E231)*Dashboard!$B$18,IF($Q$2+A231&gt;=$R$2,MAX(0,M231-E231*POWER(1+$C$2,$E$2-A231))*MAX(Dashboard!$C$18,Dashboard!$B$18),IF($S$2&lt;$R$2,(M231-E231)*0.5*Dashboard!$B$18,(E231*POWER(1+$A$2,$R$2-($Q$2+A231))-E231)*0.5*Dashboard!$B$18+MAX(0,M231-E231*POWER(1+$A$2,$R$2-($Q$2+A231))*POWER(1+$C$2,$S$2-$R$2))*MAX(Dashboard!$C$18,Dashboard!$B$18)))))</f>
        <v>0</v>
      </c>
    </row>
    <row r="232" spans="1:14" x14ac:dyDescent="0.2">
      <c r="A232" s="22">
        <f t="shared" si="41"/>
        <v>227</v>
      </c>
      <c r="B232" s="23">
        <f t="shared" si="42"/>
        <v>36.971461187214551</v>
      </c>
      <c r="C232" t="str">
        <f t="shared" si="33"/>
        <v>36 y 11.66 m</v>
      </c>
      <c r="D232" s="24">
        <f>IF(A232&gt;=$E$2,IF(A232&lt;$E$2+$H$2,$P$2,0),IF(B232&lt;Dashboard!$I$6,0,IF(A232&gt;=$F$2,Dashboard!$C$23*POWER(1+$C$2,A232-$F$2),Dashboard!$C$23)))</f>
        <v>5092.3674515238745</v>
      </c>
      <c r="E232" s="24">
        <f>IF(A232&gt;=$F$2,0,IF(A232=0,Dashboard!$G$10,IF(B232&lt;Dashboard!$I$6,IF($J$2&lt;=Dashboard!$H$10,Dashboard!$H$10,MAX(Dashboard!$H$10,MIN($J$2,Dashboard!$H$10*POWER($J$2/Dashboard!$H$10,A232/$D$2)))),$I$2-D232-Dashboard!$I$10-Dashboard!$J$10-Dashboard!$F$10*$I$2)))</f>
        <v>1789.4325484761255</v>
      </c>
      <c r="F232" s="24">
        <f t="shared" si="34"/>
        <v>0</v>
      </c>
      <c r="G232" s="24">
        <f t="shared" si="35"/>
        <v>0</v>
      </c>
      <c r="H232" s="24">
        <f t="shared" si="36"/>
        <v>0</v>
      </c>
      <c r="I232" s="24">
        <f t="shared" si="37"/>
        <v>1789.4325484761255</v>
      </c>
      <c r="J232" s="25">
        <f t="shared" si="38"/>
        <v>7.9741404289037643E-3</v>
      </c>
      <c r="K232" s="24">
        <f t="shared" si="43"/>
        <v>1283691.6749000454</v>
      </c>
      <c r="L232" s="24" t="str">
        <f t="shared" si="39"/>
        <v/>
      </c>
      <c r="M232" s="24">
        <f t="shared" si="40"/>
        <v>0</v>
      </c>
      <c r="N232" s="24">
        <f>IF(M232&lt;=0,0,IF($E$2-A232&lt;12,(M232-E232)*Dashboard!$B$18,IF($Q$2+A232&gt;=$R$2,MAX(0,M232-E232*POWER(1+$C$2,$E$2-A232))*MAX(Dashboard!$C$18,Dashboard!$B$18),IF($S$2&lt;$R$2,(M232-E232)*0.5*Dashboard!$B$18,(E232*POWER(1+$A$2,$R$2-($Q$2+A232))-E232)*0.5*Dashboard!$B$18+MAX(0,M232-E232*POWER(1+$A$2,$R$2-($Q$2+A232))*POWER(1+$C$2,$S$2-$R$2))*MAX(Dashboard!$C$18,Dashboard!$B$18)))))</f>
        <v>0</v>
      </c>
    </row>
    <row r="233" spans="1:14" x14ac:dyDescent="0.2">
      <c r="A233" s="22">
        <f t="shared" si="41"/>
        <v>228</v>
      </c>
      <c r="B233" s="23">
        <f t="shared" si="42"/>
        <v>37.054794520547887</v>
      </c>
      <c r="C233" t="str">
        <f t="shared" si="33"/>
        <v>37 y 0.66 m</v>
      </c>
      <c r="D233" s="24">
        <f>IF(A233&gt;=$E$2,IF(A233&lt;$E$2+$H$2,$P$2,0),IF(B233&lt;Dashboard!$I$6,0,IF(A233&gt;=$F$2,Dashboard!$C$23*POWER(1+$C$2,A233-$F$2),Dashboard!$C$23)))</f>
        <v>5092.3674515238745</v>
      </c>
      <c r="E233" s="24">
        <f>IF(A233&gt;=$F$2,0,IF(A233=0,Dashboard!$G$10,IF(B233&lt;Dashboard!$I$6,IF($J$2&lt;=Dashboard!$H$10,Dashboard!$H$10,MAX(Dashboard!$H$10,MIN($J$2,Dashboard!$H$10*POWER($J$2/Dashboard!$H$10,A233/$D$2)))),$I$2-D233-Dashboard!$I$10-Dashboard!$J$10-Dashboard!$F$10*$I$2)))</f>
        <v>1789.4325484761255</v>
      </c>
      <c r="F233" s="24">
        <f t="shared" si="34"/>
        <v>0</v>
      </c>
      <c r="G233" s="24">
        <f t="shared" si="35"/>
        <v>0</v>
      </c>
      <c r="H233" s="24">
        <f t="shared" si="36"/>
        <v>0</v>
      </c>
      <c r="I233" s="24">
        <f t="shared" si="37"/>
        <v>1789.4325484761255</v>
      </c>
      <c r="J233" s="25">
        <f t="shared" si="38"/>
        <v>7.9741404289037643E-3</v>
      </c>
      <c r="K233" s="24">
        <f t="shared" si="43"/>
        <v>1295731.7143180189</v>
      </c>
      <c r="L233" s="24" t="str">
        <f t="shared" si="39"/>
        <v/>
      </c>
      <c r="M233" s="24">
        <f t="shared" si="40"/>
        <v>0</v>
      </c>
      <c r="N233" s="24">
        <f>IF(M233&lt;=0,0,IF($E$2-A233&lt;12,(M233-E233)*Dashboard!$B$18,IF($Q$2+A233&gt;=$R$2,MAX(0,M233-E233*POWER(1+$C$2,$E$2-A233))*MAX(Dashboard!$C$18,Dashboard!$B$18),IF($S$2&lt;$R$2,(M233-E233)*0.5*Dashboard!$B$18,(E233*POWER(1+$A$2,$R$2-($Q$2+A233))-E233)*0.5*Dashboard!$B$18+MAX(0,M233-E233*POWER(1+$A$2,$R$2-($Q$2+A233))*POWER(1+$C$2,$S$2-$R$2))*MAX(Dashboard!$C$18,Dashboard!$B$18)))))</f>
        <v>0</v>
      </c>
    </row>
    <row r="234" spans="1:14" x14ac:dyDescent="0.2">
      <c r="A234" s="22">
        <f t="shared" si="41"/>
        <v>229</v>
      </c>
      <c r="B234" s="23">
        <f t="shared" si="42"/>
        <v>37.138127853881223</v>
      </c>
      <c r="C234" t="str">
        <f t="shared" si="33"/>
        <v>37 y 1.66 m</v>
      </c>
      <c r="D234" s="24">
        <f>IF(A234&gt;=$E$2,IF(A234&lt;$E$2+$H$2,$P$2,0),IF(B234&lt;Dashboard!$I$6,0,IF(A234&gt;=$F$2,Dashboard!$C$23*POWER(1+$C$2,A234-$F$2),Dashboard!$C$23)))</f>
        <v>5092.3674515238745</v>
      </c>
      <c r="E234" s="24">
        <f>IF(A234&gt;=$F$2,0,IF(A234=0,Dashboard!$G$10,IF(B234&lt;Dashboard!$I$6,IF($J$2&lt;=Dashboard!$H$10,Dashboard!$H$10,MAX(Dashboard!$H$10,MIN($J$2,Dashboard!$H$10*POWER($J$2/Dashboard!$H$10,A234/$D$2)))),$I$2-D234-Dashboard!$I$10-Dashboard!$J$10-Dashboard!$F$10*$I$2)))</f>
        <v>1789.4325484761255</v>
      </c>
      <c r="F234" s="24">
        <f t="shared" si="34"/>
        <v>0</v>
      </c>
      <c r="G234" s="24">
        <f t="shared" si="35"/>
        <v>0</v>
      </c>
      <c r="H234" s="24">
        <f t="shared" si="36"/>
        <v>0</v>
      </c>
      <c r="I234" s="24">
        <f t="shared" si="37"/>
        <v>1789.4325484761255</v>
      </c>
      <c r="J234" s="25">
        <f t="shared" si="38"/>
        <v>7.9741404289037643E-3</v>
      </c>
      <c r="K234" s="24">
        <f t="shared" si="43"/>
        <v>1307867.7627010806</v>
      </c>
      <c r="L234" s="24" t="str">
        <f t="shared" si="39"/>
        <v/>
      </c>
      <c r="M234" s="24">
        <f t="shared" si="40"/>
        <v>0</v>
      </c>
      <c r="N234" s="24">
        <f>IF(M234&lt;=0,0,IF($E$2-A234&lt;12,(M234-E234)*Dashboard!$B$18,IF($Q$2+A234&gt;=$R$2,MAX(0,M234-E234*POWER(1+$C$2,$E$2-A234))*MAX(Dashboard!$C$18,Dashboard!$B$18),IF($S$2&lt;$R$2,(M234-E234)*0.5*Dashboard!$B$18,(E234*POWER(1+$A$2,$R$2-($Q$2+A234))-E234)*0.5*Dashboard!$B$18+MAX(0,M234-E234*POWER(1+$A$2,$R$2-($Q$2+A234))*POWER(1+$C$2,$S$2-$R$2))*MAX(Dashboard!$C$18,Dashboard!$B$18)))))</f>
        <v>0</v>
      </c>
    </row>
    <row r="235" spans="1:14" x14ac:dyDescent="0.2">
      <c r="A235" s="22">
        <f t="shared" si="41"/>
        <v>230</v>
      </c>
      <c r="B235" s="23">
        <f t="shared" si="42"/>
        <v>37.221461187214558</v>
      </c>
      <c r="C235" t="str">
        <f t="shared" si="33"/>
        <v>37 y 2.66 m</v>
      </c>
      <c r="D235" s="24">
        <f>IF(A235&gt;=$E$2,IF(A235&lt;$E$2+$H$2,$P$2,0),IF(B235&lt;Dashboard!$I$6,0,IF(A235&gt;=$F$2,Dashboard!$C$23*POWER(1+$C$2,A235-$F$2),Dashboard!$C$23)))</f>
        <v>5092.3674515238745</v>
      </c>
      <c r="E235" s="24">
        <f>IF(A235&gt;=$F$2,0,IF(A235=0,Dashboard!$G$10,IF(B235&lt;Dashboard!$I$6,IF($J$2&lt;=Dashboard!$H$10,Dashboard!$H$10,MAX(Dashboard!$H$10,MIN($J$2,Dashboard!$H$10*POWER($J$2/Dashboard!$H$10,A235/$D$2)))),$I$2-D235-Dashboard!$I$10-Dashboard!$J$10-Dashboard!$F$10*$I$2)))</f>
        <v>1789.4325484761255</v>
      </c>
      <c r="F235" s="24">
        <f t="shared" si="34"/>
        <v>0</v>
      </c>
      <c r="G235" s="24">
        <f t="shared" si="35"/>
        <v>0</v>
      </c>
      <c r="H235" s="24">
        <f t="shared" si="36"/>
        <v>0</v>
      </c>
      <c r="I235" s="24">
        <f t="shared" si="37"/>
        <v>1789.4325484761255</v>
      </c>
      <c r="J235" s="25">
        <f t="shared" si="38"/>
        <v>7.9741404289037643E-3</v>
      </c>
      <c r="K235" s="24">
        <f t="shared" si="43"/>
        <v>1320100.5856382011</v>
      </c>
      <c r="L235" s="24" t="str">
        <f t="shared" si="39"/>
        <v/>
      </c>
      <c r="M235" s="24">
        <f t="shared" si="40"/>
        <v>0</v>
      </c>
      <c r="N235" s="24">
        <f>IF(M235&lt;=0,0,IF($E$2-A235&lt;12,(M235-E235)*Dashboard!$B$18,IF($Q$2+A235&gt;=$R$2,MAX(0,M235-E235*POWER(1+$C$2,$E$2-A235))*MAX(Dashboard!$C$18,Dashboard!$B$18),IF($S$2&lt;$R$2,(M235-E235)*0.5*Dashboard!$B$18,(E235*POWER(1+$A$2,$R$2-($Q$2+A235))-E235)*0.5*Dashboard!$B$18+MAX(0,M235-E235*POWER(1+$A$2,$R$2-($Q$2+A235))*POWER(1+$C$2,$S$2-$R$2))*MAX(Dashboard!$C$18,Dashboard!$B$18)))))</f>
        <v>0</v>
      </c>
    </row>
    <row r="236" spans="1:14" x14ac:dyDescent="0.2">
      <c r="A236" s="22">
        <f t="shared" si="41"/>
        <v>231</v>
      </c>
      <c r="B236" s="23">
        <f t="shared" si="42"/>
        <v>37.304794520547894</v>
      </c>
      <c r="C236" t="str">
        <f t="shared" si="33"/>
        <v>37 y 3.66 m</v>
      </c>
      <c r="D236" s="24">
        <f>IF(A236&gt;=$E$2,IF(A236&lt;$E$2+$H$2,$P$2,0),IF(B236&lt;Dashboard!$I$6,0,IF(A236&gt;=$F$2,Dashboard!$C$23*POWER(1+$C$2,A236-$F$2),Dashboard!$C$23)))</f>
        <v>5092.3674515238745</v>
      </c>
      <c r="E236" s="24">
        <f>IF(A236&gt;=$F$2,0,IF(A236=0,Dashboard!$G$10,IF(B236&lt;Dashboard!$I$6,IF($J$2&lt;=Dashboard!$H$10,Dashboard!$H$10,MAX(Dashboard!$H$10,MIN($J$2,Dashboard!$H$10*POWER($J$2/Dashboard!$H$10,A236/$D$2)))),$I$2-D236-Dashboard!$I$10-Dashboard!$J$10-Dashboard!$F$10*$I$2)))</f>
        <v>1789.4325484761255</v>
      </c>
      <c r="F236" s="24">
        <f t="shared" si="34"/>
        <v>0</v>
      </c>
      <c r="G236" s="24">
        <f t="shared" si="35"/>
        <v>0</v>
      </c>
      <c r="H236" s="24">
        <f t="shared" si="36"/>
        <v>0</v>
      </c>
      <c r="I236" s="24">
        <f t="shared" si="37"/>
        <v>1789.4325484761255</v>
      </c>
      <c r="J236" s="25">
        <f t="shared" si="38"/>
        <v>7.9741404289037643E-3</v>
      </c>
      <c r="K236" s="24">
        <f t="shared" si="43"/>
        <v>1332430.9548232639</v>
      </c>
      <c r="L236" s="24" t="str">
        <f t="shared" si="39"/>
        <v/>
      </c>
      <c r="M236" s="24">
        <f t="shared" si="40"/>
        <v>0</v>
      </c>
      <c r="N236" s="24">
        <f>IF(M236&lt;=0,0,IF($E$2-A236&lt;12,(M236-E236)*Dashboard!$B$18,IF($Q$2+A236&gt;=$R$2,MAX(0,M236-E236*POWER(1+$C$2,$E$2-A236))*MAX(Dashboard!$C$18,Dashboard!$B$18),IF($S$2&lt;$R$2,(M236-E236)*0.5*Dashboard!$B$18,(E236*POWER(1+$A$2,$R$2-($Q$2+A236))-E236)*0.5*Dashboard!$B$18+MAX(0,M236-E236*POWER(1+$A$2,$R$2-($Q$2+A236))*POWER(1+$C$2,$S$2-$R$2))*MAX(Dashboard!$C$18,Dashboard!$B$18)))))</f>
        <v>0</v>
      </c>
    </row>
    <row r="237" spans="1:14" x14ac:dyDescent="0.2">
      <c r="A237" s="22">
        <f t="shared" si="41"/>
        <v>232</v>
      </c>
      <c r="B237" s="23">
        <f t="shared" si="42"/>
        <v>37.38812785388123</v>
      </c>
      <c r="C237" t="str">
        <f t="shared" si="33"/>
        <v>37 y 4.66 m</v>
      </c>
      <c r="D237" s="24">
        <f>IF(A237&gt;=$E$2,IF(A237&lt;$E$2+$H$2,$P$2,0),IF(B237&lt;Dashboard!$I$6,0,IF(A237&gt;=$F$2,Dashboard!$C$23*POWER(1+$C$2,A237-$F$2),Dashboard!$C$23)))</f>
        <v>5092.3674515238745</v>
      </c>
      <c r="E237" s="24">
        <f>IF(A237&gt;=$F$2,0,IF(A237=0,Dashboard!$G$10,IF(B237&lt;Dashboard!$I$6,IF($J$2&lt;=Dashboard!$H$10,Dashboard!$H$10,MAX(Dashboard!$H$10,MIN($J$2,Dashboard!$H$10*POWER($J$2/Dashboard!$H$10,A237/$D$2)))),$I$2-D237-Dashboard!$I$10-Dashboard!$J$10-Dashboard!$F$10*$I$2)))</f>
        <v>1789.4325484761255</v>
      </c>
      <c r="F237" s="24">
        <f t="shared" si="34"/>
        <v>0</v>
      </c>
      <c r="G237" s="24">
        <f t="shared" si="35"/>
        <v>0</v>
      </c>
      <c r="H237" s="24">
        <f t="shared" si="36"/>
        <v>0</v>
      </c>
      <c r="I237" s="24">
        <f t="shared" si="37"/>
        <v>1789.4325484761255</v>
      </c>
      <c r="J237" s="25">
        <f t="shared" si="38"/>
        <v>7.9741404289037643E-3</v>
      </c>
      <c r="K237" s="24">
        <f t="shared" si="43"/>
        <v>1344859.6481037487</v>
      </c>
      <c r="L237" s="24" t="str">
        <f t="shared" si="39"/>
        <v/>
      </c>
      <c r="M237" s="24">
        <f t="shared" si="40"/>
        <v>0</v>
      </c>
      <c r="N237" s="24">
        <f>IF(M237&lt;=0,0,IF($E$2-A237&lt;12,(M237-E237)*Dashboard!$B$18,IF($Q$2+A237&gt;=$R$2,MAX(0,M237-E237*POWER(1+$C$2,$E$2-A237))*MAX(Dashboard!$C$18,Dashboard!$B$18),IF($S$2&lt;$R$2,(M237-E237)*0.5*Dashboard!$B$18,(E237*POWER(1+$A$2,$R$2-($Q$2+A237))-E237)*0.5*Dashboard!$B$18+MAX(0,M237-E237*POWER(1+$A$2,$R$2-($Q$2+A237))*POWER(1+$C$2,$S$2-$R$2))*MAX(Dashboard!$C$18,Dashboard!$B$18)))))</f>
        <v>0</v>
      </c>
    </row>
    <row r="238" spans="1:14" x14ac:dyDescent="0.2">
      <c r="A238" s="22">
        <f t="shared" si="41"/>
        <v>233</v>
      </c>
      <c r="B238" s="23">
        <f t="shared" si="42"/>
        <v>37.471461187214565</v>
      </c>
      <c r="C238" t="str">
        <f t="shared" si="33"/>
        <v>37 y 5.66 m</v>
      </c>
      <c r="D238" s="24">
        <f>IF(A238&gt;=$E$2,IF(A238&lt;$E$2+$H$2,$P$2,0),IF(B238&lt;Dashboard!$I$6,0,IF(A238&gt;=$F$2,Dashboard!$C$23*POWER(1+$C$2,A238-$F$2),Dashboard!$C$23)))</f>
        <v>5092.3674515238745</v>
      </c>
      <c r="E238" s="24">
        <f>IF(A238&gt;=$F$2,0,IF(A238=0,Dashboard!$G$10,IF(B238&lt;Dashboard!$I$6,IF($J$2&lt;=Dashboard!$H$10,Dashboard!$H$10,MAX(Dashboard!$H$10,MIN($J$2,Dashboard!$H$10*POWER($J$2/Dashboard!$H$10,A238/$D$2)))),$I$2-D238-Dashboard!$I$10-Dashboard!$J$10-Dashboard!$F$10*$I$2)))</f>
        <v>1789.4325484761255</v>
      </c>
      <c r="F238" s="24">
        <f t="shared" si="34"/>
        <v>0</v>
      </c>
      <c r="G238" s="24">
        <f t="shared" si="35"/>
        <v>0</v>
      </c>
      <c r="H238" s="24">
        <f t="shared" si="36"/>
        <v>0</v>
      </c>
      <c r="I238" s="24">
        <f t="shared" si="37"/>
        <v>1789.4325484761255</v>
      </c>
      <c r="J238" s="25">
        <f t="shared" si="38"/>
        <v>7.9741404289037643E-3</v>
      </c>
      <c r="K238" s="24">
        <f t="shared" si="43"/>
        <v>1357387.4495297999</v>
      </c>
      <c r="L238" s="24" t="str">
        <f t="shared" si="39"/>
        <v/>
      </c>
      <c r="M238" s="24">
        <f t="shared" si="40"/>
        <v>0</v>
      </c>
      <c r="N238" s="24">
        <f>IF(M238&lt;=0,0,IF($E$2-A238&lt;12,(M238-E238)*Dashboard!$B$18,IF($Q$2+A238&gt;=$R$2,MAX(0,M238-E238*POWER(1+$C$2,$E$2-A238))*MAX(Dashboard!$C$18,Dashboard!$B$18),IF($S$2&lt;$R$2,(M238-E238)*0.5*Dashboard!$B$18,(E238*POWER(1+$A$2,$R$2-($Q$2+A238))-E238)*0.5*Dashboard!$B$18+MAX(0,M238-E238*POWER(1+$A$2,$R$2-($Q$2+A238))*POWER(1+$C$2,$S$2-$R$2))*MAX(Dashboard!$C$18,Dashboard!$B$18)))))</f>
        <v>0</v>
      </c>
    </row>
    <row r="239" spans="1:14" x14ac:dyDescent="0.2">
      <c r="A239" s="22">
        <f t="shared" si="41"/>
        <v>234</v>
      </c>
      <c r="B239" s="23">
        <f t="shared" si="42"/>
        <v>37.554794520547901</v>
      </c>
      <c r="C239" t="str">
        <f t="shared" si="33"/>
        <v>37 y 6.66 m</v>
      </c>
      <c r="D239" s="24">
        <f>IF(A239&gt;=$E$2,IF(A239&lt;$E$2+$H$2,$P$2,0),IF(B239&lt;Dashboard!$I$6,0,IF(A239&gt;=$F$2,Dashboard!$C$23*POWER(1+$C$2,A239-$F$2),Dashboard!$C$23)))</f>
        <v>5092.3674515238745</v>
      </c>
      <c r="E239" s="24">
        <f>IF(A239&gt;=$F$2,0,IF(A239=0,Dashboard!$G$10,IF(B239&lt;Dashboard!$I$6,IF($J$2&lt;=Dashboard!$H$10,Dashboard!$H$10,MAX(Dashboard!$H$10,MIN($J$2,Dashboard!$H$10*POWER($J$2/Dashboard!$H$10,A239/$D$2)))),$I$2-D239-Dashboard!$I$10-Dashboard!$J$10-Dashboard!$F$10*$I$2)))</f>
        <v>1789.4325484761255</v>
      </c>
      <c r="F239" s="24">
        <f t="shared" si="34"/>
        <v>0</v>
      </c>
      <c r="G239" s="24">
        <f t="shared" si="35"/>
        <v>0</v>
      </c>
      <c r="H239" s="24">
        <f t="shared" si="36"/>
        <v>0</v>
      </c>
      <c r="I239" s="24">
        <f t="shared" si="37"/>
        <v>1789.4325484761255</v>
      </c>
      <c r="J239" s="25">
        <f t="shared" si="38"/>
        <v>7.9741404289037643E-3</v>
      </c>
      <c r="K239" s="24">
        <f t="shared" si="43"/>
        <v>1370015.1494036878</v>
      </c>
      <c r="L239" s="24" t="str">
        <f t="shared" si="39"/>
        <v/>
      </c>
      <c r="M239" s="24">
        <f t="shared" si="40"/>
        <v>0</v>
      </c>
      <c r="N239" s="24">
        <f>IF(M239&lt;=0,0,IF($E$2-A239&lt;12,(M239-E239)*Dashboard!$B$18,IF($Q$2+A239&gt;=$R$2,MAX(0,M239-E239*POWER(1+$C$2,$E$2-A239))*MAX(Dashboard!$C$18,Dashboard!$B$18),IF($S$2&lt;$R$2,(M239-E239)*0.5*Dashboard!$B$18,(E239*POWER(1+$A$2,$R$2-($Q$2+A239))-E239)*0.5*Dashboard!$B$18+MAX(0,M239-E239*POWER(1+$A$2,$R$2-($Q$2+A239))*POWER(1+$C$2,$S$2-$R$2))*MAX(Dashboard!$C$18,Dashboard!$B$18)))))</f>
        <v>0</v>
      </c>
    </row>
    <row r="240" spans="1:14" x14ac:dyDescent="0.2">
      <c r="A240" s="22">
        <f t="shared" si="41"/>
        <v>235</v>
      </c>
      <c r="B240" s="23">
        <f t="shared" si="42"/>
        <v>37.638127853881237</v>
      </c>
      <c r="C240" t="str">
        <f t="shared" si="33"/>
        <v>37 y 7.66 m</v>
      </c>
      <c r="D240" s="24">
        <f>IF(A240&gt;=$E$2,IF(A240&lt;$E$2+$H$2,$P$2,0),IF(B240&lt;Dashboard!$I$6,0,IF(A240&gt;=$F$2,Dashboard!$C$23*POWER(1+$C$2,A240-$F$2),Dashboard!$C$23)))</f>
        <v>5092.3674515238745</v>
      </c>
      <c r="E240" s="24">
        <f>IF(A240&gt;=$F$2,0,IF(A240=0,Dashboard!$G$10,IF(B240&lt;Dashboard!$I$6,IF($J$2&lt;=Dashboard!$H$10,Dashboard!$H$10,MAX(Dashboard!$H$10,MIN($J$2,Dashboard!$H$10*POWER($J$2/Dashboard!$H$10,A240/$D$2)))),$I$2-D240-Dashboard!$I$10-Dashboard!$J$10-Dashboard!$F$10*$I$2)))</f>
        <v>1789.4325484761255</v>
      </c>
      <c r="F240" s="24">
        <f t="shared" si="34"/>
        <v>0</v>
      </c>
      <c r="G240" s="24">
        <f t="shared" si="35"/>
        <v>0</v>
      </c>
      <c r="H240" s="24">
        <f t="shared" si="36"/>
        <v>0</v>
      </c>
      <c r="I240" s="24">
        <f t="shared" si="37"/>
        <v>1789.4325484761255</v>
      </c>
      <c r="J240" s="25">
        <f t="shared" si="38"/>
        <v>7.9741404289037643E-3</v>
      </c>
      <c r="K240" s="24">
        <f t="shared" si="43"/>
        <v>1382743.5443296642</v>
      </c>
      <c r="L240" s="24" t="str">
        <f t="shared" si="39"/>
        <v/>
      </c>
      <c r="M240" s="24">
        <f t="shared" si="40"/>
        <v>0</v>
      </c>
      <c r="N240" s="24">
        <f>IF(M240&lt;=0,0,IF($E$2-A240&lt;12,(M240-E240)*Dashboard!$B$18,IF($Q$2+A240&gt;=$R$2,MAX(0,M240-E240*POWER(1+$C$2,$E$2-A240))*MAX(Dashboard!$C$18,Dashboard!$B$18),IF($S$2&lt;$R$2,(M240-E240)*0.5*Dashboard!$B$18,(E240*POWER(1+$A$2,$R$2-($Q$2+A240))-E240)*0.5*Dashboard!$B$18+MAX(0,M240-E240*POWER(1+$A$2,$R$2-($Q$2+A240))*POWER(1+$C$2,$S$2-$R$2))*MAX(Dashboard!$C$18,Dashboard!$B$18)))))</f>
        <v>0</v>
      </c>
    </row>
    <row r="241" spans="1:14" x14ac:dyDescent="0.2">
      <c r="A241" s="22">
        <f t="shared" si="41"/>
        <v>236</v>
      </c>
      <c r="B241" s="23">
        <f t="shared" si="42"/>
        <v>37.721461187214572</v>
      </c>
      <c r="C241" t="str">
        <f t="shared" si="33"/>
        <v>37 y 8.66 m</v>
      </c>
      <c r="D241" s="24">
        <f>IF(A241&gt;=$E$2,IF(A241&lt;$E$2+$H$2,$P$2,0),IF(B241&lt;Dashboard!$I$6,0,IF(A241&gt;=$F$2,Dashboard!$C$23*POWER(1+$C$2,A241-$F$2),Dashboard!$C$23)))</f>
        <v>5092.3674515238745</v>
      </c>
      <c r="E241" s="24">
        <f>IF(A241&gt;=$F$2,0,IF(A241=0,Dashboard!$G$10,IF(B241&lt;Dashboard!$I$6,IF($J$2&lt;=Dashboard!$H$10,Dashboard!$H$10,MAX(Dashboard!$H$10,MIN($J$2,Dashboard!$H$10*POWER($J$2/Dashboard!$H$10,A241/$D$2)))),$I$2-D241-Dashboard!$I$10-Dashboard!$J$10-Dashboard!$F$10*$I$2)))</f>
        <v>1789.4325484761255</v>
      </c>
      <c r="F241" s="24">
        <f t="shared" si="34"/>
        <v>0</v>
      </c>
      <c r="G241" s="24">
        <f t="shared" si="35"/>
        <v>0</v>
      </c>
      <c r="H241" s="24">
        <f t="shared" si="36"/>
        <v>0</v>
      </c>
      <c r="I241" s="24">
        <f t="shared" si="37"/>
        <v>1789.4325484761255</v>
      </c>
      <c r="J241" s="25">
        <f t="shared" si="38"/>
        <v>7.9741404289037643E-3</v>
      </c>
      <c r="K241" s="24">
        <f t="shared" si="43"/>
        <v>1395573.4372642147</v>
      </c>
      <c r="L241" s="24" t="str">
        <f t="shared" si="39"/>
        <v/>
      </c>
      <c r="M241" s="24">
        <f t="shared" si="40"/>
        <v>0</v>
      </c>
      <c r="N241" s="24">
        <f>IF(M241&lt;=0,0,IF($E$2-A241&lt;12,(M241-E241)*Dashboard!$B$18,IF($Q$2+A241&gt;=$R$2,MAX(0,M241-E241*POWER(1+$C$2,$E$2-A241))*MAX(Dashboard!$C$18,Dashboard!$B$18),IF($S$2&lt;$R$2,(M241-E241)*0.5*Dashboard!$B$18,(E241*POWER(1+$A$2,$R$2-($Q$2+A241))-E241)*0.5*Dashboard!$B$18+MAX(0,M241-E241*POWER(1+$A$2,$R$2-($Q$2+A241))*POWER(1+$C$2,$S$2-$R$2))*MAX(Dashboard!$C$18,Dashboard!$B$18)))))</f>
        <v>0</v>
      </c>
    </row>
    <row r="242" spans="1:14" x14ac:dyDescent="0.2">
      <c r="A242" s="22">
        <f t="shared" si="41"/>
        <v>237</v>
      </c>
      <c r="B242" s="23">
        <f t="shared" si="42"/>
        <v>37.804794520547908</v>
      </c>
      <c r="C242" t="str">
        <f t="shared" si="33"/>
        <v>37 y 9.66 m</v>
      </c>
      <c r="D242" s="24">
        <f>IF(A242&gt;=$E$2,IF(A242&lt;$E$2+$H$2,$P$2,0),IF(B242&lt;Dashboard!$I$6,0,IF(A242&gt;=$F$2,Dashboard!$C$23*POWER(1+$C$2,A242-$F$2),Dashboard!$C$23)))</f>
        <v>5092.3674515238745</v>
      </c>
      <c r="E242" s="24">
        <f>IF(A242&gt;=$F$2,0,IF(A242=0,Dashboard!$G$10,IF(B242&lt;Dashboard!$I$6,IF($J$2&lt;=Dashboard!$H$10,Dashboard!$H$10,MAX(Dashboard!$H$10,MIN($J$2,Dashboard!$H$10*POWER($J$2/Dashboard!$H$10,A242/$D$2)))),$I$2-D242-Dashboard!$I$10-Dashboard!$J$10-Dashboard!$F$10*$I$2)))</f>
        <v>1789.4325484761255</v>
      </c>
      <c r="F242" s="24">
        <f t="shared" si="34"/>
        <v>0</v>
      </c>
      <c r="G242" s="24">
        <f t="shared" si="35"/>
        <v>0</v>
      </c>
      <c r="H242" s="24">
        <f t="shared" si="36"/>
        <v>0</v>
      </c>
      <c r="I242" s="24">
        <f t="shared" si="37"/>
        <v>1789.4325484761255</v>
      </c>
      <c r="J242" s="25">
        <f t="shared" si="38"/>
        <v>7.9741404289037643E-3</v>
      </c>
      <c r="K242" s="24">
        <f t="shared" si="43"/>
        <v>1408505.6375667132</v>
      </c>
      <c r="L242" s="24" t="str">
        <f t="shared" si="39"/>
        <v/>
      </c>
      <c r="M242" s="24">
        <f t="shared" si="40"/>
        <v>0</v>
      </c>
      <c r="N242" s="24">
        <f>IF(M242&lt;=0,0,IF($E$2-A242&lt;12,(M242-E242)*Dashboard!$B$18,IF($Q$2+A242&gt;=$R$2,MAX(0,M242-E242*POWER(1+$C$2,$E$2-A242))*MAX(Dashboard!$C$18,Dashboard!$B$18),IF($S$2&lt;$R$2,(M242-E242)*0.5*Dashboard!$B$18,(E242*POWER(1+$A$2,$R$2-($Q$2+A242))-E242)*0.5*Dashboard!$B$18+MAX(0,M242-E242*POWER(1+$A$2,$R$2-($Q$2+A242))*POWER(1+$C$2,$S$2-$R$2))*MAX(Dashboard!$C$18,Dashboard!$B$18)))))</f>
        <v>0</v>
      </c>
    </row>
    <row r="243" spans="1:14" x14ac:dyDescent="0.2">
      <c r="A243" s="22">
        <f t="shared" si="41"/>
        <v>238</v>
      </c>
      <c r="B243" s="23">
        <f t="shared" si="42"/>
        <v>37.888127853881244</v>
      </c>
      <c r="C243" t="str">
        <f t="shared" si="33"/>
        <v>37 y 10.66 m</v>
      </c>
      <c r="D243" s="24">
        <f>IF(A243&gt;=$E$2,IF(A243&lt;$E$2+$H$2,$P$2,0),IF(B243&lt;Dashboard!$I$6,0,IF(A243&gt;=$F$2,Dashboard!$C$23*POWER(1+$C$2,A243-$F$2),Dashboard!$C$23)))</f>
        <v>5092.3674515238745</v>
      </c>
      <c r="E243" s="24">
        <f>IF(A243&gt;=$F$2,0,IF(A243=0,Dashboard!$G$10,IF(B243&lt;Dashboard!$I$6,IF($J$2&lt;=Dashboard!$H$10,Dashboard!$H$10,MAX(Dashboard!$H$10,MIN($J$2,Dashboard!$H$10*POWER($J$2/Dashboard!$H$10,A243/$D$2)))),$I$2-D243-Dashboard!$I$10-Dashboard!$J$10-Dashboard!$F$10*$I$2)))</f>
        <v>1789.4325484761255</v>
      </c>
      <c r="F243" s="24">
        <f t="shared" si="34"/>
        <v>0</v>
      </c>
      <c r="G243" s="24">
        <f t="shared" si="35"/>
        <v>0</v>
      </c>
      <c r="H243" s="24">
        <f t="shared" si="36"/>
        <v>0</v>
      </c>
      <c r="I243" s="24">
        <f t="shared" si="37"/>
        <v>1789.4325484761255</v>
      </c>
      <c r="J243" s="25">
        <f t="shared" si="38"/>
        <v>7.9741404289037643E-3</v>
      </c>
      <c r="K243" s="24">
        <f t="shared" si="43"/>
        <v>1421540.9610504785</v>
      </c>
      <c r="L243" s="24" t="str">
        <f t="shared" si="39"/>
        <v/>
      </c>
      <c r="M243" s="24">
        <f t="shared" si="40"/>
        <v>0</v>
      </c>
      <c r="N243" s="24">
        <f>IF(M243&lt;=0,0,IF($E$2-A243&lt;12,(M243-E243)*Dashboard!$B$18,IF($Q$2+A243&gt;=$R$2,MAX(0,M243-E243*POWER(1+$C$2,$E$2-A243))*MAX(Dashboard!$C$18,Dashboard!$B$18),IF($S$2&lt;$R$2,(M243-E243)*0.5*Dashboard!$B$18,(E243*POWER(1+$A$2,$R$2-($Q$2+A243))-E243)*0.5*Dashboard!$B$18+MAX(0,M243-E243*POWER(1+$A$2,$R$2-($Q$2+A243))*POWER(1+$C$2,$S$2-$R$2))*MAX(Dashboard!$C$18,Dashboard!$B$18)))))</f>
        <v>0</v>
      </c>
    </row>
    <row r="244" spans="1:14" x14ac:dyDescent="0.2">
      <c r="A244" s="22">
        <f t="shared" si="41"/>
        <v>239</v>
      </c>
      <c r="B244" s="23">
        <f t="shared" si="42"/>
        <v>37.97146118721458</v>
      </c>
      <c r="C244" t="str">
        <f t="shared" si="33"/>
        <v>37 y 11.66 m</v>
      </c>
      <c r="D244" s="24">
        <f>IF(A244&gt;=$E$2,IF(A244&lt;$E$2+$H$2,$P$2,0),IF(B244&lt;Dashboard!$I$6,0,IF(A244&gt;=$F$2,Dashboard!$C$23*POWER(1+$C$2,A244-$F$2),Dashboard!$C$23)))</f>
        <v>5092.3674515238745</v>
      </c>
      <c r="E244" s="24">
        <f>IF(A244&gt;=$F$2,0,IF(A244=0,Dashboard!$G$10,IF(B244&lt;Dashboard!$I$6,IF($J$2&lt;=Dashboard!$H$10,Dashboard!$H$10,MAX(Dashboard!$H$10,MIN($J$2,Dashboard!$H$10*POWER($J$2/Dashboard!$H$10,A244/$D$2)))),$I$2-D244-Dashboard!$I$10-Dashboard!$J$10-Dashboard!$F$10*$I$2)))</f>
        <v>1789.4325484761255</v>
      </c>
      <c r="F244" s="24">
        <f t="shared" si="34"/>
        <v>0</v>
      </c>
      <c r="G244" s="24">
        <f t="shared" si="35"/>
        <v>0</v>
      </c>
      <c r="H244" s="24">
        <f t="shared" si="36"/>
        <v>0</v>
      </c>
      <c r="I244" s="24">
        <f t="shared" si="37"/>
        <v>1789.4325484761255</v>
      </c>
      <c r="J244" s="25">
        <f t="shared" si="38"/>
        <v>7.9741404289037643E-3</v>
      </c>
      <c r="K244" s="24">
        <f t="shared" si="43"/>
        <v>1434680.2300342396</v>
      </c>
      <c r="L244" s="24" t="str">
        <f t="shared" si="39"/>
        <v/>
      </c>
      <c r="M244" s="24">
        <f t="shared" si="40"/>
        <v>0</v>
      </c>
      <c r="N244" s="24">
        <f>IF(M244&lt;=0,0,IF($E$2-A244&lt;12,(M244-E244)*Dashboard!$B$18,IF($Q$2+A244&gt;=$R$2,MAX(0,M244-E244*POWER(1+$C$2,$E$2-A244))*MAX(Dashboard!$C$18,Dashboard!$B$18),IF($S$2&lt;$R$2,(M244-E244)*0.5*Dashboard!$B$18,(E244*POWER(1+$A$2,$R$2-($Q$2+A244))-E244)*0.5*Dashboard!$B$18+MAX(0,M244-E244*POWER(1+$A$2,$R$2-($Q$2+A244))*POWER(1+$C$2,$S$2-$R$2))*MAX(Dashboard!$C$18,Dashboard!$B$18)))))</f>
        <v>0</v>
      </c>
    </row>
    <row r="245" spans="1:14" x14ac:dyDescent="0.2">
      <c r="A245" s="22">
        <f t="shared" si="41"/>
        <v>240</v>
      </c>
      <c r="B245" s="23">
        <f t="shared" si="42"/>
        <v>38.054794520547915</v>
      </c>
      <c r="C245" t="str">
        <f t="shared" si="33"/>
        <v>38 y 0.66 m</v>
      </c>
      <c r="D245" s="24">
        <f>IF(A245&gt;=$E$2,IF(A245&lt;$E$2+$H$2,$P$2,0),IF(B245&lt;Dashboard!$I$6,0,IF(A245&gt;=$F$2,Dashboard!$C$23*POWER(1+$C$2,A245-$F$2),Dashboard!$C$23)))</f>
        <v>5092.3674515238745</v>
      </c>
      <c r="E245" s="24">
        <f>IF(A245&gt;=$F$2,0,IF(A245=0,Dashboard!$G$10,IF(B245&lt;Dashboard!$I$6,IF($J$2&lt;=Dashboard!$H$10,Dashboard!$H$10,MAX(Dashboard!$H$10,MIN($J$2,Dashboard!$H$10*POWER($J$2/Dashboard!$H$10,A245/$D$2)))),$I$2-D245-Dashboard!$I$10-Dashboard!$J$10-Dashboard!$F$10*$I$2)))</f>
        <v>1789.4325484761255</v>
      </c>
      <c r="F245" s="24">
        <f t="shared" si="34"/>
        <v>0</v>
      </c>
      <c r="G245" s="24">
        <f t="shared" si="35"/>
        <v>0</v>
      </c>
      <c r="H245" s="24">
        <f t="shared" si="36"/>
        <v>0</v>
      </c>
      <c r="I245" s="24">
        <f t="shared" si="37"/>
        <v>1789.4325484761255</v>
      </c>
      <c r="J245" s="25">
        <f t="shared" si="38"/>
        <v>7.9741404289037643E-3</v>
      </c>
      <c r="K245" s="24">
        <f t="shared" si="43"/>
        <v>1447924.2733940103</v>
      </c>
      <c r="L245" s="24" t="str">
        <f t="shared" si="39"/>
        <v/>
      </c>
      <c r="M245" s="24">
        <f t="shared" si="40"/>
        <v>0</v>
      </c>
      <c r="N245" s="24">
        <f>IF(M245&lt;=0,0,IF($E$2-A245&lt;12,(M245-E245)*Dashboard!$B$18,IF($Q$2+A245&gt;=$R$2,MAX(0,M245-E245*POWER(1+$C$2,$E$2-A245))*MAX(Dashboard!$C$18,Dashboard!$B$18),IF($S$2&lt;$R$2,(M245-E245)*0.5*Dashboard!$B$18,(E245*POWER(1+$A$2,$R$2-($Q$2+A245))-E245)*0.5*Dashboard!$B$18+MAX(0,M245-E245*POWER(1+$A$2,$R$2-($Q$2+A245))*POWER(1+$C$2,$S$2-$R$2))*MAX(Dashboard!$C$18,Dashboard!$B$18)))))</f>
        <v>0</v>
      </c>
    </row>
    <row r="246" spans="1:14" x14ac:dyDescent="0.2">
      <c r="A246" s="22">
        <f t="shared" si="41"/>
        <v>241</v>
      </c>
      <c r="B246" s="23">
        <f t="shared" si="42"/>
        <v>38.138127853881251</v>
      </c>
      <c r="C246" t="str">
        <f t="shared" si="33"/>
        <v>38 y 1.66 m</v>
      </c>
      <c r="D246" s="24">
        <f>IF(A246&gt;=$E$2,IF(A246&lt;$E$2+$H$2,$P$2,0),IF(B246&lt;Dashboard!$I$6,0,IF(A246&gt;=$F$2,Dashboard!$C$23*POWER(1+$C$2,A246-$F$2),Dashboard!$C$23)))</f>
        <v>5092.3674515238745</v>
      </c>
      <c r="E246" s="24">
        <f>IF(A246&gt;=$F$2,0,IF(A246=0,Dashboard!$G$10,IF(B246&lt;Dashboard!$I$6,IF($J$2&lt;=Dashboard!$H$10,Dashboard!$H$10,MAX(Dashboard!$H$10,MIN($J$2,Dashboard!$H$10*POWER($J$2/Dashboard!$H$10,A246/$D$2)))),$I$2-D246-Dashboard!$I$10-Dashboard!$J$10-Dashboard!$F$10*$I$2)))</f>
        <v>1789.4325484761255</v>
      </c>
      <c r="F246" s="24">
        <f t="shared" si="34"/>
        <v>0</v>
      </c>
      <c r="G246" s="24">
        <f t="shared" si="35"/>
        <v>0</v>
      </c>
      <c r="H246" s="24">
        <f t="shared" si="36"/>
        <v>0</v>
      </c>
      <c r="I246" s="24">
        <f t="shared" si="37"/>
        <v>1789.4325484761255</v>
      </c>
      <c r="J246" s="25">
        <f t="shared" si="38"/>
        <v>7.9741404289037643E-3</v>
      </c>
      <c r="K246" s="24">
        <f t="shared" si="43"/>
        <v>1461273.9266153784</v>
      </c>
      <c r="L246" s="24" t="str">
        <f t="shared" si="39"/>
        <v/>
      </c>
      <c r="M246" s="24">
        <f t="shared" si="40"/>
        <v>0</v>
      </c>
      <c r="N246" s="24">
        <f>IF(M246&lt;=0,0,IF($E$2-A246&lt;12,(M246-E246)*Dashboard!$B$18,IF($Q$2+A246&gt;=$R$2,MAX(0,M246-E246*POWER(1+$C$2,$E$2-A246))*MAX(Dashboard!$C$18,Dashboard!$B$18),IF($S$2&lt;$R$2,(M246-E246)*0.5*Dashboard!$B$18,(E246*POWER(1+$A$2,$R$2-($Q$2+A246))-E246)*0.5*Dashboard!$B$18+MAX(0,M246-E246*POWER(1+$A$2,$R$2-($Q$2+A246))*POWER(1+$C$2,$S$2-$R$2))*MAX(Dashboard!$C$18,Dashboard!$B$18)))))</f>
        <v>0</v>
      </c>
    </row>
    <row r="247" spans="1:14" x14ac:dyDescent="0.2">
      <c r="A247" s="22">
        <f t="shared" si="41"/>
        <v>242</v>
      </c>
      <c r="B247" s="23">
        <f t="shared" si="42"/>
        <v>38.221461187214587</v>
      </c>
      <c r="C247" t="str">
        <f t="shared" si="33"/>
        <v>38 y 2.66 m</v>
      </c>
      <c r="D247" s="24">
        <f>IF(A247&gt;=$E$2,IF(A247&lt;$E$2+$H$2,$P$2,0),IF(B247&lt;Dashboard!$I$6,0,IF(A247&gt;=$F$2,Dashboard!$C$23*POWER(1+$C$2,A247-$F$2),Dashboard!$C$23)))</f>
        <v>5092.3674515238745</v>
      </c>
      <c r="E247" s="24">
        <f>IF(A247&gt;=$F$2,0,IF(A247=0,Dashboard!$G$10,IF(B247&lt;Dashboard!$I$6,IF($J$2&lt;=Dashboard!$H$10,Dashboard!$H$10,MAX(Dashboard!$H$10,MIN($J$2,Dashboard!$H$10*POWER($J$2/Dashboard!$H$10,A247/$D$2)))),$I$2-D247-Dashboard!$I$10-Dashboard!$J$10-Dashboard!$F$10*$I$2)))</f>
        <v>1789.4325484761255</v>
      </c>
      <c r="F247" s="24">
        <f t="shared" si="34"/>
        <v>0</v>
      </c>
      <c r="G247" s="24">
        <f t="shared" si="35"/>
        <v>0</v>
      </c>
      <c r="H247" s="24">
        <f t="shared" si="36"/>
        <v>0</v>
      </c>
      <c r="I247" s="24">
        <f t="shared" si="37"/>
        <v>1789.4325484761255</v>
      </c>
      <c r="J247" s="25">
        <f t="shared" si="38"/>
        <v>7.9741404289037643E-3</v>
      </c>
      <c r="K247" s="24">
        <f t="shared" si="43"/>
        <v>1474730.0318462108</v>
      </c>
      <c r="L247" s="24" t="str">
        <f t="shared" si="39"/>
        <v/>
      </c>
      <c r="M247" s="24">
        <f t="shared" si="40"/>
        <v>0</v>
      </c>
      <c r="N247" s="24">
        <f>IF(M247&lt;=0,0,IF($E$2-A247&lt;12,(M247-E247)*Dashboard!$B$18,IF($Q$2+A247&gt;=$R$2,MAX(0,M247-E247*POWER(1+$C$2,$E$2-A247))*MAX(Dashboard!$C$18,Dashboard!$B$18),IF($S$2&lt;$R$2,(M247-E247)*0.5*Dashboard!$B$18,(E247*POWER(1+$A$2,$R$2-($Q$2+A247))-E247)*0.5*Dashboard!$B$18+MAX(0,M247-E247*POWER(1+$A$2,$R$2-($Q$2+A247))*POWER(1+$C$2,$S$2-$R$2))*MAX(Dashboard!$C$18,Dashboard!$B$18)))))</f>
        <v>0</v>
      </c>
    </row>
    <row r="248" spans="1:14" x14ac:dyDescent="0.2">
      <c r="A248" s="22">
        <f t="shared" si="41"/>
        <v>243</v>
      </c>
      <c r="B248" s="23">
        <f t="shared" si="42"/>
        <v>38.304794520547922</v>
      </c>
      <c r="C248" t="str">
        <f t="shared" si="33"/>
        <v>38 y 3.66 m</v>
      </c>
      <c r="D248" s="24">
        <f>IF(A248&gt;=$E$2,IF(A248&lt;$E$2+$H$2,$P$2,0),IF(B248&lt;Dashboard!$I$6,0,IF(A248&gt;=$F$2,Dashboard!$C$23*POWER(1+$C$2,A248-$F$2),Dashboard!$C$23)))</f>
        <v>5092.3674515238745</v>
      </c>
      <c r="E248" s="24">
        <f>IF(A248&gt;=$F$2,0,IF(A248=0,Dashboard!$G$10,IF(B248&lt;Dashboard!$I$6,IF($J$2&lt;=Dashboard!$H$10,Dashboard!$H$10,MAX(Dashboard!$H$10,MIN($J$2,Dashboard!$H$10*POWER($J$2/Dashboard!$H$10,A248/$D$2)))),$I$2-D248-Dashboard!$I$10-Dashboard!$J$10-Dashboard!$F$10*$I$2)))</f>
        <v>1789.4325484761255</v>
      </c>
      <c r="F248" s="24">
        <f t="shared" si="34"/>
        <v>0</v>
      </c>
      <c r="G248" s="24">
        <f t="shared" si="35"/>
        <v>0</v>
      </c>
      <c r="H248" s="24">
        <f t="shared" si="36"/>
        <v>0</v>
      </c>
      <c r="I248" s="24">
        <f t="shared" si="37"/>
        <v>1789.4325484761255</v>
      </c>
      <c r="J248" s="25">
        <f t="shared" si="38"/>
        <v>7.9741404289037643E-3</v>
      </c>
      <c r="K248" s="24">
        <f t="shared" si="43"/>
        <v>1488293.4379497799</v>
      </c>
      <c r="L248" s="24" t="str">
        <f t="shared" si="39"/>
        <v/>
      </c>
      <c r="M248" s="24">
        <f t="shared" si="40"/>
        <v>0</v>
      </c>
      <c r="N248" s="24">
        <f>IF(M248&lt;=0,0,IF($E$2-A248&lt;12,(M248-E248)*Dashboard!$B$18,IF($Q$2+A248&gt;=$R$2,MAX(0,M248-E248*POWER(1+$C$2,$E$2-A248))*MAX(Dashboard!$C$18,Dashboard!$B$18),IF($S$2&lt;$R$2,(M248-E248)*0.5*Dashboard!$B$18,(E248*POWER(1+$A$2,$R$2-($Q$2+A248))-E248)*0.5*Dashboard!$B$18+MAX(0,M248-E248*POWER(1+$A$2,$R$2-($Q$2+A248))*POWER(1+$C$2,$S$2-$R$2))*MAX(Dashboard!$C$18,Dashboard!$B$18)))))</f>
        <v>0</v>
      </c>
    </row>
    <row r="249" spans="1:14" x14ac:dyDescent="0.2">
      <c r="A249" s="22">
        <f t="shared" si="41"/>
        <v>244</v>
      </c>
      <c r="B249" s="23">
        <f t="shared" si="42"/>
        <v>38.388127853881258</v>
      </c>
      <c r="C249" t="str">
        <f t="shared" si="33"/>
        <v>38 y 4.66 m</v>
      </c>
      <c r="D249" s="24">
        <f>IF(A249&gt;=$E$2,IF(A249&lt;$E$2+$H$2,$P$2,0),IF(B249&lt;Dashboard!$I$6,0,IF(A249&gt;=$F$2,Dashboard!$C$23*POWER(1+$C$2,A249-$F$2),Dashboard!$C$23)))</f>
        <v>5092.3674515238745</v>
      </c>
      <c r="E249" s="24">
        <f>IF(A249&gt;=$F$2,0,IF(A249=0,Dashboard!$G$10,IF(B249&lt;Dashboard!$I$6,IF($J$2&lt;=Dashboard!$H$10,Dashboard!$H$10,MAX(Dashboard!$H$10,MIN($J$2,Dashboard!$H$10*POWER($J$2/Dashboard!$H$10,A249/$D$2)))),$I$2-D249-Dashboard!$I$10-Dashboard!$J$10-Dashboard!$F$10*$I$2)))</f>
        <v>1789.4325484761255</v>
      </c>
      <c r="F249" s="24">
        <f t="shared" si="34"/>
        <v>0</v>
      </c>
      <c r="G249" s="24">
        <f t="shared" si="35"/>
        <v>0</v>
      </c>
      <c r="H249" s="24">
        <f t="shared" si="36"/>
        <v>0</v>
      </c>
      <c r="I249" s="24">
        <f t="shared" si="37"/>
        <v>1789.4325484761255</v>
      </c>
      <c r="J249" s="25">
        <f t="shared" si="38"/>
        <v>7.9741404289037643E-3</v>
      </c>
      <c r="K249" s="24">
        <f t="shared" si="43"/>
        <v>1501965.0005583132</v>
      </c>
      <c r="L249" s="24" t="str">
        <f t="shared" si="39"/>
        <v/>
      </c>
      <c r="M249" s="24">
        <f t="shared" si="40"/>
        <v>0</v>
      </c>
      <c r="N249" s="24">
        <f>IF(M249&lt;=0,0,IF($E$2-A249&lt;12,(M249-E249)*Dashboard!$B$18,IF($Q$2+A249&gt;=$R$2,MAX(0,M249-E249*POWER(1+$C$2,$E$2-A249))*MAX(Dashboard!$C$18,Dashboard!$B$18),IF($S$2&lt;$R$2,(M249-E249)*0.5*Dashboard!$B$18,(E249*POWER(1+$A$2,$R$2-($Q$2+A249))-E249)*0.5*Dashboard!$B$18+MAX(0,M249-E249*POWER(1+$A$2,$R$2-($Q$2+A249))*POWER(1+$C$2,$S$2-$R$2))*MAX(Dashboard!$C$18,Dashboard!$B$18)))))</f>
        <v>0</v>
      </c>
    </row>
    <row r="250" spans="1:14" x14ac:dyDescent="0.2">
      <c r="A250" s="22">
        <f t="shared" si="41"/>
        <v>245</v>
      </c>
      <c r="B250" s="23">
        <f t="shared" si="42"/>
        <v>38.471461187214594</v>
      </c>
      <c r="C250" t="str">
        <f t="shared" si="33"/>
        <v>38 y 5.66 m</v>
      </c>
      <c r="D250" s="24">
        <f>IF(A250&gt;=$E$2,IF(A250&lt;$E$2+$H$2,$P$2,0),IF(B250&lt;Dashboard!$I$6,0,IF(A250&gt;=$F$2,Dashboard!$C$23*POWER(1+$C$2,A250-$F$2),Dashboard!$C$23)))</f>
        <v>5092.3674515238745</v>
      </c>
      <c r="E250" s="24">
        <f>IF(A250&gt;=$F$2,0,IF(A250=0,Dashboard!$G$10,IF(B250&lt;Dashboard!$I$6,IF($J$2&lt;=Dashboard!$H$10,Dashboard!$H$10,MAX(Dashboard!$H$10,MIN($J$2,Dashboard!$H$10*POWER($J$2/Dashboard!$H$10,A250/$D$2)))),$I$2-D250-Dashboard!$I$10-Dashboard!$J$10-Dashboard!$F$10*$I$2)))</f>
        <v>1789.4325484761255</v>
      </c>
      <c r="F250" s="24">
        <f t="shared" si="34"/>
        <v>0</v>
      </c>
      <c r="G250" s="24">
        <f t="shared" si="35"/>
        <v>0</v>
      </c>
      <c r="H250" s="24">
        <f t="shared" si="36"/>
        <v>0</v>
      </c>
      <c r="I250" s="24">
        <f t="shared" si="37"/>
        <v>1789.4325484761255</v>
      </c>
      <c r="J250" s="25">
        <f t="shared" si="38"/>
        <v>7.9741404289037643E-3</v>
      </c>
      <c r="K250" s="24">
        <f t="shared" si="43"/>
        <v>1515745.5821269695</v>
      </c>
      <c r="L250" s="24" t="str">
        <f t="shared" si="39"/>
        <v/>
      </c>
      <c r="M250" s="24">
        <f t="shared" si="40"/>
        <v>0</v>
      </c>
      <c r="N250" s="24">
        <f>IF(M250&lt;=0,0,IF($E$2-A250&lt;12,(M250-E250)*Dashboard!$B$18,IF($Q$2+A250&gt;=$R$2,MAX(0,M250-E250*POWER(1+$C$2,$E$2-A250))*MAX(Dashboard!$C$18,Dashboard!$B$18),IF($S$2&lt;$R$2,(M250-E250)*0.5*Dashboard!$B$18,(E250*POWER(1+$A$2,$R$2-($Q$2+A250))-E250)*0.5*Dashboard!$B$18+MAX(0,M250-E250*POWER(1+$A$2,$R$2-($Q$2+A250))*POWER(1+$C$2,$S$2-$R$2))*MAX(Dashboard!$C$18,Dashboard!$B$18)))))</f>
        <v>0</v>
      </c>
    </row>
    <row r="251" spans="1:14" x14ac:dyDescent="0.2">
      <c r="A251" s="22">
        <f t="shared" si="41"/>
        <v>246</v>
      </c>
      <c r="B251" s="23">
        <f t="shared" si="42"/>
        <v>38.554794520547929</v>
      </c>
      <c r="C251" t="str">
        <f t="shared" si="33"/>
        <v>38 y 6.66 m</v>
      </c>
      <c r="D251" s="24">
        <f>IF(A251&gt;=$E$2,IF(A251&lt;$E$2+$H$2,$P$2,0),IF(B251&lt;Dashboard!$I$6,0,IF(A251&gt;=$F$2,Dashboard!$C$23*POWER(1+$C$2,A251-$F$2),Dashboard!$C$23)))</f>
        <v>5092.3674515238745</v>
      </c>
      <c r="E251" s="24">
        <f>IF(A251&gt;=$F$2,0,IF(A251=0,Dashboard!$G$10,IF(B251&lt;Dashboard!$I$6,IF($J$2&lt;=Dashboard!$H$10,Dashboard!$H$10,MAX(Dashboard!$H$10,MIN($J$2,Dashboard!$H$10*POWER($J$2/Dashboard!$H$10,A251/$D$2)))),$I$2-D251-Dashboard!$I$10-Dashboard!$J$10-Dashboard!$F$10*$I$2)))</f>
        <v>1789.4325484761255</v>
      </c>
      <c r="F251" s="24">
        <f t="shared" si="34"/>
        <v>0</v>
      </c>
      <c r="G251" s="24">
        <f t="shared" si="35"/>
        <v>0</v>
      </c>
      <c r="H251" s="24">
        <f t="shared" si="36"/>
        <v>0</v>
      </c>
      <c r="I251" s="24">
        <f t="shared" si="37"/>
        <v>1789.4325484761255</v>
      </c>
      <c r="J251" s="25">
        <f t="shared" si="38"/>
        <v>7.9741404289037643E-3</v>
      </c>
      <c r="K251" s="24">
        <f t="shared" si="43"/>
        <v>1529636.0519882462</v>
      </c>
      <c r="L251" s="24" t="str">
        <f t="shared" si="39"/>
        <v/>
      </c>
      <c r="M251" s="24">
        <f t="shared" si="40"/>
        <v>0</v>
      </c>
      <c r="N251" s="24">
        <f>IF(M251&lt;=0,0,IF($E$2-A251&lt;12,(M251-E251)*Dashboard!$B$18,IF($Q$2+A251&gt;=$R$2,MAX(0,M251-E251*POWER(1+$C$2,$E$2-A251))*MAX(Dashboard!$C$18,Dashboard!$B$18),IF($S$2&lt;$R$2,(M251-E251)*0.5*Dashboard!$B$18,(E251*POWER(1+$A$2,$R$2-($Q$2+A251))-E251)*0.5*Dashboard!$B$18+MAX(0,M251-E251*POWER(1+$A$2,$R$2-($Q$2+A251))*POWER(1+$C$2,$S$2-$R$2))*MAX(Dashboard!$C$18,Dashboard!$B$18)))))</f>
        <v>0</v>
      </c>
    </row>
    <row r="252" spans="1:14" x14ac:dyDescent="0.2">
      <c r="A252" s="22">
        <f t="shared" si="41"/>
        <v>247</v>
      </c>
      <c r="B252" s="23">
        <f t="shared" si="42"/>
        <v>38.638127853881265</v>
      </c>
      <c r="C252" t="str">
        <f t="shared" si="33"/>
        <v>38 y 7.66 m</v>
      </c>
      <c r="D252" s="24">
        <f>IF(A252&gt;=$E$2,IF(A252&lt;$E$2+$H$2,$P$2,0),IF(B252&lt;Dashboard!$I$6,0,IF(A252&gt;=$F$2,Dashboard!$C$23*POWER(1+$C$2,A252-$F$2),Dashboard!$C$23)))</f>
        <v>5092.3674515238745</v>
      </c>
      <c r="E252" s="24">
        <f>IF(A252&gt;=$F$2,0,IF(A252=0,Dashboard!$G$10,IF(B252&lt;Dashboard!$I$6,IF($J$2&lt;=Dashboard!$H$10,Dashboard!$H$10,MAX(Dashboard!$H$10,MIN($J$2,Dashboard!$H$10*POWER($J$2/Dashboard!$H$10,A252/$D$2)))),$I$2-D252-Dashboard!$I$10-Dashboard!$J$10-Dashboard!$F$10*$I$2)))</f>
        <v>1789.4325484761255</v>
      </c>
      <c r="F252" s="24">
        <f t="shared" si="34"/>
        <v>0</v>
      </c>
      <c r="G252" s="24">
        <f t="shared" si="35"/>
        <v>0</v>
      </c>
      <c r="H252" s="24">
        <f t="shared" si="36"/>
        <v>0</v>
      </c>
      <c r="I252" s="24">
        <f t="shared" si="37"/>
        <v>1789.4325484761255</v>
      </c>
      <c r="J252" s="25">
        <f t="shared" si="38"/>
        <v>7.9741404289037643E-3</v>
      </c>
      <c r="K252" s="24">
        <f t="shared" si="43"/>
        <v>1543637.2864068202</v>
      </c>
      <c r="L252" s="24" t="str">
        <f t="shared" si="39"/>
        <v/>
      </c>
      <c r="M252" s="24">
        <f t="shared" si="40"/>
        <v>0</v>
      </c>
      <c r="N252" s="24">
        <f>IF(M252&lt;=0,0,IF($E$2-A252&lt;12,(M252-E252)*Dashboard!$B$18,IF($Q$2+A252&gt;=$R$2,MAX(0,M252-E252*POWER(1+$C$2,$E$2-A252))*MAX(Dashboard!$C$18,Dashboard!$B$18),IF($S$2&lt;$R$2,(M252-E252)*0.5*Dashboard!$B$18,(E252*POWER(1+$A$2,$R$2-($Q$2+A252))-E252)*0.5*Dashboard!$B$18+MAX(0,M252-E252*POWER(1+$A$2,$R$2-($Q$2+A252))*POWER(1+$C$2,$S$2-$R$2))*MAX(Dashboard!$C$18,Dashboard!$B$18)))))</f>
        <v>0</v>
      </c>
    </row>
    <row r="253" spans="1:14" x14ac:dyDescent="0.2">
      <c r="A253" s="22">
        <f t="shared" si="41"/>
        <v>248</v>
      </c>
      <c r="B253" s="23">
        <f t="shared" si="42"/>
        <v>38.721461187214601</v>
      </c>
      <c r="C253" t="str">
        <f t="shared" si="33"/>
        <v>38 y 8.66 m</v>
      </c>
      <c r="D253" s="24">
        <f>IF(A253&gt;=$E$2,IF(A253&lt;$E$2+$H$2,$P$2,0),IF(B253&lt;Dashboard!$I$6,0,IF(A253&gt;=$F$2,Dashboard!$C$23*POWER(1+$C$2,A253-$F$2),Dashboard!$C$23)))</f>
        <v>5092.3674515238745</v>
      </c>
      <c r="E253" s="24">
        <f>IF(A253&gt;=$F$2,0,IF(A253=0,Dashboard!$G$10,IF(B253&lt;Dashboard!$I$6,IF($J$2&lt;=Dashboard!$H$10,Dashboard!$H$10,MAX(Dashboard!$H$10,MIN($J$2,Dashboard!$H$10*POWER($J$2/Dashboard!$H$10,A253/$D$2)))),$I$2-D253-Dashboard!$I$10-Dashboard!$J$10-Dashboard!$F$10*$I$2)))</f>
        <v>1789.4325484761255</v>
      </c>
      <c r="F253" s="24">
        <f t="shared" si="34"/>
        <v>0</v>
      </c>
      <c r="G253" s="24">
        <f t="shared" si="35"/>
        <v>0</v>
      </c>
      <c r="H253" s="24">
        <f t="shared" si="36"/>
        <v>0</v>
      </c>
      <c r="I253" s="24">
        <f t="shared" si="37"/>
        <v>1789.4325484761255</v>
      </c>
      <c r="J253" s="25">
        <f t="shared" si="38"/>
        <v>7.9741404289037643E-3</v>
      </c>
      <c r="K253" s="24">
        <f t="shared" si="43"/>
        <v>1557750.1686348259</v>
      </c>
      <c r="L253" s="24" t="str">
        <f t="shared" si="39"/>
        <v/>
      </c>
      <c r="M253" s="24">
        <f t="shared" si="40"/>
        <v>0</v>
      </c>
      <c r="N253" s="24">
        <f>IF(M253&lt;=0,0,IF($E$2-A253&lt;12,(M253-E253)*Dashboard!$B$18,IF($Q$2+A253&gt;=$R$2,MAX(0,M253-E253*POWER(1+$C$2,$E$2-A253))*MAX(Dashboard!$C$18,Dashboard!$B$18),IF($S$2&lt;$R$2,(M253-E253)*0.5*Dashboard!$B$18,(E253*POWER(1+$A$2,$R$2-($Q$2+A253))-E253)*0.5*Dashboard!$B$18+MAX(0,M253-E253*POWER(1+$A$2,$R$2-($Q$2+A253))*POWER(1+$C$2,$S$2-$R$2))*MAX(Dashboard!$C$18,Dashboard!$B$18)))))</f>
        <v>0</v>
      </c>
    </row>
    <row r="254" spans="1:14" x14ac:dyDescent="0.2">
      <c r="A254" s="22">
        <f t="shared" si="41"/>
        <v>249</v>
      </c>
      <c r="B254" s="23">
        <f t="shared" si="42"/>
        <v>38.804794520547937</v>
      </c>
      <c r="C254" t="str">
        <f t="shared" si="33"/>
        <v>38 y 9.66 m</v>
      </c>
      <c r="D254" s="24">
        <f>IF(A254&gt;=$E$2,IF(A254&lt;$E$2+$H$2,$P$2,0),IF(B254&lt;Dashboard!$I$6,0,IF(A254&gt;=$F$2,Dashboard!$C$23*POWER(1+$C$2,A254-$F$2),Dashboard!$C$23)))</f>
        <v>5092.3674515238745</v>
      </c>
      <c r="E254" s="24">
        <f>IF(A254&gt;=$F$2,0,IF(A254=0,Dashboard!$G$10,IF(B254&lt;Dashboard!$I$6,IF($J$2&lt;=Dashboard!$H$10,Dashboard!$H$10,MAX(Dashboard!$H$10,MIN($J$2,Dashboard!$H$10*POWER($J$2/Dashboard!$H$10,A254/$D$2)))),$I$2-D254-Dashboard!$I$10-Dashboard!$J$10-Dashboard!$F$10*$I$2)))</f>
        <v>1789.4325484761255</v>
      </c>
      <c r="F254" s="24">
        <f t="shared" si="34"/>
        <v>0</v>
      </c>
      <c r="G254" s="24">
        <f t="shared" si="35"/>
        <v>0</v>
      </c>
      <c r="H254" s="24">
        <f t="shared" si="36"/>
        <v>0</v>
      </c>
      <c r="I254" s="24">
        <f t="shared" si="37"/>
        <v>1789.4325484761255</v>
      </c>
      <c r="J254" s="25">
        <f t="shared" si="38"/>
        <v>7.9741404289037643E-3</v>
      </c>
      <c r="K254" s="24">
        <f t="shared" si="43"/>
        <v>1571975.5889675743</v>
      </c>
      <c r="L254" s="24" t="str">
        <f t="shared" si="39"/>
        <v/>
      </c>
      <c r="M254" s="24">
        <f t="shared" si="40"/>
        <v>0</v>
      </c>
      <c r="N254" s="24">
        <f>IF(M254&lt;=0,0,IF($E$2-A254&lt;12,(M254-E254)*Dashboard!$B$18,IF($Q$2+A254&gt;=$R$2,MAX(0,M254-E254*POWER(1+$C$2,$E$2-A254))*MAX(Dashboard!$C$18,Dashboard!$B$18),IF($S$2&lt;$R$2,(M254-E254)*0.5*Dashboard!$B$18,(E254*POWER(1+$A$2,$R$2-($Q$2+A254))-E254)*0.5*Dashboard!$B$18+MAX(0,M254-E254*POWER(1+$A$2,$R$2-($Q$2+A254))*POWER(1+$C$2,$S$2-$R$2))*MAX(Dashboard!$C$18,Dashboard!$B$18)))))</f>
        <v>0</v>
      </c>
    </row>
    <row r="255" spans="1:14" x14ac:dyDescent="0.2">
      <c r="A255" s="22">
        <f t="shared" si="41"/>
        <v>250</v>
      </c>
      <c r="B255" s="23">
        <f t="shared" si="42"/>
        <v>38.888127853881272</v>
      </c>
      <c r="C255" t="str">
        <f t="shared" si="33"/>
        <v>38 y 10.66 m</v>
      </c>
      <c r="D255" s="24">
        <f>IF(A255&gt;=$E$2,IF(A255&lt;$E$2+$H$2,$P$2,0),IF(B255&lt;Dashboard!$I$6,0,IF(A255&gt;=$F$2,Dashboard!$C$23*POWER(1+$C$2,A255-$F$2),Dashboard!$C$23)))</f>
        <v>5092.3674515238745</v>
      </c>
      <c r="E255" s="24">
        <f>IF(A255&gt;=$F$2,0,IF(A255=0,Dashboard!$G$10,IF(B255&lt;Dashboard!$I$6,IF($J$2&lt;=Dashboard!$H$10,Dashboard!$H$10,MAX(Dashboard!$H$10,MIN($J$2,Dashboard!$H$10*POWER($J$2/Dashboard!$H$10,A255/$D$2)))),$I$2-D255-Dashboard!$I$10-Dashboard!$J$10-Dashboard!$F$10*$I$2)))</f>
        <v>1789.4325484761255</v>
      </c>
      <c r="F255" s="24">
        <f t="shared" si="34"/>
        <v>0</v>
      </c>
      <c r="G255" s="24">
        <f t="shared" si="35"/>
        <v>0</v>
      </c>
      <c r="H255" s="24">
        <f t="shared" si="36"/>
        <v>0</v>
      </c>
      <c r="I255" s="24">
        <f t="shared" si="37"/>
        <v>1789.4325484761255</v>
      </c>
      <c r="J255" s="25">
        <f t="shared" si="38"/>
        <v>7.9741404289037643E-3</v>
      </c>
      <c r="K255" s="24">
        <f t="shared" si="43"/>
        <v>1586314.4447997161</v>
      </c>
      <c r="L255" s="24" t="str">
        <f t="shared" si="39"/>
        <v/>
      </c>
      <c r="M255" s="24">
        <f t="shared" si="40"/>
        <v>0</v>
      </c>
      <c r="N255" s="24">
        <f>IF(M255&lt;=0,0,IF($E$2-A255&lt;12,(M255-E255)*Dashboard!$B$18,IF($Q$2+A255&gt;=$R$2,MAX(0,M255-E255*POWER(1+$C$2,$E$2-A255))*MAX(Dashboard!$C$18,Dashboard!$B$18),IF($S$2&lt;$R$2,(M255-E255)*0.5*Dashboard!$B$18,(E255*POWER(1+$A$2,$R$2-($Q$2+A255))-E255)*0.5*Dashboard!$B$18+MAX(0,M255-E255*POWER(1+$A$2,$R$2-($Q$2+A255))*POWER(1+$C$2,$S$2-$R$2))*MAX(Dashboard!$C$18,Dashboard!$B$18)))))</f>
        <v>0</v>
      </c>
    </row>
    <row r="256" spans="1:14" x14ac:dyDescent="0.2">
      <c r="A256" s="22">
        <f t="shared" si="41"/>
        <v>251</v>
      </c>
      <c r="B256" s="23">
        <f t="shared" si="42"/>
        <v>38.971461187214608</v>
      </c>
      <c r="C256" t="str">
        <f t="shared" si="33"/>
        <v>38 y 11.66 m</v>
      </c>
      <c r="D256" s="24">
        <f>IF(A256&gt;=$E$2,IF(A256&lt;$E$2+$H$2,$P$2,0),IF(B256&lt;Dashboard!$I$6,0,IF(A256&gt;=$F$2,Dashboard!$C$23*POWER(1+$C$2,A256-$F$2),Dashboard!$C$23)))</f>
        <v>5092.3674515238745</v>
      </c>
      <c r="E256" s="24">
        <f>IF(A256&gt;=$F$2,0,IF(A256=0,Dashboard!$G$10,IF(B256&lt;Dashboard!$I$6,IF($J$2&lt;=Dashboard!$H$10,Dashboard!$H$10,MAX(Dashboard!$H$10,MIN($J$2,Dashboard!$H$10*POWER($J$2/Dashboard!$H$10,A256/$D$2)))),$I$2-D256-Dashboard!$I$10-Dashboard!$J$10-Dashboard!$F$10*$I$2)))</f>
        <v>1789.4325484761255</v>
      </c>
      <c r="F256" s="24">
        <f t="shared" si="34"/>
        <v>0</v>
      </c>
      <c r="G256" s="24">
        <f t="shared" si="35"/>
        <v>0</v>
      </c>
      <c r="H256" s="24">
        <f t="shared" si="36"/>
        <v>0</v>
      </c>
      <c r="I256" s="24">
        <f t="shared" si="37"/>
        <v>1789.4325484761255</v>
      </c>
      <c r="J256" s="25">
        <f t="shared" si="38"/>
        <v>7.9741404289037643E-3</v>
      </c>
      <c r="K256" s="24">
        <f t="shared" si="43"/>
        <v>1600767.6406818533</v>
      </c>
      <c r="L256" s="24" t="str">
        <f t="shared" si="39"/>
        <v/>
      </c>
      <c r="M256" s="24">
        <f t="shared" si="40"/>
        <v>0</v>
      </c>
      <c r="N256" s="24">
        <f>IF(M256&lt;=0,0,IF($E$2-A256&lt;12,(M256-E256)*Dashboard!$B$18,IF($Q$2+A256&gt;=$R$2,MAX(0,M256-E256*POWER(1+$C$2,$E$2-A256))*MAX(Dashboard!$C$18,Dashboard!$B$18),IF($S$2&lt;$R$2,(M256-E256)*0.5*Dashboard!$B$18,(E256*POWER(1+$A$2,$R$2-($Q$2+A256))-E256)*0.5*Dashboard!$B$18+MAX(0,M256-E256*POWER(1+$A$2,$R$2-($Q$2+A256))*POWER(1+$C$2,$S$2-$R$2))*MAX(Dashboard!$C$18,Dashboard!$B$18)))))</f>
        <v>0</v>
      </c>
    </row>
    <row r="257" spans="1:14" x14ac:dyDescent="0.2">
      <c r="A257" s="22">
        <f t="shared" si="41"/>
        <v>252</v>
      </c>
      <c r="B257" s="23">
        <f t="shared" si="42"/>
        <v>39.054794520547944</v>
      </c>
      <c r="C257" t="str">
        <f t="shared" si="33"/>
        <v>39 y 0.66 m</v>
      </c>
      <c r="D257" s="24">
        <f>IF(A257&gt;=$E$2,IF(A257&lt;$E$2+$H$2,$P$2,0),IF(B257&lt;Dashboard!$I$6,0,IF(A257&gt;=$F$2,Dashboard!$C$23*POWER(1+$C$2,A257-$F$2),Dashboard!$C$23)))</f>
        <v>5092.3674515238745</v>
      </c>
      <c r="E257" s="24">
        <f>IF(A257&gt;=$F$2,0,IF(A257=0,Dashboard!$G$10,IF(B257&lt;Dashboard!$I$6,IF($J$2&lt;=Dashboard!$H$10,Dashboard!$H$10,MAX(Dashboard!$H$10,MIN($J$2,Dashboard!$H$10*POWER($J$2/Dashboard!$H$10,A257/$D$2)))),$I$2-D257-Dashboard!$I$10-Dashboard!$J$10-Dashboard!$F$10*$I$2)))</f>
        <v>1789.4325484761255</v>
      </c>
      <c r="F257" s="24">
        <f t="shared" si="34"/>
        <v>0</v>
      </c>
      <c r="G257" s="24">
        <f t="shared" si="35"/>
        <v>0</v>
      </c>
      <c r="H257" s="24">
        <f t="shared" si="36"/>
        <v>0</v>
      </c>
      <c r="I257" s="24">
        <f t="shared" si="37"/>
        <v>1789.4325484761255</v>
      </c>
      <c r="J257" s="25">
        <f t="shared" si="38"/>
        <v>7.9741404289037643E-3</v>
      </c>
      <c r="K257" s="24">
        <f t="shared" si="43"/>
        <v>1615336.088377601</v>
      </c>
      <c r="L257" s="24" t="str">
        <f t="shared" si="39"/>
        <v/>
      </c>
      <c r="M257" s="24">
        <f t="shared" si="40"/>
        <v>0</v>
      </c>
      <c r="N257" s="24">
        <f>IF(M257&lt;=0,0,IF($E$2-A257&lt;12,(M257-E257)*Dashboard!$B$18,IF($Q$2+A257&gt;=$R$2,MAX(0,M257-E257*POWER(1+$C$2,$E$2-A257))*MAX(Dashboard!$C$18,Dashboard!$B$18),IF($S$2&lt;$R$2,(M257-E257)*0.5*Dashboard!$B$18,(E257*POWER(1+$A$2,$R$2-($Q$2+A257))-E257)*0.5*Dashboard!$B$18+MAX(0,M257-E257*POWER(1+$A$2,$R$2-($Q$2+A257))*POWER(1+$C$2,$S$2-$R$2))*MAX(Dashboard!$C$18,Dashboard!$B$18)))))</f>
        <v>0</v>
      </c>
    </row>
    <row r="258" spans="1:14" x14ac:dyDescent="0.2">
      <c r="A258" s="22">
        <f t="shared" si="41"/>
        <v>253</v>
      </c>
      <c r="B258" s="23">
        <f t="shared" si="42"/>
        <v>39.138127853881279</v>
      </c>
      <c r="C258" t="str">
        <f t="shared" si="33"/>
        <v>39 y 1.66 m</v>
      </c>
      <c r="D258" s="24">
        <f>IF(A258&gt;=$E$2,IF(A258&lt;$E$2+$H$2,$P$2,0),IF(B258&lt;Dashboard!$I$6,0,IF(A258&gt;=$F$2,Dashboard!$C$23*POWER(1+$C$2,A258-$F$2),Dashboard!$C$23)))</f>
        <v>5092.3674515238745</v>
      </c>
      <c r="E258" s="24">
        <f>IF(A258&gt;=$F$2,0,IF(A258=0,Dashboard!$G$10,IF(B258&lt;Dashboard!$I$6,IF($J$2&lt;=Dashboard!$H$10,Dashboard!$H$10,MAX(Dashboard!$H$10,MIN($J$2,Dashboard!$H$10*POWER($J$2/Dashboard!$H$10,A258/$D$2)))),$I$2-D258-Dashboard!$I$10-Dashboard!$J$10-Dashboard!$F$10*$I$2)))</f>
        <v>1789.4325484761255</v>
      </c>
      <c r="F258" s="24">
        <f t="shared" si="34"/>
        <v>0</v>
      </c>
      <c r="G258" s="24">
        <f t="shared" si="35"/>
        <v>0</v>
      </c>
      <c r="H258" s="24">
        <f t="shared" si="36"/>
        <v>0</v>
      </c>
      <c r="I258" s="24">
        <f t="shared" si="37"/>
        <v>1789.4325484761255</v>
      </c>
      <c r="J258" s="25">
        <f t="shared" si="38"/>
        <v>7.9741404289037643E-3</v>
      </c>
      <c r="K258" s="24">
        <f t="shared" si="43"/>
        <v>1630020.7069211057</v>
      </c>
      <c r="L258" s="24" t="str">
        <f t="shared" si="39"/>
        <v/>
      </c>
      <c r="M258" s="24">
        <f t="shared" si="40"/>
        <v>0</v>
      </c>
      <c r="N258" s="24">
        <f>IF(M258&lt;=0,0,IF($E$2-A258&lt;12,(M258-E258)*Dashboard!$B$18,IF($Q$2+A258&gt;=$R$2,MAX(0,M258-E258*POWER(1+$C$2,$E$2-A258))*MAX(Dashboard!$C$18,Dashboard!$B$18),IF($S$2&lt;$R$2,(M258-E258)*0.5*Dashboard!$B$18,(E258*POWER(1+$A$2,$R$2-($Q$2+A258))-E258)*0.5*Dashboard!$B$18+MAX(0,M258-E258*POWER(1+$A$2,$R$2-($Q$2+A258))*POWER(1+$C$2,$S$2-$R$2))*MAX(Dashboard!$C$18,Dashboard!$B$18)))))</f>
        <v>0</v>
      </c>
    </row>
    <row r="259" spans="1:14" x14ac:dyDescent="0.2">
      <c r="A259" s="22">
        <f t="shared" si="41"/>
        <v>254</v>
      </c>
      <c r="B259" s="23">
        <f t="shared" si="42"/>
        <v>39.221461187214615</v>
      </c>
      <c r="C259" t="str">
        <f t="shared" si="33"/>
        <v>39 y 2.66 m</v>
      </c>
      <c r="D259" s="24">
        <f>IF(A259&gt;=$E$2,IF(A259&lt;$E$2+$H$2,$P$2,0),IF(B259&lt;Dashboard!$I$6,0,IF(A259&gt;=$F$2,Dashboard!$C$23*POWER(1+$C$2,A259-$F$2),Dashboard!$C$23)))</f>
        <v>5092.3674515238745</v>
      </c>
      <c r="E259" s="24">
        <f>IF(A259&gt;=$F$2,0,IF(A259=0,Dashboard!$G$10,IF(B259&lt;Dashboard!$I$6,IF($J$2&lt;=Dashboard!$H$10,Dashboard!$H$10,MAX(Dashboard!$H$10,MIN($J$2,Dashboard!$H$10*POWER($J$2/Dashboard!$H$10,A259/$D$2)))),$I$2-D259-Dashboard!$I$10-Dashboard!$J$10-Dashboard!$F$10*$I$2)))</f>
        <v>1789.4325484761255</v>
      </c>
      <c r="F259" s="24">
        <f t="shared" si="34"/>
        <v>0</v>
      </c>
      <c r="G259" s="24">
        <f t="shared" si="35"/>
        <v>0</v>
      </c>
      <c r="H259" s="24">
        <f t="shared" si="36"/>
        <v>0</v>
      </c>
      <c r="I259" s="24">
        <f t="shared" si="37"/>
        <v>1789.4325484761255</v>
      </c>
      <c r="J259" s="25">
        <f t="shared" si="38"/>
        <v>7.9741404289037643E-3</v>
      </c>
      <c r="K259" s="24">
        <f t="shared" si="43"/>
        <v>1644822.4226750215</v>
      </c>
      <c r="L259" s="24" t="str">
        <f t="shared" si="39"/>
        <v/>
      </c>
      <c r="M259" s="24">
        <f t="shared" si="40"/>
        <v>0</v>
      </c>
      <c r="N259" s="24">
        <f>IF(M259&lt;=0,0,IF($E$2-A259&lt;12,(M259-E259)*Dashboard!$B$18,IF($Q$2+A259&gt;=$R$2,MAX(0,M259-E259*POWER(1+$C$2,$E$2-A259))*MAX(Dashboard!$C$18,Dashboard!$B$18),IF($S$2&lt;$R$2,(M259-E259)*0.5*Dashboard!$B$18,(E259*POWER(1+$A$2,$R$2-($Q$2+A259))-E259)*0.5*Dashboard!$B$18+MAX(0,M259-E259*POWER(1+$A$2,$R$2-($Q$2+A259))*POWER(1+$C$2,$S$2-$R$2))*MAX(Dashboard!$C$18,Dashboard!$B$18)))))</f>
        <v>0</v>
      </c>
    </row>
    <row r="260" spans="1:14" x14ac:dyDescent="0.2">
      <c r="A260" s="22">
        <f t="shared" si="41"/>
        <v>255</v>
      </c>
      <c r="B260" s="23">
        <f t="shared" si="42"/>
        <v>39.304794520547951</v>
      </c>
      <c r="C260" t="str">
        <f t="shared" si="33"/>
        <v>39 y 3.66 m</v>
      </c>
      <c r="D260" s="24">
        <f>IF(A260&gt;=$E$2,IF(A260&lt;$E$2+$H$2,$P$2,0),IF(B260&lt;Dashboard!$I$6,0,IF(A260&gt;=$F$2,Dashboard!$C$23*POWER(1+$C$2,A260-$F$2),Dashboard!$C$23)))</f>
        <v>5092.3674515238745</v>
      </c>
      <c r="E260" s="24">
        <f>IF(A260&gt;=$F$2,0,IF(A260=0,Dashboard!$G$10,IF(B260&lt;Dashboard!$I$6,IF($J$2&lt;=Dashboard!$H$10,Dashboard!$H$10,MAX(Dashboard!$H$10,MIN($J$2,Dashboard!$H$10*POWER($J$2/Dashboard!$H$10,A260/$D$2)))),$I$2-D260-Dashboard!$I$10-Dashboard!$J$10-Dashboard!$F$10*$I$2)))</f>
        <v>1789.4325484761255</v>
      </c>
      <c r="F260" s="24">
        <f t="shared" si="34"/>
        <v>0</v>
      </c>
      <c r="G260" s="24">
        <f t="shared" si="35"/>
        <v>0</v>
      </c>
      <c r="H260" s="24">
        <f t="shared" si="36"/>
        <v>0</v>
      </c>
      <c r="I260" s="24">
        <f t="shared" si="37"/>
        <v>1789.4325484761255</v>
      </c>
      <c r="J260" s="25">
        <f t="shared" si="38"/>
        <v>7.9741404289037643E-3</v>
      </c>
      <c r="K260" s="24">
        <f t="shared" si="43"/>
        <v>1659742.1693889475</v>
      </c>
      <c r="L260" s="24" t="str">
        <f t="shared" si="39"/>
        <v/>
      </c>
      <c r="M260" s="24">
        <f t="shared" si="40"/>
        <v>0</v>
      </c>
      <c r="N260" s="24">
        <f>IF(M260&lt;=0,0,IF($E$2-A260&lt;12,(M260-E260)*Dashboard!$B$18,IF($Q$2+A260&gt;=$R$2,MAX(0,M260-E260*POWER(1+$C$2,$E$2-A260))*MAX(Dashboard!$C$18,Dashboard!$B$18),IF($S$2&lt;$R$2,(M260-E260)*0.5*Dashboard!$B$18,(E260*POWER(1+$A$2,$R$2-($Q$2+A260))-E260)*0.5*Dashboard!$B$18+MAX(0,M260-E260*POWER(1+$A$2,$R$2-($Q$2+A260))*POWER(1+$C$2,$S$2-$R$2))*MAX(Dashboard!$C$18,Dashboard!$B$18)))))</f>
        <v>0</v>
      </c>
    </row>
    <row r="261" spans="1:14" x14ac:dyDescent="0.2">
      <c r="A261" s="22">
        <f t="shared" si="41"/>
        <v>256</v>
      </c>
      <c r="B261" s="23">
        <f t="shared" si="42"/>
        <v>39.388127853881286</v>
      </c>
      <c r="C261" t="str">
        <f t="shared" ref="C261:C324" si="44">INT(B261)&amp;" y "&amp;ROUND((B261-INT(B261))*12,2)&amp;" m"</f>
        <v>39 y 4.66 m</v>
      </c>
      <c r="D261" s="24">
        <f>IF(A261&gt;=$E$2,IF(A261&lt;$E$2+$H$2,$P$2,0),IF(B261&lt;Dashboard!$I$6,0,IF(A261&gt;=$F$2,Dashboard!$C$23*POWER(1+$C$2,A261-$F$2),Dashboard!$C$23)))</f>
        <v>5092.3674515238745</v>
      </c>
      <c r="E261" s="24">
        <f>IF(A261&gt;=$F$2,0,IF(A261=0,Dashboard!$G$10,IF(B261&lt;Dashboard!$I$6,IF($J$2&lt;=Dashboard!$H$10,Dashboard!$H$10,MAX(Dashboard!$H$10,MIN($J$2,Dashboard!$H$10*POWER($J$2/Dashboard!$H$10,A261/$D$2)))),$I$2-D261-Dashboard!$I$10-Dashboard!$J$10-Dashboard!$F$10*$I$2)))</f>
        <v>1789.4325484761255</v>
      </c>
      <c r="F261" s="24">
        <f t="shared" ref="F261:F324" si="45">IF(A261&gt;=$F$2,$X$2*POWER(1+$C$2,A261-$F$2)+D261,0)</f>
        <v>0</v>
      </c>
      <c r="G261" s="24">
        <f t="shared" ref="G261:G324" si="46">IF(F261&lt;=0,0,IF(F261*12&lt;=18200,F261,IF(F261*12&lt;=40712,(18200+(F261*12-18200)/0.84)/12,IF(F261*12&lt;=103712,(45000+(F261*12-40712)/0.7)/12,IF(F261*12&lt;=138362,(135000+(F261*12-103712)/0.63)/12,(190000+(F261*12-138362)/0.55)/12)))))</f>
        <v>0</v>
      </c>
      <c r="H261" s="24">
        <f t="shared" ref="H261:H324" si="47">IF(A261=$E$2,$W$2,0)</f>
        <v>0</v>
      </c>
      <c r="I261" s="24">
        <f t="shared" ref="I261:I324" si="48">E261-G261-H261</f>
        <v>1789.4325484761255</v>
      </c>
      <c r="J261" s="25">
        <f t="shared" ref="J261:J324" si="49">IF(A261&gt;=$F$2,$B$2,$A$2)</f>
        <v>7.9741404289037643E-3</v>
      </c>
      <c r="K261" s="24">
        <f t="shared" si="43"/>
        <v>1674780.8882583342</v>
      </c>
      <c r="L261" s="24" t="str">
        <f t="shared" ref="L261:L324" si="50">IF(A261&gt;=$F$2,K261,"")</f>
        <v/>
      </c>
      <c r="M261" s="24">
        <f t="shared" ref="M261:M324" si="51">IF(AND(A261&lt;$E$2,E261&gt;0),E261*POWER(1+$A$2,$E$2-A261),0)</f>
        <v>0</v>
      </c>
      <c r="N261" s="24">
        <f>IF(M261&lt;=0,0,IF($E$2-A261&lt;12,(M261-E261)*Dashboard!$B$18,IF($Q$2+A261&gt;=$R$2,MAX(0,M261-E261*POWER(1+$C$2,$E$2-A261))*MAX(Dashboard!$C$18,Dashboard!$B$18),IF($S$2&lt;$R$2,(M261-E261)*0.5*Dashboard!$B$18,(E261*POWER(1+$A$2,$R$2-($Q$2+A261))-E261)*0.5*Dashboard!$B$18+MAX(0,M261-E261*POWER(1+$A$2,$R$2-($Q$2+A261))*POWER(1+$C$2,$S$2-$R$2))*MAX(Dashboard!$C$18,Dashboard!$B$18)))))</f>
        <v>0</v>
      </c>
    </row>
    <row r="262" spans="1:14" x14ac:dyDescent="0.2">
      <c r="A262" s="22">
        <f t="shared" ref="A262:A325" si="52">A261+1</f>
        <v>257</v>
      </c>
      <c r="B262" s="23">
        <f t="shared" ref="B262:B325" si="53">B261+1/12</f>
        <v>39.471461187214622</v>
      </c>
      <c r="C262" t="str">
        <f t="shared" si="44"/>
        <v>39 y 5.66 m</v>
      </c>
      <c r="D262" s="24">
        <f>IF(A262&gt;=$E$2,IF(A262&lt;$E$2+$H$2,$P$2,0),IF(B262&lt;Dashboard!$I$6,0,IF(A262&gt;=$F$2,Dashboard!$C$23*POWER(1+$C$2,A262-$F$2),Dashboard!$C$23)))</f>
        <v>5092.3674515238745</v>
      </c>
      <c r="E262" s="24">
        <f>IF(A262&gt;=$F$2,0,IF(A262=0,Dashboard!$G$10,IF(B262&lt;Dashboard!$I$6,IF($J$2&lt;=Dashboard!$H$10,Dashboard!$H$10,MAX(Dashboard!$H$10,MIN($J$2,Dashboard!$H$10*POWER($J$2/Dashboard!$H$10,A262/$D$2)))),$I$2-D262-Dashboard!$I$10-Dashboard!$J$10-Dashboard!$F$10*$I$2)))</f>
        <v>1789.4325484761255</v>
      </c>
      <c r="F262" s="24">
        <f t="shared" si="45"/>
        <v>0</v>
      </c>
      <c r="G262" s="24">
        <f t="shared" si="46"/>
        <v>0</v>
      </c>
      <c r="H262" s="24">
        <f t="shared" si="47"/>
        <v>0</v>
      </c>
      <c r="I262" s="24">
        <f t="shared" si="48"/>
        <v>1789.4325484761255</v>
      </c>
      <c r="J262" s="25">
        <f t="shared" si="49"/>
        <v>7.9741404289037643E-3</v>
      </c>
      <c r="K262" s="24">
        <f t="shared" ref="K262:K325" si="54">(K261+I262)*(1+J262)</f>
        <v>1689939.5279838562</v>
      </c>
      <c r="L262" s="24" t="str">
        <f t="shared" si="50"/>
        <v/>
      </c>
      <c r="M262" s="24">
        <f t="shared" si="51"/>
        <v>0</v>
      </c>
      <c r="N262" s="24">
        <f>IF(M262&lt;=0,0,IF($E$2-A262&lt;12,(M262-E262)*Dashboard!$B$18,IF($Q$2+A262&gt;=$R$2,MAX(0,M262-E262*POWER(1+$C$2,$E$2-A262))*MAX(Dashboard!$C$18,Dashboard!$B$18),IF($S$2&lt;$R$2,(M262-E262)*0.5*Dashboard!$B$18,(E262*POWER(1+$A$2,$R$2-($Q$2+A262))-E262)*0.5*Dashboard!$B$18+MAX(0,M262-E262*POWER(1+$A$2,$R$2-($Q$2+A262))*POWER(1+$C$2,$S$2-$R$2))*MAX(Dashboard!$C$18,Dashboard!$B$18)))))</f>
        <v>0</v>
      </c>
    </row>
    <row r="263" spans="1:14" x14ac:dyDescent="0.2">
      <c r="A263" s="22">
        <f t="shared" si="52"/>
        <v>258</v>
      </c>
      <c r="B263" s="23">
        <f t="shared" si="53"/>
        <v>39.554794520547958</v>
      </c>
      <c r="C263" t="str">
        <f t="shared" si="44"/>
        <v>39 y 6.66 m</v>
      </c>
      <c r="D263" s="24">
        <f>IF(A263&gt;=$E$2,IF(A263&lt;$E$2+$H$2,$P$2,0),IF(B263&lt;Dashboard!$I$6,0,IF(A263&gt;=$F$2,Dashboard!$C$23*POWER(1+$C$2,A263-$F$2),Dashboard!$C$23)))</f>
        <v>5092.3674515238745</v>
      </c>
      <c r="E263" s="24">
        <f>IF(A263&gt;=$F$2,0,IF(A263=0,Dashboard!$G$10,IF(B263&lt;Dashboard!$I$6,IF($J$2&lt;=Dashboard!$H$10,Dashboard!$H$10,MAX(Dashboard!$H$10,MIN($J$2,Dashboard!$H$10*POWER($J$2/Dashboard!$H$10,A263/$D$2)))),$I$2-D263-Dashboard!$I$10-Dashboard!$J$10-Dashboard!$F$10*$I$2)))</f>
        <v>1789.4325484761255</v>
      </c>
      <c r="F263" s="24">
        <f t="shared" si="45"/>
        <v>0</v>
      </c>
      <c r="G263" s="24">
        <f t="shared" si="46"/>
        <v>0</v>
      </c>
      <c r="H263" s="24">
        <f t="shared" si="47"/>
        <v>0</v>
      </c>
      <c r="I263" s="24">
        <f t="shared" si="48"/>
        <v>1789.4325484761255</v>
      </c>
      <c r="J263" s="25">
        <f t="shared" si="49"/>
        <v>7.9741404289037643E-3</v>
      </c>
      <c r="K263" s="24">
        <f t="shared" si="54"/>
        <v>1705219.0448312606</v>
      </c>
      <c r="L263" s="24" t="str">
        <f t="shared" si="50"/>
        <v/>
      </c>
      <c r="M263" s="24">
        <f t="shared" si="51"/>
        <v>0</v>
      </c>
      <c r="N263" s="24">
        <f>IF(M263&lt;=0,0,IF($E$2-A263&lt;12,(M263-E263)*Dashboard!$B$18,IF($Q$2+A263&gt;=$R$2,MAX(0,M263-E263*POWER(1+$C$2,$E$2-A263))*MAX(Dashboard!$C$18,Dashboard!$B$18),IF($S$2&lt;$R$2,(M263-E263)*0.5*Dashboard!$B$18,(E263*POWER(1+$A$2,$R$2-($Q$2+A263))-E263)*0.5*Dashboard!$B$18+MAX(0,M263-E263*POWER(1+$A$2,$R$2-($Q$2+A263))*POWER(1+$C$2,$S$2-$R$2))*MAX(Dashboard!$C$18,Dashboard!$B$18)))))</f>
        <v>0</v>
      </c>
    </row>
    <row r="264" spans="1:14" x14ac:dyDescent="0.2">
      <c r="A264" s="22">
        <f t="shared" si="52"/>
        <v>259</v>
      </c>
      <c r="B264" s="23">
        <f t="shared" si="53"/>
        <v>39.638127853881294</v>
      </c>
      <c r="C264" t="str">
        <f t="shared" si="44"/>
        <v>39 y 7.66 m</v>
      </c>
      <c r="D264" s="24">
        <f>IF(A264&gt;=$E$2,IF(A264&lt;$E$2+$H$2,$P$2,0),IF(B264&lt;Dashboard!$I$6,0,IF(A264&gt;=$F$2,Dashboard!$C$23*POWER(1+$C$2,A264-$F$2),Dashboard!$C$23)))</f>
        <v>5092.3674515238745</v>
      </c>
      <c r="E264" s="24">
        <f>IF(A264&gt;=$F$2,0,IF(A264=0,Dashboard!$G$10,IF(B264&lt;Dashboard!$I$6,IF($J$2&lt;=Dashboard!$H$10,Dashboard!$H$10,MAX(Dashboard!$H$10,MIN($J$2,Dashboard!$H$10*POWER($J$2/Dashboard!$H$10,A264/$D$2)))),$I$2-D264-Dashboard!$I$10-Dashboard!$J$10-Dashboard!$F$10*$I$2)))</f>
        <v>1789.4325484761255</v>
      </c>
      <c r="F264" s="24">
        <f t="shared" si="45"/>
        <v>0</v>
      </c>
      <c r="G264" s="24">
        <f t="shared" si="46"/>
        <v>0</v>
      </c>
      <c r="H264" s="24">
        <f t="shared" si="47"/>
        <v>0</v>
      </c>
      <c r="I264" s="24">
        <f t="shared" si="48"/>
        <v>1789.4325484761255</v>
      </c>
      <c r="J264" s="25">
        <f t="shared" si="49"/>
        <v>7.9741404289037643E-3</v>
      </c>
      <c r="K264" s="24">
        <f t="shared" si="54"/>
        <v>1720620.4026916919</v>
      </c>
      <c r="L264" s="24" t="str">
        <f t="shared" si="50"/>
        <v/>
      </c>
      <c r="M264" s="24">
        <f t="shared" si="51"/>
        <v>0</v>
      </c>
      <c r="N264" s="24">
        <f>IF(M264&lt;=0,0,IF($E$2-A264&lt;12,(M264-E264)*Dashboard!$B$18,IF($Q$2+A264&gt;=$R$2,MAX(0,M264-E264*POWER(1+$C$2,$E$2-A264))*MAX(Dashboard!$C$18,Dashboard!$B$18),IF($S$2&lt;$R$2,(M264-E264)*0.5*Dashboard!$B$18,(E264*POWER(1+$A$2,$R$2-($Q$2+A264))-E264)*0.5*Dashboard!$B$18+MAX(0,M264-E264*POWER(1+$A$2,$R$2-($Q$2+A264))*POWER(1+$C$2,$S$2-$R$2))*MAX(Dashboard!$C$18,Dashboard!$B$18)))))</f>
        <v>0</v>
      </c>
    </row>
    <row r="265" spans="1:14" x14ac:dyDescent="0.2">
      <c r="A265" s="22">
        <f t="shared" si="52"/>
        <v>260</v>
      </c>
      <c r="B265" s="23">
        <f t="shared" si="53"/>
        <v>39.721461187214629</v>
      </c>
      <c r="C265" t="str">
        <f t="shared" si="44"/>
        <v>39 y 8.66 m</v>
      </c>
      <c r="D265" s="24">
        <f>IF(A265&gt;=$E$2,IF(A265&lt;$E$2+$H$2,$P$2,0),IF(B265&lt;Dashboard!$I$6,0,IF(A265&gt;=$F$2,Dashboard!$C$23*POWER(1+$C$2,A265-$F$2),Dashboard!$C$23)))</f>
        <v>5092.3674515238745</v>
      </c>
      <c r="E265" s="24">
        <f>IF(A265&gt;=$F$2,0,IF(A265=0,Dashboard!$G$10,IF(B265&lt;Dashboard!$I$6,IF($J$2&lt;=Dashboard!$H$10,Dashboard!$H$10,MAX(Dashboard!$H$10,MIN($J$2,Dashboard!$H$10*POWER($J$2/Dashboard!$H$10,A265/$D$2)))),$I$2-D265-Dashboard!$I$10-Dashboard!$J$10-Dashboard!$F$10*$I$2)))</f>
        <v>1789.4325484761255</v>
      </c>
      <c r="F265" s="24">
        <f t="shared" si="45"/>
        <v>0</v>
      </c>
      <c r="G265" s="24">
        <f t="shared" si="46"/>
        <v>0</v>
      </c>
      <c r="H265" s="24">
        <f t="shared" si="47"/>
        <v>0</v>
      </c>
      <c r="I265" s="24">
        <f t="shared" si="48"/>
        <v>1789.4325484761255</v>
      </c>
      <c r="J265" s="25">
        <f t="shared" si="49"/>
        <v>7.9741404289037643E-3</v>
      </c>
      <c r="K265" s="24">
        <f t="shared" si="54"/>
        <v>1736144.573142498</v>
      </c>
      <c r="L265" s="24" t="str">
        <f t="shared" si="50"/>
        <v/>
      </c>
      <c r="M265" s="24">
        <f t="shared" si="51"/>
        <v>0</v>
      </c>
      <c r="N265" s="24">
        <f>IF(M265&lt;=0,0,IF($E$2-A265&lt;12,(M265-E265)*Dashboard!$B$18,IF($Q$2+A265&gt;=$R$2,MAX(0,M265-E265*POWER(1+$C$2,$E$2-A265))*MAX(Dashboard!$C$18,Dashboard!$B$18),IF($S$2&lt;$R$2,(M265-E265)*0.5*Dashboard!$B$18,(E265*POWER(1+$A$2,$R$2-($Q$2+A265))-E265)*0.5*Dashboard!$B$18+MAX(0,M265-E265*POWER(1+$A$2,$R$2-($Q$2+A265))*POWER(1+$C$2,$S$2-$R$2))*MAX(Dashboard!$C$18,Dashboard!$B$18)))))</f>
        <v>0</v>
      </c>
    </row>
    <row r="266" spans="1:14" x14ac:dyDescent="0.2">
      <c r="A266" s="22">
        <f t="shared" si="52"/>
        <v>261</v>
      </c>
      <c r="B266" s="23">
        <f t="shared" si="53"/>
        <v>39.804794520547965</v>
      </c>
      <c r="C266" t="str">
        <f t="shared" si="44"/>
        <v>39 y 9.66 m</v>
      </c>
      <c r="D266" s="24">
        <f>IF(A266&gt;=$E$2,IF(A266&lt;$E$2+$H$2,$P$2,0),IF(B266&lt;Dashboard!$I$6,0,IF(A266&gt;=$F$2,Dashboard!$C$23*POWER(1+$C$2,A266-$F$2),Dashboard!$C$23)))</f>
        <v>5092.3674515238745</v>
      </c>
      <c r="E266" s="24">
        <f>IF(A266&gt;=$F$2,0,IF(A266=0,Dashboard!$G$10,IF(B266&lt;Dashboard!$I$6,IF($J$2&lt;=Dashboard!$H$10,Dashboard!$H$10,MAX(Dashboard!$H$10,MIN($J$2,Dashboard!$H$10*POWER($J$2/Dashboard!$H$10,A266/$D$2)))),$I$2-D266-Dashboard!$I$10-Dashboard!$J$10-Dashboard!$F$10*$I$2)))</f>
        <v>1789.4325484761255</v>
      </c>
      <c r="F266" s="24">
        <f t="shared" si="45"/>
        <v>0</v>
      </c>
      <c r="G266" s="24">
        <f t="shared" si="46"/>
        <v>0</v>
      </c>
      <c r="H266" s="24">
        <f t="shared" si="47"/>
        <v>0</v>
      </c>
      <c r="I266" s="24">
        <f t="shared" si="48"/>
        <v>1789.4325484761255</v>
      </c>
      <c r="J266" s="25">
        <f t="shared" si="49"/>
        <v>7.9741404289037643E-3</v>
      </c>
      <c r="K266" s="24">
        <f t="shared" si="54"/>
        <v>1751792.5355085211</v>
      </c>
      <c r="L266" s="24" t="str">
        <f t="shared" si="50"/>
        <v/>
      </c>
      <c r="M266" s="24">
        <f t="shared" si="51"/>
        <v>0</v>
      </c>
      <c r="N266" s="24">
        <f>IF(M266&lt;=0,0,IF($E$2-A266&lt;12,(M266-E266)*Dashboard!$B$18,IF($Q$2+A266&gt;=$R$2,MAX(0,M266-E266*POWER(1+$C$2,$E$2-A266))*MAX(Dashboard!$C$18,Dashboard!$B$18),IF($S$2&lt;$R$2,(M266-E266)*0.5*Dashboard!$B$18,(E266*POWER(1+$A$2,$R$2-($Q$2+A266))-E266)*0.5*Dashboard!$B$18+MAX(0,M266-E266*POWER(1+$A$2,$R$2-($Q$2+A266))*POWER(1+$C$2,$S$2-$R$2))*MAX(Dashboard!$C$18,Dashboard!$B$18)))))</f>
        <v>0</v>
      </c>
    </row>
    <row r="267" spans="1:14" x14ac:dyDescent="0.2">
      <c r="A267" s="22">
        <f t="shared" si="52"/>
        <v>262</v>
      </c>
      <c r="B267" s="23">
        <f t="shared" si="53"/>
        <v>39.888127853881301</v>
      </c>
      <c r="C267" t="str">
        <f t="shared" si="44"/>
        <v>39 y 10.66 m</v>
      </c>
      <c r="D267" s="24">
        <f>IF(A267&gt;=$E$2,IF(A267&lt;$E$2+$H$2,$P$2,0),IF(B267&lt;Dashboard!$I$6,0,IF(A267&gt;=$F$2,Dashboard!$C$23*POWER(1+$C$2,A267-$F$2),Dashboard!$C$23)))</f>
        <v>5092.3674515238745</v>
      </c>
      <c r="E267" s="24">
        <f>IF(A267&gt;=$F$2,0,IF(A267=0,Dashboard!$G$10,IF(B267&lt;Dashboard!$I$6,IF($J$2&lt;=Dashboard!$H$10,Dashboard!$H$10,MAX(Dashboard!$H$10,MIN($J$2,Dashboard!$H$10*POWER($J$2/Dashboard!$H$10,A267/$D$2)))),$I$2-D267-Dashboard!$I$10-Dashboard!$J$10-Dashboard!$F$10*$I$2)))</f>
        <v>1789.4325484761255</v>
      </c>
      <c r="F267" s="24">
        <f t="shared" si="45"/>
        <v>0</v>
      </c>
      <c r="G267" s="24">
        <f t="shared" si="46"/>
        <v>0</v>
      </c>
      <c r="H267" s="24">
        <f t="shared" si="47"/>
        <v>0</v>
      </c>
      <c r="I267" s="24">
        <f t="shared" si="48"/>
        <v>1789.4325484761255</v>
      </c>
      <c r="J267" s="25">
        <f t="shared" si="49"/>
        <v>7.9741404289037643E-3</v>
      </c>
      <c r="K267" s="24">
        <f t="shared" si="54"/>
        <v>1767565.2769238772</v>
      </c>
      <c r="L267" s="24" t="str">
        <f t="shared" si="50"/>
        <v/>
      </c>
      <c r="M267" s="24">
        <f t="shared" si="51"/>
        <v>0</v>
      </c>
      <c r="N267" s="24">
        <f>IF(M267&lt;=0,0,IF($E$2-A267&lt;12,(M267-E267)*Dashboard!$B$18,IF($Q$2+A267&gt;=$R$2,MAX(0,M267-E267*POWER(1+$C$2,$E$2-A267))*MAX(Dashboard!$C$18,Dashboard!$B$18),IF($S$2&lt;$R$2,(M267-E267)*0.5*Dashboard!$B$18,(E267*POWER(1+$A$2,$R$2-($Q$2+A267))-E267)*0.5*Dashboard!$B$18+MAX(0,M267-E267*POWER(1+$A$2,$R$2-($Q$2+A267))*POWER(1+$C$2,$S$2-$R$2))*MAX(Dashboard!$C$18,Dashboard!$B$18)))))</f>
        <v>0</v>
      </c>
    </row>
    <row r="268" spans="1:14" x14ac:dyDescent="0.2">
      <c r="A268" s="22">
        <f t="shared" si="52"/>
        <v>263</v>
      </c>
      <c r="B268" s="23">
        <f t="shared" si="53"/>
        <v>39.971461187214636</v>
      </c>
      <c r="C268" t="str">
        <f t="shared" si="44"/>
        <v>39 y 11.66 m</v>
      </c>
      <c r="D268" s="24">
        <f>IF(A268&gt;=$E$2,IF(A268&lt;$E$2+$H$2,$P$2,0),IF(B268&lt;Dashboard!$I$6,0,IF(A268&gt;=$F$2,Dashboard!$C$23*POWER(1+$C$2,A268-$F$2),Dashboard!$C$23)))</f>
        <v>5092.3674515238745</v>
      </c>
      <c r="E268" s="24">
        <f>IF(A268&gt;=$F$2,0,IF(A268=0,Dashboard!$G$10,IF(B268&lt;Dashboard!$I$6,IF($J$2&lt;=Dashboard!$H$10,Dashboard!$H$10,MAX(Dashboard!$H$10,MIN($J$2,Dashboard!$H$10*POWER($J$2/Dashboard!$H$10,A268/$D$2)))),$I$2-D268-Dashboard!$I$10-Dashboard!$J$10-Dashboard!$F$10*$I$2)))</f>
        <v>1789.4325484761255</v>
      </c>
      <c r="F268" s="24">
        <f t="shared" si="45"/>
        <v>0</v>
      </c>
      <c r="G268" s="24">
        <f t="shared" si="46"/>
        <v>0</v>
      </c>
      <c r="H268" s="24">
        <f t="shared" si="47"/>
        <v>0</v>
      </c>
      <c r="I268" s="24">
        <f t="shared" si="48"/>
        <v>1789.4325484761255</v>
      </c>
      <c r="J268" s="25">
        <f t="shared" si="49"/>
        <v>7.9741404289037643E-3</v>
      </c>
      <c r="K268" s="24">
        <f t="shared" si="54"/>
        <v>1783463.792394228</v>
      </c>
      <c r="L268" s="24" t="str">
        <f t="shared" si="50"/>
        <v/>
      </c>
      <c r="M268" s="24">
        <f t="shared" si="51"/>
        <v>0</v>
      </c>
      <c r="N268" s="24">
        <f>IF(M268&lt;=0,0,IF($E$2-A268&lt;12,(M268-E268)*Dashboard!$B$18,IF($Q$2+A268&gt;=$R$2,MAX(0,M268-E268*POWER(1+$C$2,$E$2-A268))*MAX(Dashboard!$C$18,Dashboard!$B$18),IF($S$2&lt;$R$2,(M268-E268)*0.5*Dashboard!$B$18,(E268*POWER(1+$A$2,$R$2-($Q$2+A268))-E268)*0.5*Dashboard!$B$18+MAX(0,M268-E268*POWER(1+$A$2,$R$2-($Q$2+A268))*POWER(1+$C$2,$S$2-$R$2))*MAX(Dashboard!$C$18,Dashboard!$B$18)))))</f>
        <v>0</v>
      </c>
    </row>
    <row r="269" spans="1:14" x14ac:dyDescent="0.2">
      <c r="A269" s="22">
        <f t="shared" si="52"/>
        <v>264</v>
      </c>
      <c r="B269" s="23">
        <f t="shared" si="53"/>
        <v>40.054794520547972</v>
      </c>
      <c r="C269" t="str">
        <f t="shared" si="44"/>
        <v>40 y 0.66 m</v>
      </c>
      <c r="D269" s="24">
        <f>IF(A269&gt;=$E$2,IF(A269&lt;$E$2+$H$2,$P$2,0),IF(B269&lt;Dashboard!$I$6,0,IF(A269&gt;=$F$2,Dashboard!$C$23*POWER(1+$C$2,A269-$F$2),Dashboard!$C$23)))</f>
        <v>5092.3674515238745</v>
      </c>
      <c r="E269" s="24">
        <f>IF(A269&gt;=$F$2,0,IF(A269=0,Dashboard!$G$10,IF(B269&lt;Dashboard!$I$6,IF($J$2&lt;=Dashboard!$H$10,Dashboard!$H$10,MAX(Dashboard!$H$10,MIN($J$2,Dashboard!$H$10*POWER($J$2/Dashboard!$H$10,A269/$D$2)))),$I$2-D269-Dashboard!$I$10-Dashboard!$J$10-Dashboard!$F$10*$I$2)))</f>
        <v>1789.4325484761255</v>
      </c>
      <c r="F269" s="24">
        <f t="shared" si="45"/>
        <v>0</v>
      </c>
      <c r="G269" s="24">
        <f t="shared" si="46"/>
        <v>0</v>
      </c>
      <c r="H269" s="24">
        <f t="shared" si="47"/>
        <v>0</v>
      </c>
      <c r="I269" s="24">
        <f t="shared" si="48"/>
        <v>1789.4325484761255</v>
      </c>
      <c r="J269" s="25">
        <f t="shared" si="49"/>
        <v>7.9741404289037643E-3</v>
      </c>
      <c r="K269" s="24">
        <f t="shared" si="54"/>
        <v>1799489.0848595507</v>
      </c>
      <c r="L269" s="24" t="str">
        <f t="shared" si="50"/>
        <v/>
      </c>
      <c r="M269" s="24">
        <f t="shared" si="51"/>
        <v>0</v>
      </c>
      <c r="N269" s="24">
        <f>IF(M269&lt;=0,0,IF($E$2-A269&lt;12,(M269-E269)*Dashboard!$B$18,IF($Q$2+A269&gt;=$R$2,MAX(0,M269-E269*POWER(1+$C$2,$E$2-A269))*MAX(Dashboard!$C$18,Dashboard!$B$18),IF($S$2&lt;$R$2,(M269-E269)*0.5*Dashboard!$B$18,(E269*POWER(1+$A$2,$R$2-($Q$2+A269))-E269)*0.5*Dashboard!$B$18+MAX(0,M269-E269*POWER(1+$A$2,$R$2-($Q$2+A269))*POWER(1+$C$2,$S$2-$R$2))*MAX(Dashboard!$C$18,Dashboard!$B$18)))))</f>
        <v>0</v>
      </c>
    </row>
    <row r="270" spans="1:14" x14ac:dyDescent="0.2">
      <c r="A270" s="22">
        <f t="shared" si="52"/>
        <v>265</v>
      </c>
      <c r="B270" s="23">
        <f t="shared" si="53"/>
        <v>40.138127853881308</v>
      </c>
      <c r="C270" t="str">
        <f t="shared" si="44"/>
        <v>40 y 1.66 m</v>
      </c>
      <c r="D270" s="24">
        <f>IF(A270&gt;=$E$2,IF(A270&lt;$E$2+$H$2,$P$2,0),IF(B270&lt;Dashboard!$I$6,0,IF(A270&gt;=$F$2,Dashboard!$C$23*POWER(1+$C$2,A270-$F$2),Dashboard!$C$23)))</f>
        <v>5092.3674515238745</v>
      </c>
      <c r="E270" s="24">
        <f>IF(A270&gt;=$F$2,0,IF(A270=0,Dashboard!$G$10,IF(B270&lt;Dashboard!$I$6,IF($J$2&lt;=Dashboard!$H$10,Dashboard!$H$10,MAX(Dashboard!$H$10,MIN($J$2,Dashboard!$H$10*POWER($J$2/Dashboard!$H$10,A270/$D$2)))),$I$2-D270-Dashboard!$I$10-Dashboard!$J$10-Dashboard!$F$10*$I$2)))</f>
        <v>1789.4325484761255</v>
      </c>
      <c r="F270" s="24">
        <f t="shared" si="45"/>
        <v>0</v>
      </c>
      <c r="G270" s="24">
        <f t="shared" si="46"/>
        <v>0</v>
      </c>
      <c r="H270" s="24">
        <f t="shared" si="47"/>
        <v>0</v>
      </c>
      <c r="I270" s="24">
        <f t="shared" si="48"/>
        <v>1789.4325484761255</v>
      </c>
      <c r="J270" s="25">
        <f t="shared" si="49"/>
        <v>7.9741404289037643E-3</v>
      </c>
      <c r="K270" s="24">
        <f t="shared" si="54"/>
        <v>1815642.165257406</v>
      </c>
      <c r="L270" s="24" t="str">
        <f t="shared" si="50"/>
        <v/>
      </c>
      <c r="M270" s="24">
        <f t="shared" si="51"/>
        <v>0</v>
      </c>
      <c r="N270" s="24">
        <f>IF(M270&lt;=0,0,IF($E$2-A270&lt;12,(M270-E270)*Dashboard!$B$18,IF($Q$2+A270&gt;=$R$2,MAX(0,M270-E270*POWER(1+$C$2,$E$2-A270))*MAX(Dashboard!$C$18,Dashboard!$B$18),IF($S$2&lt;$R$2,(M270-E270)*0.5*Dashboard!$B$18,(E270*POWER(1+$A$2,$R$2-($Q$2+A270))-E270)*0.5*Dashboard!$B$18+MAX(0,M270-E270*POWER(1+$A$2,$R$2-($Q$2+A270))*POWER(1+$C$2,$S$2-$R$2))*MAX(Dashboard!$C$18,Dashboard!$B$18)))))</f>
        <v>0</v>
      </c>
    </row>
    <row r="271" spans="1:14" x14ac:dyDescent="0.2">
      <c r="A271" s="22">
        <f t="shared" si="52"/>
        <v>266</v>
      </c>
      <c r="B271" s="23">
        <f t="shared" si="53"/>
        <v>40.221461187214643</v>
      </c>
      <c r="C271" t="str">
        <f t="shared" si="44"/>
        <v>40 y 2.66 m</v>
      </c>
      <c r="D271" s="24">
        <f>IF(A271&gt;=$E$2,IF(A271&lt;$E$2+$H$2,$P$2,0),IF(B271&lt;Dashboard!$I$6,0,IF(A271&gt;=$F$2,Dashboard!$C$23*POWER(1+$C$2,A271-$F$2),Dashboard!$C$23)))</f>
        <v>5092.3674515238745</v>
      </c>
      <c r="E271" s="24">
        <f>IF(A271&gt;=$F$2,0,IF(A271=0,Dashboard!$G$10,IF(B271&lt;Dashboard!$I$6,IF($J$2&lt;=Dashboard!$H$10,Dashboard!$H$10,MAX(Dashboard!$H$10,MIN($J$2,Dashboard!$H$10*POWER($J$2/Dashboard!$H$10,A271/$D$2)))),$I$2-D271-Dashboard!$I$10-Dashboard!$J$10-Dashboard!$F$10*$I$2)))</f>
        <v>1789.4325484761255</v>
      </c>
      <c r="F271" s="24">
        <f t="shared" si="45"/>
        <v>0</v>
      </c>
      <c r="G271" s="24">
        <f t="shared" si="46"/>
        <v>0</v>
      </c>
      <c r="H271" s="24">
        <f t="shared" si="47"/>
        <v>0</v>
      </c>
      <c r="I271" s="24">
        <f t="shared" si="48"/>
        <v>1789.4325484761255</v>
      </c>
      <c r="J271" s="25">
        <f t="shared" si="49"/>
        <v>7.9741404289037643E-3</v>
      </c>
      <c r="K271" s="24">
        <f t="shared" si="54"/>
        <v>1831924.0525867131</v>
      </c>
      <c r="L271" s="24" t="str">
        <f t="shared" si="50"/>
        <v/>
      </c>
      <c r="M271" s="24">
        <f t="shared" si="51"/>
        <v>0</v>
      </c>
      <c r="N271" s="24">
        <f>IF(M271&lt;=0,0,IF($E$2-A271&lt;12,(M271-E271)*Dashboard!$B$18,IF($Q$2+A271&gt;=$R$2,MAX(0,M271-E271*POWER(1+$C$2,$E$2-A271))*MAX(Dashboard!$C$18,Dashboard!$B$18),IF($S$2&lt;$R$2,(M271-E271)*0.5*Dashboard!$B$18,(E271*POWER(1+$A$2,$R$2-($Q$2+A271))-E271)*0.5*Dashboard!$B$18+MAX(0,M271-E271*POWER(1+$A$2,$R$2-($Q$2+A271))*POWER(1+$C$2,$S$2-$R$2))*MAX(Dashboard!$C$18,Dashboard!$B$18)))))</f>
        <v>0</v>
      </c>
    </row>
    <row r="272" spans="1:14" x14ac:dyDescent="0.2">
      <c r="A272" s="22">
        <f t="shared" si="52"/>
        <v>267</v>
      </c>
      <c r="B272" s="23">
        <f t="shared" si="53"/>
        <v>40.304794520547979</v>
      </c>
      <c r="C272" t="str">
        <f t="shared" si="44"/>
        <v>40 y 3.66 m</v>
      </c>
      <c r="D272" s="24">
        <f>IF(A272&gt;=$E$2,IF(A272&lt;$E$2+$H$2,$P$2,0),IF(B272&lt;Dashboard!$I$6,0,IF(A272&gt;=$F$2,Dashboard!$C$23*POWER(1+$C$2,A272-$F$2),Dashboard!$C$23)))</f>
        <v>5092.3674515238745</v>
      </c>
      <c r="E272" s="24">
        <f>IF(A272&gt;=$F$2,0,IF(A272=0,Dashboard!$G$10,IF(B272&lt;Dashboard!$I$6,IF($J$2&lt;=Dashboard!$H$10,Dashboard!$H$10,MAX(Dashboard!$H$10,MIN($J$2,Dashboard!$H$10*POWER($J$2/Dashboard!$H$10,A272/$D$2)))),$I$2-D272-Dashboard!$I$10-Dashboard!$J$10-Dashboard!$F$10*$I$2)))</f>
        <v>1789.4325484761255</v>
      </c>
      <c r="F272" s="24">
        <f t="shared" si="45"/>
        <v>0</v>
      </c>
      <c r="G272" s="24">
        <f t="shared" si="46"/>
        <v>0</v>
      </c>
      <c r="H272" s="24">
        <f t="shared" si="47"/>
        <v>0</v>
      </c>
      <c r="I272" s="24">
        <f t="shared" si="48"/>
        <v>1789.4325484761255</v>
      </c>
      <c r="J272" s="25">
        <f t="shared" si="49"/>
        <v>7.9741404289037643E-3</v>
      </c>
      <c r="K272" s="24">
        <f t="shared" si="54"/>
        <v>1848335.7739720319</v>
      </c>
      <c r="L272" s="24" t="str">
        <f t="shared" si="50"/>
        <v/>
      </c>
      <c r="M272" s="24">
        <f t="shared" si="51"/>
        <v>0</v>
      </c>
      <c r="N272" s="24">
        <f>IF(M272&lt;=0,0,IF($E$2-A272&lt;12,(M272-E272)*Dashboard!$B$18,IF($Q$2+A272&gt;=$R$2,MAX(0,M272-E272*POWER(1+$C$2,$E$2-A272))*MAX(Dashboard!$C$18,Dashboard!$B$18),IF($S$2&lt;$R$2,(M272-E272)*0.5*Dashboard!$B$18,(E272*POWER(1+$A$2,$R$2-($Q$2+A272))-E272)*0.5*Dashboard!$B$18+MAX(0,M272-E272*POWER(1+$A$2,$R$2-($Q$2+A272))*POWER(1+$C$2,$S$2-$R$2))*MAX(Dashboard!$C$18,Dashboard!$B$18)))))</f>
        <v>0</v>
      </c>
    </row>
    <row r="273" spans="1:14" x14ac:dyDescent="0.2">
      <c r="A273" s="22">
        <f t="shared" si="52"/>
        <v>268</v>
      </c>
      <c r="B273" s="23">
        <f t="shared" si="53"/>
        <v>40.388127853881315</v>
      </c>
      <c r="C273" t="str">
        <f t="shared" si="44"/>
        <v>40 y 4.66 m</v>
      </c>
      <c r="D273" s="24">
        <f>IF(A273&gt;=$E$2,IF(A273&lt;$E$2+$H$2,$P$2,0),IF(B273&lt;Dashboard!$I$6,0,IF(A273&gt;=$F$2,Dashboard!$C$23*POWER(1+$C$2,A273-$F$2),Dashboard!$C$23)))</f>
        <v>5092.3674515238745</v>
      </c>
      <c r="E273" s="24">
        <f>IF(A273&gt;=$F$2,0,IF(A273=0,Dashboard!$G$10,IF(B273&lt;Dashboard!$I$6,IF($J$2&lt;=Dashboard!$H$10,Dashboard!$H$10,MAX(Dashboard!$H$10,MIN($J$2,Dashboard!$H$10*POWER($J$2/Dashboard!$H$10,A273/$D$2)))),$I$2-D273-Dashboard!$I$10-Dashboard!$J$10-Dashboard!$F$10*$I$2)))</f>
        <v>1789.4325484761255</v>
      </c>
      <c r="F273" s="24">
        <f t="shared" si="45"/>
        <v>0</v>
      </c>
      <c r="G273" s="24">
        <f t="shared" si="46"/>
        <v>0</v>
      </c>
      <c r="H273" s="24">
        <f t="shared" si="47"/>
        <v>0</v>
      </c>
      <c r="I273" s="24">
        <f t="shared" si="48"/>
        <v>1789.4325484761255</v>
      </c>
      <c r="J273" s="25">
        <f t="shared" si="49"/>
        <v>7.9741404289037643E-3</v>
      </c>
      <c r="K273" s="24">
        <f t="shared" si="54"/>
        <v>1864878.3647283572</v>
      </c>
      <c r="L273" s="24" t="str">
        <f t="shared" si="50"/>
        <v/>
      </c>
      <c r="M273" s="24">
        <f t="shared" si="51"/>
        <v>0</v>
      </c>
      <c r="N273" s="24">
        <f>IF(M273&lt;=0,0,IF($E$2-A273&lt;12,(M273-E273)*Dashboard!$B$18,IF($Q$2+A273&gt;=$R$2,MAX(0,M273-E273*POWER(1+$C$2,$E$2-A273))*MAX(Dashboard!$C$18,Dashboard!$B$18),IF($S$2&lt;$R$2,(M273-E273)*0.5*Dashboard!$B$18,(E273*POWER(1+$A$2,$R$2-($Q$2+A273))-E273)*0.5*Dashboard!$B$18+MAX(0,M273-E273*POWER(1+$A$2,$R$2-($Q$2+A273))*POWER(1+$C$2,$S$2-$R$2))*MAX(Dashboard!$C$18,Dashboard!$B$18)))))</f>
        <v>0</v>
      </c>
    </row>
    <row r="274" spans="1:14" x14ac:dyDescent="0.2">
      <c r="A274" s="22">
        <f t="shared" si="52"/>
        <v>269</v>
      </c>
      <c r="B274" s="23">
        <f t="shared" si="53"/>
        <v>40.471461187214651</v>
      </c>
      <c r="C274" t="str">
        <f t="shared" si="44"/>
        <v>40 y 5.66 m</v>
      </c>
      <c r="D274" s="24">
        <f>IF(A274&gt;=$E$2,IF(A274&lt;$E$2+$H$2,$P$2,0),IF(B274&lt;Dashboard!$I$6,0,IF(A274&gt;=$F$2,Dashboard!$C$23*POWER(1+$C$2,A274-$F$2),Dashboard!$C$23)))</f>
        <v>5092.3674515238745</v>
      </c>
      <c r="E274" s="24">
        <f>IF(A274&gt;=$F$2,0,IF(A274=0,Dashboard!$G$10,IF(B274&lt;Dashboard!$I$6,IF($J$2&lt;=Dashboard!$H$10,Dashboard!$H$10,MAX(Dashboard!$H$10,MIN($J$2,Dashboard!$H$10*POWER($J$2/Dashboard!$H$10,A274/$D$2)))),$I$2-D274-Dashboard!$I$10-Dashboard!$J$10-Dashboard!$F$10*$I$2)))</f>
        <v>1789.4325484761255</v>
      </c>
      <c r="F274" s="24">
        <f t="shared" si="45"/>
        <v>0</v>
      </c>
      <c r="G274" s="24">
        <f t="shared" si="46"/>
        <v>0</v>
      </c>
      <c r="H274" s="24">
        <f t="shared" si="47"/>
        <v>0</v>
      </c>
      <c r="I274" s="24">
        <f t="shared" si="48"/>
        <v>1789.4325484761255</v>
      </c>
      <c r="J274" s="25">
        <f t="shared" si="49"/>
        <v>7.9741404289037643E-3</v>
      </c>
      <c r="K274" s="24">
        <f t="shared" si="54"/>
        <v>1881552.8684264312</v>
      </c>
      <c r="L274" s="24" t="str">
        <f t="shared" si="50"/>
        <v/>
      </c>
      <c r="M274" s="24">
        <f t="shared" si="51"/>
        <v>0</v>
      </c>
      <c r="N274" s="24">
        <f>IF(M274&lt;=0,0,IF($E$2-A274&lt;12,(M274-E274)*Dashboard!$B$18,IF($Q$2+A274&gt;=$R$2,MAX(0,M274-E274*POWER(1+$C$2,$E$2-A274))*MAX(Dashboard!$C$18,Dashboard!$B$18),IF($S$2&lt;$R$2,(M274-E274)*0.5*Dashboard!$B$18,(E274*POWER(1+$A$2,$R$2-($Q$2+A274))-E274)*0.5*Dashboard!$B$18+MAX(0,M274-E274*POWER(1+$A$2,$R$2-($Q$2+A274))*POWER(1+$C$2,$S$2-$R$2))*MAX(Dashboard!$C$18,Dashboard!$B$18)))))</f>
        <v>0</v>
      </c>
    </row>
    <row r="275" spans="1:14" x14ac:dyDescent="0.2">
      <c r="A275" s="22">
        <f t="shared" si="52"/>
        <v>270</v>
      </c>
      <c r="B275" s="23">
        <f t="shared" si="53"/>
        <v>40.554794520547986</v>
      </c>
      <c r="C275" t="str">
        <f t="shared" si="44"/>
        <v>40 y 6.66 m</v>
      </c>
      <c r="D275" s="24">
        <f>IF(A275&gt;=$E$2,IF(A275&lt;$E$2+$H$2,$P$2,0),IF(B275&lt;Dashboard!$I$6,0,IF(A275&gt;=$F$2,Dashboard!$C$23*POWER(1+$C$2,A275-$F$2),Dashboard!$C$23)))</f>
        <v>5092.3674515238745</v>
      </c>
      <c r="E275" s="24">
        <f>IF(A275&gt;=$F$2,0,IF(A275=0,Dashboard!$G$10,IF(B275&lt;Dashboard!$I$6,IF($J$2&lt;=Dashboard!$H$10,Dashboard!$H$10,MAX(Dashboard!$H$10,MIN($J$2,Dashboard!$H$10*POWER($J$2/Dashboard!$H$10,A275/$D$2)))),$I$2-D275-Dashboard!$I$10-Dashboard!$J$10-Dashboard!$F$10*$I$2)))</f>
        <v>1789.4325484761255</v>
      </c>
      <c r="F275" s="24">
        <f t="shared" si="45"/>
        <v>0</v>
      </c>
      <c r="G275" s="24">
        <f t="shared" si="46"/>
        <v>0</v>
      </c>
      <c r="H275" s="24">
        <f t="shared" si="47"/>
        <v>0</v>
      </c>
      <c r="I275" s="24">
        <f t="shared" si="48"/>
        <v>1789.4325484761255</v>
      </c>
      <c r="J275" s="25">
        <f t="shared" si="49"/>
        <v>7.9741404289037643E-3</v>
      </c>
      <c r="K275" s="24">
        <f t="shared" si="54"/>
        <v>1898360.336958576</v>
      </c>
      <c r="L275" s="24" t="str">
        <f t="shared" si="50"/>
        <v/>
      </c>
      <c r="M275" s="24">
        <f t="shared" si="51"/>
        <v>0</v>
      </c>
      <c r="N275" s="24">
        <f>IF(M275&lt;=0,0,IF($E$2-A275&lt;12,(M275-E275)*Dashboard!$B$18,IF($Q$2+A275&gt;=$R$2,MAX(0,M275-E275*POWER(1+$C$2,$E$2-A275))*MAX(Dashboard!$C$18,Dashboard!$B$18),IF($S$2&lt;$R$2,(M275-E275)*0.5*Dashboard!$B$18,(E275*POWER(1+$A$2,$R$2-($Q$2+A275))-E275)*0.5*Dashboard!$B$18+MAX(0,M275-E275*POWER(1+$A$2,$R$2-($Q$2+A275))*POWER(1+$C$2,$S$2-$R$2))*MAX(Dashboard!$C$18,Dashboard!$B$18)))))</f>
        <v>0</v>
      </c>
    </row>
    <row r="276" spans="1:14" x14ac:dyDescent="0.2">
      <c r="A276" s="22">
        <f t="shared" si="52"/>
        <v>271</v>
      </c>
      <c r="B276" s="23">
        <f t="shared" si="53"/>
        <v>40.638127853881322</v>
      </c>
      <c r="C276" t="str">
        <f t="shared" si="44"/>
        <v>40 y 7.66 m</v>
      </c>
      <c r="D276" s="24">
        <f>IF(A276&gt;=$E$2,IF(A276&lt;$E$2+$H$2,$P$2,0),IF(B276&lt;Dashboard!$I$6,0,IF(A276&gt;=$F$2,Dashboard!$C$23*POWER(1+$C$2,A276-$F$2),Dashboard!$C$23)))</f>
        <v>5092.3674515238745</v>
      </c>
      <c r="E276" s="24">
        <f>IF(A276&gt;=$F$2,0,IF(A276=0,Dashboard!$G$10,IF(B276&lt;Dashboard!$I$6,IF($J$2&lt;=Dashboard!$H$10,Dashboard!$H$10,MAX(Dashboard!$H$10,MIN($J$2,Dashboard!$H$10*POWER($J$2/Dashboard!$H$10,A276/$D$2)))),$I$2-D276-Dashboard!$I$10-Dashboard!$J$10-Dashboard!$F$10*$I$2)))</f>
        <v>1789.4325484761255</v>
      </c>
      <c r="F276" s="24">
        <f t="shared" si="45"/>
        <v>0</v>
      </c>
      <c r="G276" s="24">
        <f t="shared" si="46"/>
        <v>0</v>
      </c>
      <c r="H276" s="24">
        <f t="shared" si="47"/>
        <v>0</v>
      </c>
      <c r="I276" s="24">
        <f t="shared" si="48"/>
        <v>1789.4325484761255</v>
      </c>
      <c r="J276" s="25">
        <f t="shared" si="49"/>
        <v>7.9741404289037643E-3</v>
      </c>
      <c r="K276" s="24">
        <f t="shared" si="54"/>
        <v>1915301.8306050505</v>
      </c>
      <c r="L276" s="24" t="str">
        <f t="shared" si="50"/>
        <v/>
      </c>
      <c r="M276" s="24">
        <f t="shared" si="51"/>
        <v>0</v>
      </c>
      <c r="N276" s="24">
        <f>IF(M276&lt;=0,0,IF($E$2-A276&lt;12,(M276-E276)*Dashboard!$B$18,IF($Q$2+A276&gt;=$R$2,MAX(0,M276-E276*POWER(1+$C$2,$E$2-A276))*MAX(Dashboard!$C$18,Dashboard!$B$18),IF($S$2&lt;$R$2,(M276-E276)*0.5*Dashboard!$B$18,(E276*POWER(1+$A$2,$R$2-($Q$2+A276))-E276)*0.5*Dashboard!$B$18+MAX(0,M276-E276*POWER(1+$A$2,$R$2-($Q$2+A276))*POWER(1+$C$2,$S$2-$R$2))*MAX(Dashboard!$C$18,Dashboard!$B$18)))))</f>
        <v>0</v>
      </c>
    </row>
    <row r="277" spans="1:14" x14ac:dyDescent="0.2">
      <c r="A277" s="22">
        <f t="shared" si="52"/>
        <v>272</v>
      </c>
      <c r="B277" s="23">
        <f t="shared" si="53"/>
        <v>40.721461187214658</v>
      </c>
      <c r="C277" t="str">
        <f t="shared" si="44"/>
        <v>40 y 8.66 m</v>
      </c>
      <c r="D277" s="24">
        <f>IF(A277&gt;=$E$2,IF(A277&lt;$E$2+$H$2,$P$2,0),IF(B277&lt;Dashboard!$I$6,0,IF(A277&gt;=$F$2,Dashboard!$C$23*POWER(1+$C$2,A277-$F$2),Dashboard!$C$23)))</f>
        <v>5092.3674515238745</v>
      </c>
      <c r="E277" s="24">
        <f>IF(A277&gt;=$F$2,0,IF(A277=0,Dashboard!$G$10,IF(B277&lt;Dashboard!$I$6,IF($J$2&lt;=Dashboard!$H$10,Dashboard!$H$10,MAX(Dashboard!$H$10,MIN($J$2,Dashboard!$H$10*POWER($J$2/Dashboard!$H$10,A277/$D$2)))),$I$2-D277-Dashboard!$I$10-Dashboard!$J$10-Dashboard!$F$10*$I$2)))</f>
        <v>1789.4325484761255</v>
      </c>
      <c r="F277" s="24">
        <f t="shared" si="45"/>
        <v>0</v>
      </c>
      <c r="G277" s="24">
        <f t="shared" si="46"/>
        <v>0</v>
      </c>
      <c r="H277" s="24">
        <f t="shared" si="47"/>
        <v>0</v>
      </c>
      <c r="I277" s="24">
        <f t="shared" si="48"/>
        <v>1789.4325484761255</v>
      </c>
      <c r="J277" s="25">
        <f t="shared" si="49"/>
        <v>7.9741404289037643E-3</v>
      </c>
      <c r="K277" s="24">
        <f t="shared" si="54"/>
        <v>1932378.4181009375</v>
      </c>
      <c r="L277" s="24" t="str">
        <f t="shared" si="50"/>
        <v/>
      </c>
      <c r="M277" s="24">
        <f t="shared" si="51"/>
        <v>0</v>
      </c>
      <c r="N277" s="24">
        <f>IF(M277&lt;=0,0,IF($E$2-A277&lt;12,(M277-E277)*Dashboard!$B$18,IF($Q$2+A277&gt;=$R$2,MAX(0,M277-E277*POWER(1+$C$2,$E$2-A277))*MAX(Dashboard!$C$18,Dashboard!$B$18),IF($S$2&lt;$R$2,(M277-E277)*0.5*Dashboard!$B$18,(E277*POWER(1+$A$2,$R$2-($Q$2+A277))-E277)*0.5*Dashboard!$B$18+MAX(0,M277-E277*POWER(1+$A$2,$R$2-($Q$2+A277))*POWER(1+$C$2,$S$2-$R$2))*MAX(Dashboard!$C$18,Dashboard!$B$18)))))</f>
        <v>0</v>
      </c>
    </row>
    <row r="278" spans="1:14" x14ac:dyDescent="0.2">
      <c r="A278" s="22">
        <f t="shared" si="52"/>
        <v>273</v>
      </c>
      <c r="B278" s="23">
        <f t="shared" si="53"/>
        <v>40.804794520547993</v>
      </c>
      <c r="C278" t="str">
        <f t="shared" si="44"/>
        <v>40 y 9.66 m</v>
      </c>
      <c r="D278" s="24">
        <f>IF(A278&gt;=$E$2,IF(A278&lt;$E$2+$H$2,$P$2,0),IF(B278&lt;Dashboard!$I$6,0,IF(A278&gt;=$F$2,Dashboard!$C$23*POWER(1+$C$2,A278-$F$2),Dashboard!$C$23)))</f>
        <v>5092.3674515238745</v>
      </c>
      <c r="E278" s="24">
        <f>IF(A278&gt;=$F$2,0,IF(A278=0,Dashboard!$G$10,IF(B278&lt;Dashboard!$I$6,IF($J$2&lt;=Dashboard!$H$10,Dashboard!$H$10,MAX(Dashboard!$H$10,MIN($J$2,Dashboard!$H$10*POWER($J$2/Dashboard!$H$10,A278/$D$2)))),$I$2-D278-Dashboard!$I$10-Dashboard!$J$10-Dashboard!$F$10*$I$2)))</f>
        <v>1789.4325484761255</v>
      </c>
      <c r="F278" s="24">
        <f t="shared" si="45"/>
        <v>0</v>
      </c>
      <c r="G278" s="24">
        <f t="shared" si="46"/>
        <v>0</v>
      </c>
      <c r="H278" s="24">
        <f t="shared" si="47"/>
        <v>0</v>
      </c>
      <c r="I278" s="24">
        <f t="shared" si="48"/>
        <v>1789.4325484761255</v>
      </c>
      <c r="J278" s="25">
        <f t="shared" si="49"/>
        <v>7.9741404289037643E-3</v>
      </c>
      <c r="K278" s="24">
        <f t="shared" si="54"/>
        <v>1949591.176703563</v>
      </c>
      <c r="L278" s="24" t="str">
        <f t="shared" si="50"/>
        <v/>
      </c>
      <c r="M278" s="24">
        <f t="shared" si="51"/>
        <v>0</v>
      </c>
      <c r="N278" s="24">
        <f>IF(M278&lt;=0,0,IF($E$2-A278&lt;12,(M278-E278)*Dashboard!$B$18,IF($Q$2+A278&gt;=$R$2,MAX(0,M278-E278*POWER(1+$C$2,$E$2-A278))*MAX(Dashboard!$C$18,Dashboard!$B$18),IF($S$2&lt;$R$2,(M278-E278)*0.5*Dashboard!$B$18,(E278*POWER(1+$A$2,$R$2-($Q$2+A278))-E278)*0.5*Dashboard!$B$18+MAX(0,M278-E278*POWER(1+$A$2,$R$2-($Q$2+A278))*POWER(1+$C$2,$S$2-$R$2))*MAX(Dashboard!$C$18,Dashboard!$B$18)))))</f>
        <v>0</v>
      </c>
    </row>
    <row r="279" spans="1:14" x14ac:dyDescent="0.2">
      <c r="A279" s="22">
        <f t="shared" si="52"/>
        <v>274</v>
      </c>
      <c r="B279" s="23">
        <f t="shared" si="53"/>
        <v>40.888127853881329</v>
      </c>
      <c r="C279" t="str">
        <f t="shared" si="44"/>
        <v>40 y 10.66 m</v>
      </c>
      <c r="D279" s="24">
        <f>IF(A279&gt;=$E$2,IF(A279&lt;$E$2+$H$2,$P$2,0),IF(B279&lt;Dashboard!$I$6,0,IF(A279&gt;=$F$2,Dashboard!$C$23*POWER(1+$C$2,A279-$F$2),Dashboard!$C$23)))</f>
        <v>5092.3674515238745</v>
      </c>
      <c r="E279" s="24">
        <f>IF(A279&gt;=$F$2,0,IF(A279=0,Dashboard!$G$10,IF(B279&lt;Dashboard!$I$6,IF($J$2&lt;=Dashboard!$H$10,Dashboard!$H$10,MAX(Dashboard!$H$10,MIN($J$2,Dashboard!$H$10*POWER($J$2/Dashboard!$H$10,A279/$D$2)))),$I$2-D279-Dashboard!$I$10-Dashboard!$J$10-Dashboard!$F$10*$I$2)))</f>
        <v>1789.4325484761255</v>
      </c>
      <c r="F279" s="24">
        <f t="shared" si="45"/>
        <v>0</v>
      </c>
      <c r="G279" s="24">
        <f t="shared" si="46"/>
        <v>0</v>
      </c>
      <c r="H279" s="24">
        <f t="shared" si="47"/>
        <v>0</v>
      </c>
      <c r="I279" s="24">
        <f t="shared" si="48"/>
        <v>1789.4325484761255</v>
      </c>
      <c r="J279" s="25">
        <f t="shared" si="49"/>
        <v>7.9741404289037643E-3</v>
      </c>
      <c r="K279" s="24">
        <f t="shared" si="54"/>
        <v>1966941.1922604546</v>
      </c>
      <c r="L279" s="24" t="str">
        <f t="shared" si="50"/>
        <v/>
      </c>
      <c r="M279" s="24">
        <f t="shared" si="51"/>
        <v>0</v>
      </c>
      <c r="N279" s="24">
        <f>IF(M279&lt;=0,0,IF($E$2-A279&lt;12,(M279-E279)*Dashboard!$B$18,IF($Q$2+A279&gt;=$R$2,MAX(0,M279-E279*POWER(1+$C$2,$E$2-A279))*MAX(Dashboard!$C$18,Dashboard!$B$18),IF($S$2&lt;$R$2,(M279-E279)*0.5*Dashboard!$B$18,(E279*POWER(1+$A$2,$R$2-($Q$2+A279))-E279)*0.5*Dashboard!$B$18+MAX(0,M279-E279*POWER(1+$A$2,$R$2-($Q$2+A279))*POWER(1+$C$2,$S$2-$R$2))*MAX(Dashboard!$C$18,Dashboard!$B$18)))))</f>
        <v>0</v>
      </c>
    </row>
    <row r="280" spans="1:14" x14ac:dyDescent="0.2">
      <c r="A280" s="22">
        <f t="shared" si="52"/>
        <v>275</v>
      </c>
      <c r="B280" s="23">
        <f t="shared" si="53"/>
        <v>40.971461187214665</v>
      </c>
      <c r="C280" t="str">
        <f t="shared" si="44"/>
        <v>40 y 11.66 m</v>
      </c>
      <c r="D280" s="24">
        <f>IF(A280&gt;=$E$2,IF(A280&lt;$E$2+$H$2,$P$2,0),IF(B280&lt;Dashboard!$I$6,0,IF(A280&gt;=$F$2,Dashboard!$C$23*POWER(1+$C$2,A280-$F$2),Dashboard!$C$23)))</f>
        <v>5092.3674515238745</v>
      </c>
      <c r="E280" s="24">
        <f>IF(A280&gt;=$F$2,0,IF(A280=0,Dashboard!$G$10,IF(B280&lt;Dashboard!$I$6,IF($J$2&lt;=Dashboard!$H$10,Dashboard!$H$10,MAX(Dashboard!$H$10,MIN($J$2,Dashboard!$H$10*POWER($J$2/Dashboard!$H$10,A280/$D$2)))),$I$2-D280-Dashboard!$I$10-Dashboard!$J$10-Dashboard!$F$10*$I$2)))</f>
        <v>1789.4325484761255</v>
      </c>
      <c r="F280" s="24">
        <f t="shared" si="45"/>
        <v>0</v>
      </c>
      <c r="G280" s="24">
        <f t="shared" si="46"/>
        <v>0</v>
      </c>
      <c r="H280" s="24">
        <f t="shared" si="47"/>
        <v>0</v>
      </c>
      <c r="I280" s="24">
        <f t="shared" si="48"/>
        <v>1789.4325484761255</v>
      </c>
      <c r="J280" s="25">
        <f t="shared" si="49"/>
        <v>7.9741404289037643E-3</v>
      </c>
      <c r="K280" s="24">
        <f t="shared" si="54"/>
        <v>1984429.5592778407</v>
      </c>
      <c r="L280" s="24" t="str">
        <f t="shared" si="50"/>
        <v/>
      </c>
      <c r="M280" s="24">
        <f t="shared" si="51"/>
        <v>0</v>
      </c>
      <c r="N280" s="24">
        <f>IF(M280&lt;=0,0,IF($E$2-A280&lt;12,(M280-E280)*Dashboard!$B$18,IF($Q$2+A280&gt;=$R$2,MAX(0,M280-E280*POWER(1+$C$2,$E$2-A280))*MAX(Dashboard!$C$18,Dashboard!$B$18),IF($S$2&lt;$R$2,(M280-E280)*0.5*Dashboard!$B$18,(E280*POWER(1+$A$2,$R$2-($Q$2+A280))-E280)*0.5*Dashboard!$B$18+MAX(0,M280-E280*POWER(1+$A$2,$R$2-($Q$2+A280))*POWER(1+$C$2,$S$2-$R$2))*MAX(Dashboard!$C$18,Dashboard!$B$18)))))</f>
        <v>0</v>
      </c>
    </row>
    <row r="281" spans="1:14" x14ac:dyDescent="0.2">
      <c r="A281" s="22">
        <f t="shared" si="52"/>
        <v>276</v>
      </c>
      <c r="B281" s="23">
        <f t="shared" si="53"/>
        <v>41.054794520548</v>
      </c>
      <c r="C281" t="str">
        <f t="shared" si="44"/>
        <v>41 y 0.66 m</v>
      </c>
      <c r="D281" s="24">
        <f>IF(A281&gt;=$E$2,IF(A281&lt;$E$2+$H$2,$P$2,0),IF(B281&lt;Dashboard!$I$6,0,IF(A281&gt;=$F$2,Dashboard!$C$23*POWER(1+$C$2,A281-$F$2),Dashboard!$C$23)))</f>
        <v>5092.3674515238745</v>
      </c>
      <c r="E281" s="24">
        <f>IF(A281&gt;=$F$2,0,IF(A281=0,Dashboard!$G$10,IF(B281&lt;Dashboard!$I$6,IF($J$2&lt;=Dashboard!$H$10,Dashboard!$H$10,MAX(Dashboard!$H$10,MIN($J$2,Dashboard!$H$10*POWER($J$2/Dashboard!$H$10,A281/$D$2)))),$I$2-D281-Dashboard!$I$10-Dashboard!$J$10-Dashboard!$F$10*$I$2)))</f>
        <v>1789.4325484761255</v>
      </c>
      <c r="F281" s="24">
        <f t="shared" si="45"/>
        <v>0</v>
      </c>
      <c r="G281" s="24">
        <f t="shared" si="46"/>
        <v>0</v>
      </c>
      <c r="H281" s="24">
        <f t="shared" si="47"/>
        <v>0</v>
      </c>
      <c r="I281" s="24">
        <f t="shared" si="48"/>
        <v>1789.4325484761255</v>
      </c>
      <c r="J281" s="25">
        <f t="shared" si="49"/>
        <v>7.9741404289037643E-3</v>
      </c>
      <c r="K281" s="24">
        <f t="shared" si="54"/>
        <v>2002057.3809896954</v>
      </c>
      <c r="L281" s="24" t="str">
        <f t="shared" si="50"/>
        <v/>
      </c>
      <c r="M281" s="24">
        <f t="shared" si="51"/>
        <v>0</v>
      </c>
      <c r="N281" s="24">
        <f>IF(M281&lt;=0,0,IF($E$2-A281&lt;12,(M281-E281)*Dashboard!$B$18,IF($Q$2+A281&gt;=$R$2,MAX(0,M281-E281*POWER(1+$C$2,$E$2-A281))*MAX(Dashboard!$C$18,Dashboard!$B$18),IF($S$2&lt;$R$2,(M281-E281)*0.5*Dashboard!$B$18,(E281*POWER(1+$A$2,$R$2-($Q$2+A281))-E281)*0.5*Dashboard!$B$18+MAX(0,M281-E281*POWER(1+$A$2,$R$2-($Q$2+A281))*POWER(1+$C$2,$S$2-$R$2))*MAX(Dashboard!$C$18,Dashboard!$B$18)))))</f>
        <v>0</v>
      </c>
    </row>
    <row r="282" spans="1:14" x14ac:dyDescent="0.2">
      <c r="A282" s="22">
        <f t="shared" si="52"/>
        <v>277</v>
      </c>
      <c r="B282" s="23">
        <f t="shared" si="53"/>
        <v>41.138127853881336</v>
      </c>
      <c r="C282" t="str">
        <f t="shared" si="44"/>
        <v>41 y 1.66 m</v>
      </c>
      <c r="D282" s="24">
        <f>IF(A282&gt;=$E$2,IF(A282&lt;$E$2+$H$2,$P$2,0),IF(B282&lt;Dashboard!$I$6,0,IF(A282&gt;=$F$2,Dashboard!$C$23*POWER(1+$C$2,A282-$F$2),Dashboard!$C$23)))</f>
        <v>5092.3674515238745</v>
      </c>
      <c r="E282" s="24">
        <f>IF(A282&gt;=$F$2,0,IF(A282=0,Dashboard!$G$10,IF(B282&lt;Dashboard!$I$6,IF($J$2&lt;=Dashboard!$H$10,Dashboard!$H$10,MAX(Dashboard!$H$10,MIN($J$2,Dashboard!$H$10*POWER($J$2/Dashboard!$H$10,A282/$D$2)))),$I$2-D282-Dashboard!$I$10-Dashboard!$J$10-Dashboard!$F$10*$I$2)))</f>
        <v>1789.4325484761255</v>
      </c>
      <c r="F282" s="24">
        <f t="shared" si="45"/>
        <v>0</v>
      </c>
      <c r="G282" s="24">
        <f t="shared" si="46"/>
        <v>0</v>
      </c>
      <c r="H282" s="24">
        <f t="shared" si="47"/>
        <v>0</v>
      </c>
      <c r="I282" s="24">
        <f t="shared" si="48"/>
        <v>1789.4325484761255</v>
      </c>
      <c r="J282" s="25">
        <f t="shared" si="49"/>
        <v>7.9741404289037643E-3</v>
      </c>
      <c r="K282" s="24">
        <f t="shared" si="54"/>
        <v>2019825.7694273363</v>
      </c>
      <c r="L282" s="24" t="str">
        <f t="shared" si="50"/>
        <v/>
      </c>
      <c r="M282" s="24">
        <f t="shared" si="51"/>
        <v>0</v>
      </c>
      <c r="N282" s="24">
        <f>IF(M282&lt;=0,0,IF($E$2-A282&lt;12,(M282-E282)*Dashboard!$B$18,IF($Q$2+A282&gt;=$R$2,MAX(0,M282-E282*POWER(1+$C$2,$E$2-A282))*MAX(Dashboard!$C$18,Dashboard!$B$18),IF($S$2&lt;$R$2,(M282-E282)*0.5*Dashboard!$B$18,(E282*POWER(1+$A$2,$R$2-($Q$2+A282))-E282)*0.5*Dashboard!$B$18+MAX(0,M282-E282*POWER(1+$A$2,$R$2-($Q$2+A282))*POWER(1+$C$2,$S$2-$R$2))*MAX(Dashboard!$C$18,Dashboard!$B$18)))))</f>
        <v>0</v>
      </c>
    </row>
    <row r="283" spans="1:14" x14ac:dyDescent="0.2">
      <c r="A283" s="22">
        <f t="shared" si="52"/>
        <v>278</v>
      </c>
      <c r="B283" s="23">
        <f t="shared" si="53"/>
        <v>41.221461187214672</v>
      </c>
      <c r="C283" t="str">
        <f t="shared" si="44"/>
        <v>41 y 2.66 m</v>
      </c>
      <c r="D283" s="24">
        <f>IF(A283&gt;=$E$2,IF(A283&lt;$E$2+$H$2,$P$2,0),IF(B283&lt;Dashboard!$I$6,0,IF(A283&gt;=$F$2,Dashboard!$C$23*POWER(1+$C$2,A283-$F$2),Dashboard!$C$23)))</f>
        <v>5092.3674515238745</v>
      </c>
      <c r="E283" s="24">
        <f>IF(A283&gt;=$F$2,0,IF(A283=0,Dashboard!$G$10,IF(B283&lt;Dashboard!$I$6,IF($J$2&lt;=Dashboard!$H$10,Dashboard!$H$10,MAX(Dashboard!$H$10,MIN($J$2,Dashboard!$H$10*POWER($J$2/Dashboard!$H$10,A283/$D$2)))),$I$2-D283-Dashboard!$I$10-Dashboard!$J$10-Dashboard!$F$10*$I$2)))</f>
        <v>1789.4325484761255</v>
      </c>
      <c r="F283" s="24">
        <f t="shared" si="45"/>
        <v>0</v>
      </c>
      <c r="G283" s="24">
        <f t="shared" si="46"/>
        <v>0</v>
      </c>
      <c r="H283" s="24">
        <f t="shared" si="47"/>
        <v>0</v>
      </c>
      <c r="I283" s="24">
        <f t="shared" si="48"/>
        <v>1789.4325484761255</v>
      </c>
      <c r="J283" s="25">
        <f t="shared" si="49"/>
        <v>7.9741404289037643E-3</v>
      </c>
      <c r="K283" s="24">
        <f t="shared" si="54"/>
        <v>2037735.8454895741</v>
      </c>
      <c r="L283" s="24" t="str">
        <f t="shared" si="50"/>
        <v/>
      </c>
      <c r="M283" s="24">
        <f t="shared" si="51"/>
        <v>0</v>
      </c>
      <c r="N283" s="24">
        <f>IF(M283&lt;=0,0,IF($E$2-A283&lt;12,(M283-E283)*Dashboard!$B$18,IF($Q$2+A283&gt;=$R$2,MAX(0,M283-E283*POWER(1+$C$2,$E$2-A283))*MAX(Dashboard!$C$18,Dashboard!$B$18),IF($S$2&lt;$R$2,(M283-E283)*0.5*Dashboard!$B$18,(E283*POWER(1+$A$2,$R$2-($Q$2+A283))-E283)*0.5*Dashboard!$B$18+MAX(0,M283-E283*POWER(1+$A$2,$R$2-($Q$2+A283))*POWER(1+$C$2,$S$2-$R$2))*MAX(Dashboard!$C$18,Dashboard!$B$18)))))</f>
        <v>0</v>
      </c>
    </row>
    <row r="284" spans="1:14" x14ac:dyDescent="0.2">
      <c r="A284" s="22">
        <f t="shared" si="52"/>
        <v>279</v>
      </c>
      <c r="B284" s="23">
        <f t="shared" si="53"/>
        <v>41.304794520548008</v>
      </c>
      <c r="C284" t="str">
        <f t="shared" si="44"/>
        <v>41 y 3.66 m</v>
      </c>
      <c r="D284" s="24">
        <f>IF(A284&gt;=$E$2,IF(A284&lt;$E$2+$H$2,$P$2,0),IF(B284&lt;Dashboard!$I$6,0,IF(A284&gt;=$F$2,Dashboard!$C$23*POWER(1+$C$2,A284-$F$2),Dashboard!$C$23)))</f>
        <v>5092.3674515238745</v>
      </c>
      <c r="E284" s="24">
        <f>IF(A284&gt;=$F$2,0,IF(A284=0,Dashboard!$G$10,IF(B284&lt;Dashboard!$I$6,IF($J$2&lt;=Dashboard!$H$10,Dashboard!$H$10,MAX(Dashboard!$H$10,MIN($J$2,Dashboard!$H$10*POWER($J$2/Dashboard!$H$10,A284/$D$2)))),$I$2-D284-Dashboard!$I$10-Dashboard!$J$10-Dashboard!$F$10*$I$2)))</f>
        <v>1789.4325484761255</v>
      </c>
      <c r="F284" s="24">
        <f t="shared" si="45"/>
        <v>0</v>
      </c>
      <c r="G284" s="24">
        <f t="shared" si="46"/>
        <v>0</v>
      </c>
      <c r="H284" s="24">
        <f t="shared" si="47"/>
        <v>0</v>
      </c>
      <c r="I284" s="24">
        <f t="shared" si="48"/>
        <v>1789.4325484761255</v>
      </c>
      <c r="J284" s="25">
        <f t="shared" si="49"/>
        <v>7.9741404289037643E-3</v>
      </c>
      <c r="K284" s="24">
        <f t="shared" si="54"/>
        <v>2055788.7390134246</v>
      </c>
      <c r="L284" s="24" t="str">
        <f t="shared" si="50"/>
        <v/>
      </c>
      <c r="M284" s="24">
        <f t="shared" si="51"/>
        <v>0</v>
      </c>
      <c r="N284" s="24">
        <f>IF(M284&lt;=0,0,IF($E$2-A284&lt;12,(M284-E284)*Dashboard!$B$18,IF($Q$2+A284&gt;=$R$2,MAX(0,M284-E284*POWER(1+$C$2,$E$2-A284))*MAX(Dashboard!$C$18,Dashboard!$B$18),IF($S$2&lt;$R$2,(M284-E284)*0.5*Dashboard!$B$18,(E284*POWER(1+$A$2,$R$2-($Q$2+A284))-E284)*0.5*Dashboard!$B$18+MAX(0,M284-E284*POWER(1+$A$2,$R$2-($Q$2+A284))*POWER(1+$C$2,$S$2-$R$2))*MAX(Dashboard!$C$18,Dashboard!$B$18)))))</f>
        <v>0</v>
      </c>
    </row>
    <row r="285" spans="1:14" x14ac:dyDescent="0.2">
      <c r="A285" s="22">
        <f t="shared" si="52"/>
        <v>280</v>
      </c>
      <c r="B285" s="23">
        <f t="shared" si="53"/>
        <v>41.388127853881343</v>
      </c>
      <c r="C285" t="str">
        <f t="shared" si="44"/>
        <v>41 y 4.66 m</v>
      </c>
      <c r="D285" s="24">
        <f>IF(A285&gt;=$E$2,IF(A285&lt;$E$2+$H$2,$P$2,0),IF(B285&lt;Dashboard!$I$6,0,IF(A285&gt;=$F$2,Dashboard!$C$23*POWER(1+$C$2,A285-$F$2),Dashboard!$C$23)))</f>
        <v>5092.3674515238745</v>
      </c>
      <c r="E285" s="24">
        <f>IF(A285&gt;=$F$2,0,IF(A285=0,Dashboard!$G$10,IF(B285&lt;Dashboard!$I$6,IF($J$2&lt;=Dashboard!$H$10,Dashboard!$H$10,MAX(Dashboard!$H$10,MIN($J$2,Dashboard!$H$10*POWER($J$2/Dashboard!$H$10,A285/$D$2)))),$I$2-D285-Dashboard!$I$10-Dashboard!$J$10-Dashboard!$F$10*$I$2)))</f>
        <v>1789.4325484761255</v>
      </c>
      <c r="F285" s="24">
        <f t="shared" si="45"/>
        <v>0</v>
      </c>
      <c r="G285" s="24">
        <f t="shared" si="46"/>
        <v>0</v>
      </c>
      <c r="H285" s="24">
        <f t="shared" si="47"/>
        <v>0</v>
      </c>
      <c r="I285" s="24">
        <f t="shared" si="48"/>
        <v>1789.4325484761255</v>
      </c>
      <c r="J285" s="25">
        <f t="shared" si="49"/>
        <v>7.9741404289037643E-3</v>
      </c>
      <c r="K285" s="24">
        <f t="shared" si="54"/>
        <v>2073985.5888453824</v>
      </c>
      <c r="L285" s="24" t="str">
        <f t="shared" si="50"/>
        <v/>
      </c>
      <c r="M285" s="24">
        <f t="shared" si="51"/>
        <v>0</v>
      </c>
      <c r="N285" s="24">
        <f>IF(M285&lt;=0,0,IF($E$2-A285&lt;12,(M285-E285)*Dashboard!$B$18,IF($Q$2+A285&gt;=$R$2,MAX(0,M285-E285*POWER(1+$C$2,$E$2-A285))*MAX(Dashboard!$C$18,Dashboard!$B$18),IF($S$2&lt;$R$2,(M285-E285)*0.5*Dashboard!$B$18,(E285*POWER(1+$A$2,$R$2-($Q$2+A285))-E285)*0.5*Dashboard!$B$18+MAX(0,M285-E285*POWER(1+$A$2,$R$2-($Q$2+A285))*POWER(1+$C$2,$S$2-$R$2))*MAX(Dashboard!$C$18,Dashboard!$B$18)))))</f>
        <v>0</v>
      </c>
    </row>
    <row r="286" spans="1:14" x14ac:dyDescent="0.2">
      <c r="A286" s="22">
        <f t="shared" si="52"/>
        <v>281</v>
      </c>
      <c r="B286" s="23">
        <f t="shared" si="53"/>
        <v>41.471461187214679</v>
      </c>
      <c r="C286" t="str">
        <f t="shared" si="44"/>
        <v>41 y 5.66 m</v>
      </c>
      <c r="D286" s="24">
        <f>IF(A286&gt;=$E$2,IF(A286&lt;$E$2+$H$2,$P$2,0),IF(B286&lt;Dashboard!$I$6,0,IF(A286&gt;=$F$2,Dashboard!$C$23*POWER(1+$C$2,A286-$F$2),Dashboard!$C$23)))</f>
        <v>5092.3674515238745</v>
      </c>
      <c r="E286" s="24">
        <f>IF(A286&gt;=$F$2,0,IF(A286=0,Dashboard!$G$10,IF(B286&lt;Dashboard!$I$6,IF($J$2&lt;=Dashboard!$H$10,Dashboard!$H$10,MAX(Dashboard!$H$10,MIN($J$2,Dashboard!$H$10*POWER($J$2/Dashboard!$H$10,A286/$D$2)))),$I$2-D286-Dashboard!$I$10-Dashboard!$J$10-Dashboard!$F$10*$I$2)))</f>
        <v>1789.4325484761255</v>
      </c>
      <c r="F286" s="24">
        <f t="shared" si="45"/>
        <v>0</v>
      </c>
      <c r="G286" s="24">
        <f t="shared" si="46"/>
        <v>0</v>
      </c>
      <c r="H286" s="24">
        <f t="shared" si="47"/>
        <v>0</v>
      </c>
      <c r="I286" s="24">
        <f t="shared" si="48"/>
        <v>1789.4325484761255</v>
      </c>
      <c r="J286" s="25">
        <f t="shared" si="49"/>
        <v>7.9741404289037643E-3</v>
      </c>
      <c r="K286" s="24">
        <f t="shared" si="54"/>
        <v>2092327.5429132639</v>
      </c>
      <c r="L286" s="24" t="str">
        <f t="shared" si="50"/>
        <v/>
      </c>
      <c r="M286" s="24">
        <f t="shared" si="51"/>
        <v>0</v>
      </c>
      <c r="N286" s="24">
        <f>IF(M286&lt;=0,0,IF($E$2-A286&lt;12,(M286-E286)*Dashboard!$B$18,IF($Q$2+A286&gt;=$R$2,MAX(0,M286-E286*POWER(1+$C$2,$E$2-A286))*MAX(Dashboard!$C$18,Dashboard!$B$18),IF($S$2&lt;$R$2,(M286-E286)*0.5*Dashboard!$B$18,(E286*POWER(1+$A$2,$R$2-($Q$2+A286))-E286)*0.5*Dashboard!$B$18+MAX(0,M286-E286*POWER(1+$A$2,$R$2-($Q$2+A286))*POWER(1+$C$2,$S$2-$R$2))*MAX(Dashboard!$C$18,Dashboard!$B$18)))))</f>
        <v>0</v>
      </c>
    </row>
    <row r="287" spans="1:14" x14ac:dyDescent="0.2">
      <c r="A287" s="22">
        <f t="shared" si="52"/>
        <v>282</v>
      </c>
      <c r="B287" s="23">
        <f t="shared" si="53"/>
        <v>41.554794520548015</v>
      </c>
      <c r="C287" t="str">
        <f t="shared" si="44"/>
        <v>41 y 6.66 m</v>
      </c>
      <c r="D287" s="24">
        <f>IF(A287&gt;=$E$2,IF(A287&lt;$E$2+$H$2,$P$2,0),IF(B287&lt;Dashboard!$I$6,0,IF(A287&gt;=$F$2,Dashboard!$C$23*POWER(1+$C$2,A287-$F$2),Dashboard!$C$23)))</f>
        <v>5092.3674515238745</v>
      </c>
      <c r="E287" s="24">
        <f>IF(A287&gt;=$F$2,0,IF(A287=0,Dashboard!$G$10,IF(B287&lt;Dashboard!$I$6,IF($J$2&lt;=Dashboard!$H$10,Dashboard!$H$10,MAX(Dashboard!$H$10,MIN($J$2,Dashboard!$H$10*POWER($J$2/Dashboard!$H$10,A287/$D$2)))),$I$2-D287-Dashboard!$I$10-Dashboard!$J$10-Dashboard!$F$10*$I$2)))</f>
        <v>1789.4325484761255</v>
      </c>
      <c r="F287" s="24">
        <f t="shared" si="45"/>
        <v>0</v>
      </c>
      <c r="G287" s="24">
        <f t="shared" si="46"/>
        <v>0</v>
      </c>
      <c r="H287" s="24">
        <f t="shared" si="47"/>
        <v>0</v>
      </c>
      <c r="I287" s="24">
        <f t="shared" si="48"/>
        <v>1789.4325484761255</v>
      </c>
      <c r="J287" s="25">
        <f t="shared" si="49"/>
        <v>7.9741404289037643E-3</v>
      </c>
      <c r="K287" s="24">
        <f t="shared" si="54"/>
        <v>2110815.7582986234</v>
      </c>
      <c r="L287" s="24" t="str">
        <f t="shared" si="50"/>
        <v/>
      </c>
      <c r="M287" s="24">
        <f t="shared" si="51"/>
        <v>0</v>
      </c>
      <c r="N287" s="24">
        <f>IF(M287&lt;=0,0,IF($E$2-A287&lt;12,(M287-E287)*Dashboard!$B$18,IF($Q$2+A287&gt;=$R$2,MAX(0,M287-E287*POWER(1+$C$2,$E$2-A287))*MAX(Dashboard!$C$18,Dashboard!$B$18),IF($S$2&lt;$R$2,(M287-E287)*0.5*Dashboard!$B$18,(E287*POWER(1+$A$2,$R$2-($Q$2+A287))-E287)*0.5*Dashboard!$B$18+MAX(0,M287-E287*POWER(1+$A$2,$R$2-($Q$2+A287))*POWER(1+$C$2,$S$2-$R$2))*MAX(Dashboard!$C$18,Dashboard!$B$18)))))</f>
        <v>0</v>
      </c>
    </row>
    <row r="288" spans="1:14" x14ac:dyDescent="0.2">
      <c r="A288" s="22">
        <f t="shared" si="52"/>
        <v>283</v>
      </c>
      <c r="B288" s="23">
        <f t="shared" si="53"/>
        <v>41.63812785388135</v>
      </c>
      <c r="C288" t="str">
        <f t="shared" si="44"/>
        <v>41 y 7.66 m</v>
      </c>
      <c r="D288" s="24">
        <f>IF(A288&gt;=$E$2,IF(A288&lt;$E$2+$H$2,$P$2,0),IF(B288&lt;Dashboard!$I$6,0,IF(A288&gt;=$F$2,Dashboard!$C$23*POWER(1+$C$2,A288-$F$2),Dashboard!$C$23)))</f>
        <v>5092.3674515238745</v>
      </c>
      <c r="E288" s="24">
        <f>IF(A288&gt;=$F$2,0,IF(A288=0,Dashboard!$G$10,IF(B288&lt;Dashboard!$I$6,IF($J$2&lt;=Dashboard!$H$10,Dashboard!$H$10,MAX(Dashboard!$H$10,MIN($J$2,Dashboard!$H$10*POWER($J$2/Dashboard!$H$10,A288/$D$2)))),$I$2-D288-Dashboard!$I$10-Dashboard!$J$10-Dashboard!$F$10*$I$2)))</f>
        <v>1789.4325484761255</v>
      </c>
      <c r="F288" s="24">
        <f t="shared" si="45"/>
        <v>0</v>
      </c>
      <c r="G288" s="24">
        <f t="shared" si="46"/>
        <v>0</v>
      </c>
      <c r="H288" s="24">
        <f t="shared" si="47"/>
        <v>0</v>
      </c>
      <c r="I288" s="24">
        <f t="shared" si="48"/>
        <v>1789.4325484761255</v>
      </c>
      <c r="J288" s="25">
        <f t="shared" si="49"/>
        <v>7.9741404289037643E-3</v>
      </c>
      <c r="K288" s="24">
        <f t="shared" si="54"/>
        <v>2129451.4013097449</v>
      </c>
      <c r="L288" s="24" t="str">
        <f t="shared" si="50"/>
        <v/>
      </c>
      <c r="M288" s="24">
        <f t="shared" si="51"/>
        <v>0</v>
      </c>
      <c r="N288" s="24">
        <f>IF(M288&lt;=0,0,IF($E$2-A288&lt;12,(M288-E288)*Dashboard!$B$18,IF($Q$2+A288&gt;=$R$2,MAX(0,M288-E288*POWER(1+$C$2,$E$2-A288))*MAX(Dashboard!$C$18,Dashboard!$B$18),IF($S$2&lt;$R$2,(M288-E288)*0.5*Dashboard!$B$18,(E288*POWER(1+$A$2,$R$2-($Q$2+A288))-E288)*0.5*Dashboard!$B$18+MAX(0,M288-E288*POWER(1+$A$2,$R$2-($Q$2+A288))*POWER(1+$C$2,$S$2-$R$2))*MAX(Dashboard!$C$18,Dashboard!$B$18)))))</f>
        <v>0</v>
      </c>
    </row>
    <row r="289" spans="1:14" x14ac:dyDescent="0.2">
      <c r="A289" s="22">
        <f t="shared" si="52"/>
        <v>284</v>
      </c>
      <c r="B289" s="23">
        <f t="shared" si="53"/>
        <v>41.721461187214686</v>
      </c>
      <c r="C289" t="str">
        <f t="shared" si="44"/>
        <v>41 y 8.66 m</v>
      </c>
      <c r="D289" s="24">
        <f>IF(A289&gt;=$E$2,IF(A289&lt;$E$2+$H$2,$P$2,0),IF(B289&lt;Dashboard!$I$6,0,IF(A289&gt;=$F$2,Dashboard!$C$23*POWER(1+$C$2,A289-$F$2),Dashboard!$C$23)))</f>
        <v>5092.3674515238745</v>
      </c>
      <c r="E289" s="24">
        <f>IF(A289&gt;=$F$2,0,IF(A289=0,Dashboard!$G$10,IF(B289&lt;Dashboard!$I$6,IF($J$2&lt;=Dashboard!$H$10,Dashboard!$H$10,MAX(Dashboard!$H$10,MIN($J$2,Dashboard!$H$10*POWER($J$2/Dashboard!$H$10,A289/$D$2)))),$I$2-D289-Dashboard!$I$10-Dashboard!$J$10-Dashboard!$F$10*$I$2)))</f>
        <v>1789.4325484761255</v>
      </c>
      <c r="F289" s="24">
        <f t="shared" si="45"/>
        <v>0</v>
      </c>
      <c r="G289" s="24">
        <f t="shared" si="46"/>
        <v>0</v>
      </c>
      <c r="H289" s="24">
        <f t="shared" si="47"/>
        <v>0</v>
      </c>
      <c r="I289" s="24">
        <f t="shared" si="48"/>
        <v>1789.4325484761255</v>
      </c>
      <c r="J289" s="25">
        <f t="shared" si="49"/>
        <v>7.9741404289037643E-3</v>
      </c>
      <c r="K289" s="24">
        <f t="shared" si="54"/>
        <v>2148235.6475552204</v>
      </c>
      <c r="L289" s="24" t="str">
        <f t="shared" si="50"/>
        <v/>
      </c>
      <c r="M289" s="24">
        <f t="shared" si="51"/>
        <v>0</v>
      </c>
      <c r="N289" s="24">
        <f>IF(M289&lt;=0,0,IF($E$2-A289&lt;12,(M289-E289)*Dashboard!$B$18,IF($Q$2+A289&gt;=$R$2,MAX(0,M289-E289*POWER(1+$C$2,$E$2-A289))*MAX(Dashboard!$C$18,Dashboard!$B$18),IF($S$2&lt;$R$2,(M289-E289)*0.5*Dashboard!$B$18,(E289*POWER(1+$A$2,$R$2-($Q$2+A289))-E289)*0.5*Dashboard!$B$18+MAX(0,M289-E289*POWER(1+$A$2,$R$2-($Q$2+A289))*POWER(1+$C$2,$S$2-$R$2))*MAX(Dashboard!$C$18,Dashboard!$B$18)))))</f>
        <v>0</v>
      </c>
    </row>
    <row r="290" spans="1:14" x14ac:dyDescent="0.2">
      <c r="A290" s="22">
        <f t="shared" si="52"/>
        <v>285</v>
      </c>
      <c r="B290" s="23">
        <f t="shared" si="53"/>
        <v>41.804794520548022</v>
      </c>
      <c r="C290" t="str">
        <f t="shared" si="44"/>
        <v>41 y 9.66 m</v>
      </c>
      <c r="D290" s="24">
        <f>IF(A290&gt;=$E$2,IF(A290&lt;$E$2+$H$2,$P$2,0),IF(B290&lt;Dashboard!$I$6,0,IF(A290&gt;=$F$2,Dashboard!$C$23*POWER(1+$C$2,A290-$F$2),Dashboard!$C$23)))</f>
        <v>5092.3674515238745</v>
      </c>
      <c r="E290" s="24">
        <f>IF(A290&gt;=$F$2,0,IF(A290=0,Dashboard!$G$10,IF(B290&lt;Dashboard!$I$6,IF($J$2&lt;=Dashboard!$H$10,Dashboard!$H$10,MAX(Dashboard!$H$10,MIN($J$2,Dashboard!$H$10*POWER($J$2/Dashboard!$H$10,A290/$D$2)))),$I$2-D290-Dashboard!$I$10-Dashboard!$J$10-Dashboard!$F$10*$I$2)))</f>
        <v>1789.4325484761255</v>
      </c>
      <c r="F290" s="24">
        <f t="shared" si="45"/>
        <v>0</v>
      </c>
      <c r="G290" s="24">
        <f t="shared" si="46"/>
        <v>0</v>
      </c>
      <c r="H290" s="24">
        <f t="shared" si="47"/>
        <v>0</v>
      </c>
      <c r="I290" s="24">
        <f t="shared" si="48"/>
        <v>1789.4325484761255</v>
      </c>
      <c r="J290" s="25">
        <f t="shared" si="49"/>
        <v>7.9741404289037643E-3</v>
      </c>
      <c r="K290" s="24">
        <f t="shared" si="54"/>
        <v>2167169.6820181082</v>
      </c>
      <c r="L290" s="24" t="str">
        <f t="shared" si="50"/>
        <v/>
      </c>
      <c r="M290" s="24">
        <f t="shared" si="51"/>
        <v>0</v>
      </c>
      <c r="N290" s="24">
        <f>IF(M290&lt;=0,0,IF($E$2-A290&lt;12,(M290-E290)*Dashboard!$B$18,IF($Q$2+A290&gt;=$R$2,MAX(0,M290-E290*POWER(1+$C$2,$E$2-A290))*MAX(Dashboard!$C$18,Dashboard!$B$18),IF($S$2&lt;$R$2,(M290-E290)*0.5*Dashboard!$B$18,(E290*POWER(1+$A$2,$R$2-($Q$2+A290))-E290)*0.5*Dashboard!$B$18+MAX(0,M290-E290*POWER(1+$A$2,$R$2-($Q$2+A290))*POWER(1+$C$2,$S$2-$R$2))*MAX(Dashboard!$C$18,Dashboard!$B$18)))))</f>
        <v>0</v>
      </c>
    </row>
    <row r="291" spans="1:14" x14ac:dyDescent="0.2">
      <c r="A291" s="22">
        <f t="shared" si="52"/>
        <v>286</v>
      </c>
      <c r="B291" s="23">
        <f t="shared" si="53"/>
        <v>41.888127853881358</v>
      </c>
      <c r="C291" t="str">
        <f t="shared" si="44"/>
        <v>41 y 10.66 m</v>
      </c>
      <c r="D291" s="24">
        <f>IF(A291&gt;=$E$2,IF(A291&lt;$E$2+$H$2,$P$2,0),IF(B291&lt;Dashboard!$I$6,0,IF(A291&gt;=$F$2,Dashboard!$C$23*POWER(1+$C$2,A291-$F$2),Dashboard!$C$23)))</f>
        <v>5092.3674515238745</v>
      </c>
      <c r="E291" s="24">
        <f>IF(A291&gt;=$F$2,0,IF(A291=0,Dashboard!$G$10,IF(B291&lt;Dashboard!$I$6,IF($J$2&lt;=Dashboard!$H$10,Dashboard!$H$10,MAX(Dashboard!$H$10,MIN($J$2,Dashboard!$H$10*POWER($J$2/Dashboard!$H$10,A291/$D$2)))),$I$2-D291-Dashboard!$I$10-Dashboard!$J$10-Dashboard!$F$10*$I$2)))</f>
        <v>1789.4325484761255</v>
      </c>
      <c r="F291" s="24">
        <f t="shared" si="45"/>
        <v>0</v>
      </c>
      <c r="G291" s="24">
        <f t="shared" si="46"/>
        <v>0</v>
      </c>
      <c r="H291" s="24">
        <f t="shared" si="47"/>
        <v>0</v>
      </c>
      <c r="I291" s="24">
        <f t="shared" si="48"/>
        <v>1789.4325484761255</v>
      </c>
      <c r="J291" s="25">
        <f t="shared" si="49"/>
        <v>7.9741404289037643E-3</v>
      </c>
      <c r="K291" s="24">
        <f t="shared" si="54"/>
        <v>2186254.6991306888</v>
      </c>
      <c r="L291" s="24" t="str">
        <f t="shared" si="50"/>
        <v/>
      </c>
      <c r="M291" s="24">
        <f t="shared" si="51"/>
        <v>0</v>
      </c>
      <c r="N291" s="24">
        <f>IF(M291&lt;=0,0,IF($E$2-A291&lt;12,(M291-E291)*Dashboard!$B$18,IF($Q$2+A291&gt;=$R$2,MAX(0,M291-E291*POWER(1+$C$2,$E$2-A291))*MAX(Dashboard!$C$18,Dashboard!$B$18),IF($S$2&lt;$R$2,(M291-E291)*0.5*Dashboard!$B$18,(E291*POWER(1+$A$2,$R$2-($Q$2+A291))-E291)*0.5*Dashboard!$B$18+MAX(0,M291-E291*POWER(1+$A$2,$R$2-($Q$2+A291))*POWER(1+$C$2,$S$2-$R$2))*MAX(Dashboard!$C$18,Dashboard!$B$18)))))</f>
        <v>0</v>
      </c>
    </row>
    <row r="292" spans="1:14" x14ac:dyDescent="0.2">
      <c r="A292" s="22">
        <f t="shared" si="52"/>
        <v>287</v>
      </c>
      <c r="B292" s="23">
        <f t="shared" si="53"/>
        <v>41.971461187214693</v>
      </c>
      <c r="C292" t="str">
        <f t="shared" si="44"/>
        <v>41 y 11.66 m</v>
      </c>
      <c r="D292" s="24">
        <f>IF(A292&gt;=$E$2,IF(A292&lt;$E$2+$H$2,$P$2,0),IF(B292&lt;Dashboard!$I$6,0,IF(A292&gt;=$F$2,Dashboard!$C$23*POWER(1+$C$2,A292-$F$2),Dashboard!$C$23)))</f>
        <v>5092.3674515238745</v>
      </c>
      <c r="E292" s="24">
        <f>IF(A292&gt;=$F$2,0,IF(A292=0,Dashboard!$G$10,IF(B292&lt;Dashboard!$I$6,IF($J$2&lt;=Dashboard!$H$10,Dashboard!$H$10,MAX(Dashboard!$H$10,MIN($J$2,Dashboard!$H$10*POWER($J$2/Dashboard!$H$10,A292/$D$2)))),$I$2-D292-Dashboard!$I$10-Dashboard!$J$10-Dashboard!$F$10*$I$2)))</f>
        <v>1789.4325484761255</v>
      </c>
      <c r="F292" s="24">
        <f t="shared" si="45"/>
        <v>0</v>
      </c>
      <c r="G292" s="24">
        <f t="shared" si="46"/>
        <v>0</v>
      </c>
      <c r="H292" s="24">
        <f t="shared" si="47"/>
        <v>0</v>
      </c>
      <c r="I292" s="24">
        <f t="shared" si="48"/>
        <v>1789.4325484761255</v>
      </c>
      <c r="J292" s="25">
        <f t="shared" si="49"/>
        <v>7.9741404289037643E-3</v>
      </c>
      <c r="K292" s="24">
        <f t="shared" si="54"/>
        <v>2205491.902849813</v>
      </c>
      <c r="L292" s="24" t="str">
        <f t="shared" si="50"/>
        <v/>
      </c>
      <c r="M292" s="24">
        <f t="shared" si="51"/>
        <v>0</v>
      </c>
      <c r="N292" s="24">
        <f>IF(M292&lt;=0,0,IF($E$2-A292&lt;12,(M292-E292)*Dashboard!$B$18,IF($Q$2+A292&gt;=$R$2,MAX(0,M292-E292*POWER(1+$C$2,$E$2-A292))*MAX(Dashboard!$C$18,Dashboard!$B$18),IF($S$2&lt;$R$2,(M292-E292)*0.5*Dashboard!$B$18,(E292*POWER(1+$A$2,$R$2-($Q$2+A292))-E292)*0.5*Dashboard!$B$18+MAX(0,M292-E292*POWER(1+$A$2,$R$2-($Q$2+A292))*POWER(1+$C$2,$S$2-$R$2))*MAX(Dashboard!$C$18,Dashboard!$B$18)))))</f>
        <v>0</v>
      </c>
    </row>
    <row r="293" spans="1:14" x14ac:dyDescent="0.2">
      <c r="A293" s="22">
        <f t="shared" si="52"/>
        <v>288</v>
      </c>
      <c r="B293" s="23">
        <f t="shared" si="53"/>
        <v>42.054794520548029</v>
      </c>
      <c r="C293" t="str">
        <f t="shared" si="44"/>
        <v>42 y 0.66 m</v>
      </c>
      <c r="D293" s="24">
        <f>IF(A293&gt;=$E$2,IF(A293&lt;$E$2+$H$2,$P$2,0),IF(B293&lt;Dashboard!$I$6,0,IF(A293&gt;=$F$2,Dashboard!$C$23*POWER(1+$C$2,A293-$F$2),Dashboard!$C$23)))</f>
        <v>5092.3674515238745</v>
      </c>
      <c r="E293" s="24">
        <f>IF(A293&gt;=$F$2,0,IF(A293=0,Dashboard!$G$10,IF(B293&lt;Dashboard!$I$6,IF($J$2&lt;=Dashboard!$H$10,Dashboard!$H$10,MAX(Dashboard!$H$10,MIN($J$2,Dashboard!$H$10*POWER($J$2/Dashboard!$H$10,A293/$D$2)))),$I$2-D293-Dashboard!$I$10-Dashboard!$J$10-Dashboard!$F$10*$I$2)))</f>
        <v>1789.4325484761255</v>
      </c>
      <c r="F293" s="24">
        <f t="shared" si="45"/>
        <v>0</v>
      </c>
      <c r="G293" s="24">
        <f t="shared" si="46"/>
        <v>0</v>
      </c>
      <c r="H293" s="24">
        <f t="shared" si="47"/>
        <v>0</v>
      </c>
      <c r="I293" s="24">
        <f t="shared" si="48"/>
        <v>1789.4325484761255</v>
      </c>
      <c r="J293" s="25">
        <f t="shared" si="49"/>
        <v>7.9741404289037643E-3</v>
      </c>
      <c r="K293" s="24">
        <f t="shared" si="54"/>
        <v>2224882.5067328531</v>
      </c>
      <c r="L293" s="24" t="str">
        <f t="shared" si="50"/>
        <v/>
      </c>
      <c r="M293" s="24">
        <f t="shared" si="51"/>
        <v>0</v>
      </c>
      <c r="N293" s="24">
        <f>IF(M293&lt;=0,0,IF($E$2-A293&lt;12,(M293-E293)*Dashboard!$B$18,IF($Q$2+A293&gt;=$R$2,MAX(0,M293-E293*POWER(1+$C$2,$E$2-A293))*MAX(Dashboard!$C$18,Dashboard!$B$18),IF($S$2&lt;$R$2,(M293-E293)*0.5*Dashboard!$B$18,(E293*POWER(1+$A$2,$R$2-($Q$2+A293))-E293)*0.5*Dashboard!$B$18+MAX(0,M293-E293*POWER(1+$A$2,$R$2-($Q$2+A293))*POWER(1+$C$2,$S$2-$R$2))*MAX(Dashboard!$C$18,Dashboard!$B$18)))))</f>
        <v>0</v>
      </c>
    </row>
    <row r="294" spans="1:14" x14ac:dyDescent="0.2">
      <c r="A294" s="22">
        <f t="shared" si="52"/>
        <v>289</v>
      </c>
      <c r="B294" s="23">
        <f t="shared" si="53"/>
        <v>42.138127853881365</v>
      </c>
      <c r="C294" t="str">
        <f t="shared" si="44"/>
        <v>42 y 1.66 m</v>
      </c>
      <c r="D294" s="24">
        <f>IF(A294&gt;=$E$2,IF(A294&lt;$E$2+$H$2,$P$2,0),IF(B294&lt;Dashboard!$I$6,0,IF(A294&gt;=$F$2,Dashboard!$C$23*POWER(1+$C$2,A294-$F$2),Dashboard!$C$23)))</f>
        <v>5092.3674515238745</v>
      </c>
      <c r="E294" s="24">
        <f>IF(A294&gt;=$F$2,0,IF(A294=0,Dashboard!$G$10,IF(B294&lt;Dashboard!$I$6,IF($J$2&lt;=Dashboard!$H$10,Dashboard!$H$10,MAX(Dashboard!$H$10,MIN($J$2,Dashboard!$H$10*POWER($J$2/Dashboard!$H$10,A294/$D$2)))),$I$2-D294-Dashboard!$I$10-Dashboard!$J$10-Dashboard!$F$10*$I$2)))</f>
        <v>1789.4325484761255</v>
      </c>
      <c r="F294" s="24">
        <f t="shared" si="45"/>
        <v>0</v>
      </c>
      <c r="G294" s="24">
        <f t="shared" si="46"/>
        <v>0</v>
      </c>
      <c r="H294" s="24">
        <f t="shared" si="47"/>
        <v>0</v>
      </c>
      <c r="I294" s="24">
        <f t="shared" si="48"/>
        <v>1789.4325484761255</v>
      </c>
      <c r="J294" s="25">
        <f t="shared" si="49"/>
        <v>7.9741404289037643E-3</v>
      </c>
      <c r="K294" s="24">
        <f t="shared" si="54"/>
        <v>2244427.7340142578</v>
      </c>
      <c r="L294" s="24" t="str">
        <f t="shared" si="50"/>
        <v/>
      </c>
      <c r="M294" s="24">
        <f t="shared" si="51"/>
        <v>0</v>
      </c>
      <c r="N294" s="24">
        <f>IF(M294&lt;=0,0,IF($E$2-A294&lt;12,(M294-E294)*Dashboard!$B$18,IF($Q$2+A294&gt;=$R$2,MAX(0,M294-E294*POWER(1+$C$2,$E$2-A294))*MAX(Dashboard!$C$18,Dashboard!$B$18),IF($S$2&lt;$R$2,(M294-E294)*0.5*Dashboard!$B$18,(E294*POWER(1+$A$2,$R$2-($Q$2+A294))-E294)*0.5*Dashboard!$B$18+MAX(0,M294-E294*POWER(1+$A$2,$R$2-($Q$2+A294))*POWER(1+$C$2,$S$2-$R$2))*MAX(Dashboard!$C$18,Dashboard!$B$18)))))</f>
        <v>0</v>
      </c>
    </row>
    <row r="295" spans="1:14" x14ac:dyDescent="0.2">
      <c r="A295" s="22">
        <f t="shared" si="52"/>
        <v>290</v>
      </c>
      <c r="B295" s="23">
        <f t="shared" si="53"/>
        <v>42.2214611872147</v>
      </c>
      <c r="C295" t="str">
        <f t="shared" si="44"/>
        <v>42 y 2.66 m</v>
      </c>
      <c r="D295" s="24">
        <f>IF(A295&gt;=$E$2,IF(A295&lt;$E$2+$H$2,$P$2,0),IF(B295&lt;Dashboard!$I$6,0,IF(A295&gt;=$F$2,Dashboard!$C$23*POWER(1+$C$2,A295-$F$2),Dashboard!$C$23)))</f>
        <v>5092.3674515238745</v>
      </c>
      <c r="E295" s="24">
        <f>IF(A295&gt;=$F$2,0,IF(A295=0,Dashboard!$G$10,IF(B295&lt;Dashboard!$I$6,IF($J$2&lt;=Dashboard!$H$10,Dashboard!$H$10,MAX(Dashboard!$H$10,MIN($J$2,Dashboard!$H$10*POWER($J$2/Dashboard!$H$10,A295/$D$2)))),$I$2-D295-Dashboard!$I$10-Dashboard!$J$10-Dashboard!$F$10*$I$2)))</f>
        <v>1789.4325484761255</v>
      </c>
      <c r="F295" s="24">
        <f t="shared" si="45"/>
        <v>0</v>
      </c>
      <c r="G295" s="24">
        <f t="shared" si="46"/>
        <v>0</v>
      </c>
      <c r="H295" s="24">
        <f t="shared" si="47"/>
        <v>0</v>
      </c>
      <c r="I295" s="24">
        <f t="shared" si="48"/>
        <v>1789.4325484761255</v>
      </c>
      <c r="J295" s="25">
        <f t="shared" si="49"/>
        <v>7.9741404289037643E-3</v>
      </c>
      <c r="K295" s="24">
        <f t="shared" si="54"/>
        <v>2264128.8176827193</v>
      </c>
      <c r="L295" s="24" t="str">
        <f t="shared" si="50"/>
        <v/>
      </c>
      <c r="M295" s="24">
        <f t="shared" si="51"/>
        <v>0</v>
      </c>
      <c r="N295" s="24">
        <f>IF(M295&lt;=0,0,IF($E$2-A295&lt;12,(M295-E295)*Dashboard!$B$18,IF($Q$2+A295&gt;=$R$2,MAX(0,M295-E295*POWER(1+$C$2,$E$2-A295))*MAX(Dashboard!$C$18,Dashboard!$B$18),IF($S$2&lt;$R$2,(M295-E295)*0.5*Dashboard!$B$18,(E295*POWER(1+$A$2,$R$2-($Q$2+A295))-E295)*0.5*Dashboard!$B$18+MAX(0,M295-E295*POWER(1+$A$2,$R$2-($Q$2+A295))*POWER(1+$C$2,$S$2-$R$2))*MAX(Dashboard!$C$18,Dashboard!$B$18)))))</f>
        <v>0</v>
      </c>
    </row>
    <row r="296" spans="1:14" x14ac:dyDescent="0.2">
      <c r="A296" s="22">
        <f t="shared" si="52"/>
        <v>291</v>
      </c>
      <c r="B296" s="23">
        <f t="shared" si="53"/>
        <v>42.304794520548036</v>
      </c>
      <c r="C296" t="str">
        <f t="shared" si="44"/>
        <v>42 y 3.66 m</v>
      </c>
      <c r="D296" s="24">
        <f>IF(A296&gt;=$E$2,IF(A296&lt;$E$2+$H$2,$P$2,0),IF(B296&lt;Dashboard!$I$6,0,IF(A296&gt;=$F$2,Dashboard!$C$23*POWER(1+$C$2,A296-$F$2),Dashboard!$C$23)))</f>
        <v>5092.3674515238745</v>
      </c>
      <c r="E296" s="24">
        <f>IF(A296&gt;=$F$2,0,IF(A296=0,Dashboard!$G$10,IF(B296&lt;Dashboard!$I$6,IF($J$2&lt;=Dashboard!$H$10,Dashboard!$H$10,MAX(Dashboard!$H$10,MIN($J$2,Dashboard!$H$10*POWER($J$2/Dashboard!$H$10,A296/$D$2)))),$I$2-D296-Dashboard!$I$10-Dashboard!$J$10-Dashboard!$F$10*$I$2)))</f>
        <v>1789.4325484761255</v>
      </c>
      <c r="F296" s="24">
        <f t="shared" si="45"/>
        <v>0</v>
      </c>
      <c r="G296" s="24">
        <f t="shared" si="46"/>
        <v>0</v>
      </c>
      <c r="H296" s="24">
        <f t="shared" si="47"/>
        <v>0</v>
      </c>
      <c r="I296" s="24">
        <f t="shared" si="48"/>
        <v>1789.4325484761255</v>
      </c>
      <c r="J296" s="25">
        <f t="shared" si="49"/>
        <v>7.9741404289037643E-3</v>
      </c>
      <c r="K296" s="24">
        <f t="shared" si="54"/>
        <v>2283987.0005589547</v>
      </c>
      <c r="L296" s="24" t="str">
        <f t="shared" si="50"/>
        <v/>
      </c>
      <c r="M296" s="24">
        <f t="shared" si="51"/>
        <v>0</v>
      </c>
      <c r="N296" s="24">
        <f>IF(M296&lt;=0,0,IF($E$2-A296&lt;12,(M296-E296)*Dashboard!$B$18,IF($Q$2+A296&gt;=$R$2,MAX(0,M296-E296*POWER(1+$C$2,$E$2-A296))*MAX(Dashboard!$C$18,Dashboard!$B$18),IF($S$2&lt;$R$2,(M296-E296)*0.5*Dashboard!$B$18,(E296*POWER(1+$A$2,$R$2-($Q$2+A296))-E296)*0.5*Dashboard!$B$18+MAX(0,M296-E296*POWER(1+$A$2,$R$2-($Q$2+A296))*POWER(1+$C$2,$S$2-$R$2))*MAX(Dashboard!$C$18,Dashboard!$B$18)))))</f>
        <v>0</v>
      </c>
    </row>
    <row r="297" spans="1:14" x14ac:dyDescent="0.2">
      <c r="A297" s="22">
        <f t="shared" si="52"/>
        <v>292</v>
      </c>
      <c r="B297" s="23">
        <f t="shared" si="53"/>
        <v>42.388127853881372</v>
      </c>
      <c r="C297" t="str">
        <f t="shared" si="44"/>
        <v>42 y 4.66 m</v>
      </c>
      <c r="D297" s="24">
        <f>IF(A297&gt;=$E$2,IF(A297&lt;$E$2+$H$2,$P$2,0),IF(B297&lt;Dashboard!$I$6,0,IF(A297&gt;=$F$2,Dashboard!$C$23*POWER(1+$C$2,A297-$F$2),Dashboard!$C$23)))</f>
        <v>5092.3674515238745</v>
      </c>
      <c r="E297" s="24">
        <f>IF(A297&gt;=$F$2,0,IF(A297=0,Dashboard!$G$10,IF(B297&lt;Dashboard!$I$6,IF($J$2&lt;=Dashboard!$H$10,Dashboard!$H$10,MAX(Dashboard!$H$10,MIN($J$2,Dashboard!$H$10*POWER($J$2/Dashboard!$H$10,A297/$D$2)))),$I$2-D297-Dashboard!$I$10-Dashboard!$J$10-Dashboard!$F$10*$I$2)))</f>
        <v>1789.4325484761255</v>
      </c>
      <c r="F297" s="24">
        <f t="shared" si="45"/>
        <v>0</v>
      </c>
      <c r="G297" s="24">
        <f t="shared" si="46"/>
        <v>0</v>
      </c>
      <c r="H297" s="24">
        <f t="shared" si="47"/>
        <v>0</v>
      </c>
      <c r="I297" s="24">
        <f t="shared" si="48"/>
        <v>1789.4325484761255</v>
      </c>
      <c r="J297" s="25">
        <f t="shared" si="49"/>
        <v>7.9741404289037643E-3</v>
      </c>
      <c r="K297" s="24">
        <f t="shared" si="54"/>
        <v>2304003.5353741078</v>
      </c>
      <c r="L297" s="24" t="str">
        <f t="shared" si="50"/>
        <v/>
      </c>
      <c r="M297" s="24">
        <f t="shared" si="51"/>
        <v>0</v>
      </c>
      <c r="N297" s="24">
        <f>IF(M297&lt;=0,0,IF($E$2-A297&lt;12,(M297-E297)*Dashboard!$B$18,IF($Q$2+A297&gt;=$R$2,MAX(0,M297-E297*POWER(1+$C$2,$E$2-A297))*MAX(Dashboard!$C$18,Dashboard!$B$18),IF($S$2&lt;$R$2,(M297-E297)*0.5*Dashboard!$B$18,(E297*POWER(1+$A$2,$R$2-($Q$2+A297))-E297)*0.5*Dashboard!$B$18+MAX(0,M297-E297*POWER(1+$A$2,$R$2-($Q$2+A297))*POWER(1+$C$2,$S$2-$R$2))*MAX(Dashboard!$C$18,Dashboard!$B$18)))))</f>
        <v>0</v>
      </c>
    </row>
    <row r="298" spans="1:14" x14ac:dyDescent="0.2">
      <c r="A298" s="22">
        <f t="shared" si="52"/>
        <v>293</v>
      </c>
      <c r="B298" s="23">
        <f t="shared" si="53"/>
        <v>42.471461187214707</v>
      </c>
      <c r="C298" t="str">
        <f t="shared" si="44"/>
        <v>42 y 5.66 m</v>
      </c>
      <c r="D298" s="24">
        <f>IF(A298&gt;=$E$2,IF(A298&lt;$E$2+$H$2,$P$2,0),IF(B298&lt;Dashboard!$I$6,0,IF(A298&gt;=$F$2,Dashboard!$C$23*POWER(1+$C$2,A298-$F$2),Dashboard!$C$23)))</f>
        <v>5092.3674515238745</v>
      </c>
      <c r="E298" s="24">
        <f>IF(A298&gt;=$F$2,0,IF(A298=0,Dashboard!$G$10,IF(B298&lt;Dashboard!$I$6,IF($J$2&lt;=Dashboard!$H$10,Dashboard!$H$10,MAX(Dashboard!$H$10,MIN($J$2,Dashboard!$H$10*POWER($J$2/Dashboard!$H$10,A298/$D$2)))),$I$2-D298-Dashboard!$I$10-Dashboard!$J$10-Dashboard!$F$10*$I$2)))</f>
        <v>1789.4325484761255</v>
      </c>
      <c r="F298" s="24">
        <f t="shared" si="45"/>
        <v>0</v>
      </c>
      <c r="G298" s="24">
        <f t="shared" si="46"/>
        <v>0</v>
      </c>
      <c r="H298" s="24">
        <f t="shared" si="47"/>
        <v>0</v>
      </c>
      <c r="I298" s="24">
        <f t="shared" si="48"/>
        <v>1789.4325484761255</v>
      </c>
      <c r="J298" s="25">
        <f t="shared" si="49"/>
        <v>7.9741404289037643E-3</v>
      </c>
      <c r="K298" s="24">
        <f t="shared" si="54"/>
        <v>2324179.684848777</v>
      </c>
      <c r="L298" s="24" t="str">
        <f t="shared" si="50"/>
        <v/>
      </c>
      <c r="M298" s="24">
        <f t="shared" si="51"/>
        <v>0</v>
      </c>
      <c r="N298" s="24">
        <f>IF(M298&lt;=0,0,IF($E$2-A298&lt;12,(M298-E298)*Dashboard!$B$18,IF($Q$2+A298&gt;=$R$2,MAX(0,M298-E298*POWER(1+$C$2,$E$2-A298))*MAX(Dashboard!$C$18,Dashboard!$B$18),IF($S$2&lt;$R$2,(M298-E298)*0.5*Dashboard!$B$18,(E298*POWER(1+$A$2,$R$2-($Q$2+A298))-E298)*0.5*Dashboard!$B$18+MAX(0,M298-E298*POWER(1+$A$2,$R$2-($Q$2+A298))*POWER(1+$C$2,$S$2-$R$2))*MAX(Dashboard!$C$18,Dashboard!$B$18)))))</f>
        <v>0</v>
      </c>
    </row>
    <row r="299" spans="1:14" x14ac:dyDescent="0.2">
      <c r="A299" s="22">
        <f t="shared" si="52"/>
        <v>294</v>
      </c>
      <c r="B299" s="23">
        <f t="shared" si="53"/>
        <v>42.554794520548043</v>
      </c>
      <c r="C299" t="str">
        <f t="shared" si="44"/>
        <v>42 y 6.66 m</v>
      </c>
      <c r="D299" s="24">
        <f>IF(A299&gt;=$E$2,IF(A299&lt;$E$2+$H$2,$P$2,0),IF(B299&lt;Dashboard!$I$6,0,IF(A299&gt;=$F$2,Dashboard!$C$23*POWER(1+$C$2,A299-$F$2),Dashboard!$C$23)))</f>
        <v>5092.3674515238745</v>
      </c>
      <c r="E299" s="24">
        <f>IF(A299&gt;=$F$2,0,IF(A299=0,Dashboard!$G$10,IF(B299&lt;Dashboard!$I$6,IF($J$2&lt;=Dashboard!$H$10,Dashboard!$H$10,MAX(Dashboard!$H$10,MIN($J$2,Dashboard!$H$10*POWER($J$2/Dashboard!$H$10,A299/$D$2)))),$I$2-D299-Dashboard!$I$10-Dashboard!$J$10-Dashboard!$F$10*$I$2)))</f>
        <v>1789.4325484761255</v>
      </c>
      <c r="F299" s="24">
        <f t="shared" si="45"/>
        <v>0</v>
      </c>
      <c r="G299" s="24">
        <f t="shared" si="46"/>
        <v>0</v>
      </c>
      <c r="H299" s="24">
        <f t="shared" si="47"/>
        <v>0</v>
      </c>
      <c r="I299" s="24">
        <f t="shared" si="48"/>
        <v>1789.4325484761255</v>
      </c>
      <c r="J299" s="25">
        <f t="shared" si="49"/>
        <v>7.9741404289037643E-3</v>
      </c>
      <c r="K299" s="24">
        <f t="shared" si="54"/>
        <v>2344516.7217726721</v>
      </c>
      <c r="L299" s="24" t="str">
        <f t="shared" si="50"/>
        <v/>
      </c>
      <c r="M299" s="24">
        <f t="shared" si="51"/>
        <v>0</v>
      </c>
      <c r="N299" s="24">
        <f>IF(M299&lt;=0,0,IF($E$2-A299&lt;12,(M299-E299)*Dashboard!$B$18,IF($Q$2+A299&gt;=$R$2,MAX(0,M299-E299*POWER(1+$C$2,$E$2-A299))*MAX(Dashboard!$C$18,Dashboard!$B$18),IF($S$2&lt;$R$2,(M299-E299)*0.5*Dashboard!$B$18,(E299*POWER(1+$A$2,$R$2-($Q$2+A299))-E299)*0.5*Dashboard!$B$18+MAX(0,M299-E299*POWER(1+$A$2,$R$2-($Q$2+A299))*POWER(1+$C$2,$S$2-$R$2))*MAX(Dashboard!$C$18,Dashboard!$B$18)))))</f>
        <v>0</v>
      </c>
    </row>
    <row r="300" spans="1:14" x14ac:dyDescent="0.2">
      <c r="A300" s="22">
        <f t="shared" si="52"/>
        <v>295</v>
      </c>
      <c r="B300" s="23">
        <f t="shared" si="53"/>
        <v>42.638127853881379</v>
      </c>
      <c r="C300" t="str">
        <f t="shared" si="44"/>
        <v>42 y 7.66 m</v>
      </c>
      <c r="D300" s="24">
        <f>IF(A300&gt;=$E$2,IF(A300&lt;$E$2+$H$2,$P$2,0),IF(B300&lt;Dashboard!$I$6,0,IF(A300&gt;=$F$2,Dashboard!$C$23*POWER(1+$C$2,A300-$F$2),Dashboard!$C$23)))</f>
        <v>5092.3674515238745</v>
      </c>
      <c r="E300" s="24">
        <f>IF(A300&gt;=$F$2,0,IF(A300=0,Dashboard!$G$10,IF(B300&lt;Dashboard!$I$6,IF($J$2&lt;=Dashboard!$H$10,Dashboard!$H$10,MAX(Dashboard!$H$10,MIN($J$2,Dashboard!$H$10*POWER($J$2/Dashboard!$H$10,A300/$D$2)))),$I$2-D300-Dashboard!$I$10-Dashboard!$J$10-Dashboard!$F$10*$I$2)))</f>
        <v>1789.4325484761255</v>
      </c>
      <c r="F300" s="24">
        <f t="shared" si="45"/>
        <v>0</v>
      </c>
      <c r="G300" s="24">
        <f t="shared" si="46"/>
        <v>0</v>
      </c>
      <c r="H300" s="24">
        <f t="shared" si="47"/>
        <v>0</v>
      </c>
      <c r="I300" s="24">
        <f t="shared" si="48"/>
        <v>1789.4325484761255</v>
      </c>
      <c r="J300" s="25">
        <f t="shared" si="49"/>
        <v>7.9741404289037643E-3</v>
      </c>
      <c r="K300" s="24">
        <f t="shared" si="54"/>
        <v>2365015.9290849059</v>
      </c>
      <c r="L300" s="24" t="str">
        <f t="shared" si="50"/>
        <v/>
      </c>
      <c r="M300" s="24">
        <f t="shared" si="51"/>
        <v>0</v>
      </c>
      <c r="N300" s="24">
        <f>IF(M300&lt;=0,0,IF($E$2-A300&lt;12,(M300-E300)*Dashboard!$B$18,IF($Q$2+A300&gt;=$R$2,MAX(0,M300-E300*POWER(1+$C$2,$E$2-A300))*MAX(Dashboard!$C$18,Dashboard!$B$18),IF($S$2&lt;$R$2,(M300-E300)*0.5*Dashboard!$B$18,(E300*POWER(1+$A$2,$R$2-($Q$2+A300))-E300)*0.5*Dashboard!$B$18+MAX(0,M300-E300*POWER(1+$A$2,$R$2-($Q$2+A300))*POWER(1+$C$2,$S$2-$R$2))*MAX(Dashboard!$C$18,Dashboard!$B$18)))))</f>
        <v>0</v>
      </c>
    </row>
    <row r="301" spans="1:14" x14ac:dyDescent="0.2">
      <c r="A301" s="22">
        <f t="shared" si="52"/>
        <v>296</v>
      </c>
      <c r="B301" s="23">
        <f t="shared" si="53"/>
        <v>42.721461187214715</v>
      </c>
      <c r="C301" t="str">
        <f t="shared" si="44"/>
        <v>42 y 8.66 m</v>
      </c>
      <c r="D301" s="24">
        <f>IF(A301&gt;=$E$2,IF(A301&lt;$E$2+$H$2,$P$2,0),IF(B301&lt;Dashboard!$I$6,0,IF(A301&gt;=$F$2,Dashboard!$C$23*POWER(1+$C$2,A301-$F$2),Dashboard!$C$23)))</f>
        <v>5092.3674515238745</v>
      </c>
      <c r="E301" s="24">
        <f>IF(A301&gt;=$F$2,0,IF(A301=0,Dashboard!$G$10,IF(B301&lt;Dashboard!$I$6,IF($J$2&lt;=Dashboard!$H$10,Dashboard!$H$10,MAX(Dashboard!$H$10,MIN($J$2,Dashboard!$H$10*POWER($J$2/Dashboard!$H$10,A301/$D$2)))),$I$2-D301-Dashboard!$I$10-Dashboard!$J$10-Dashboard!$F$10*$I$2)))</f>
        <v>1789.4325484761255</v>
      </c>
      <c r="F301" s="24">
        <f t="shared" si="45"/>
        <v>0</v>
      </c>
      <c r="G301" s="24">
        <f t="shared" si="46"/>
        <v>0</v>
      </c>
      <c r="H301" s="24">
        <f t="shared" si="47"/>
        <v>0</v>
      </c>
      <c r="I301" s="24">
        <f t="shared" si="48"/>
        <v>1789.4325484761255</v>
      </c>
      <c r="J301" s="25">
        <f t="shared" si="49"/>
        <v>7.9741404289037643E-3</v>
      </c>
      <c r="K301" s="24">
        <f t="shared" si="54"/>
        <v>2385678.5999549287</v>
      </c>
      <c r="L301" s="24" t="str">
        <f t="shared" si="50"/>
        <v/>
      </c>
      <c r="M301" s="24">
        <f t="shared" si="51"/>
        <v>0</v>
      </c>
      <c r="N301" s="24">
        <f>IF(M301&lt;=0,0,IF($E$2-A301&lt;12,(M301-E301)*Dashboard!$B$18,IF($Q$2+A301&gt;=$R$2,MAX(0,M301-E301*POWER(1+$C$2,$E$2-A301))*MAX(Dashboard!$C$18,Dashboard!$B$18),IF($S$2&lt;$R$2,(M301-E301)*0.5*Dashboard!$B$18,(E301*POWER(1+$A$2,$R$2-($Q$2+A301))-E301)*0.5*Dashboard!$B$18+MAX(0,M301-E301*POWER(1+$A$2,$R$2-($Q$2+A301))*POWER(1+$C$2,$S$2-$R$2))*MAX(Dashboard!$C$18,Dashboard!$B$18)))))</f>
        <v>0</v>
      </c>
    </row>
    <row r="302" spans="1:14" x14ac:dyDescent="0.2">
      <c r="A302" s="22">
        <f t="shared" si="52"/>
        <v>297</v>
      </c>
      <c r="B302" s="23">
        <f t="shared" si="53"/>
        <v>42.80479452054805</v>
      </c>
      <c r="C302" t="str">
        <f t="shared" si="44"/>
        <v>42 y 9.66 m</v>
      </c>
      <c r="D302" s="24">
        <f>IF(A302&gt;=$E$2,IF(A302&lt;$E$2+$H$2,$P$2,0),IF(B302&lt;Dashboard!$I$6,0,IF(A302&gt;=$F$2,Dashboard!$C$23*POWER(1+$C$2,A302-$F$2),Dashboard!$C$23)))</f>
        <v>5092.3674515238745</v>
      </c>
      <c r="E302" s="24">
        <f>IF(A302&gt;=$F$2,0,IF(A302=0,Dashboard!$G$10,IF(B302&lt;Dashboard!$I$6,IF($J$2&lt;=Dashboard!$H$10,Dashboard!$H$10,MAX(Dashboard!$H$10,MIN($J$2,Dashboard!$H$10*POWER($J$2/Dashboard!$H$10,A302/$D$2)))),$I$2-D302-Dashboard!$I$10-Dashboard!$J$10-Dashboard!$F$10*$I$2)))</f>
        <v>1789.4325484761255</v>
      </c>
      <c r="F302" s="24">
        <f t="shared" si="45"/>
        <v>0</v>
      </c>
      <c r="G302" s="24">
        <f t="shared" si="46"/>
        <v>0</v>
      </c>
      <c r="H302" s="24">
        <f t="shared" si="47"/>
        <v>0</v>
      </c>
      <c r="I302" s="24">
        <f t="shared" si="48"/>
        <v>1789.4325484761255</v>
      </c>
      <c r="J302" s="25">
        <f t="shared" si="49"/>
        <v>7.9741404289037643E-3</v>
      </c>
      <c r="K302" s="24">
        <f t="shared" si="54"/>
        <v>2406506.0378641053</v>
      </c>
      <c r="L302" s="24" t="str">
        <f t="shared" si="50"/>
        <v/>
      </c>
      <c r="M302" s="24">
        <f t="shared" si="51"/>
        <v>0</v>
      </c>
      <c r="N302" s="24">
        <f>IF(M302&lt;=0,0,IF($E$2-A302&lt;12,(M302-E302)*Dashboard!$B$18,IF($Q$2+A302&gt;=$R$2,MAX(0,M302-E302*POWER(1+$C$2,$E$2-A302))*MAX(Dashboard!$C$18,Dashboard!$B$18),IF($S$2&lt;$R$2,(M302-E302)*0.5*Dashboard!$B$18,(E302*POWER(1+$A$2,$R$2-($Q$2+A302))-E302)*0.5*Dashboard!$B$18+MAX(0,M302-E302*POWER(1+$A$2,$R$2-($Q$2+A302))*POWER(1+$C$2,$S$2-$R$2))*MAX(Dashboard!$C$18,Dashboard!$B$18)))))</f>
        <v>0</v>
      </c>
    </row>
    <row r="303" spans="1:14" x14ac:dyDescent="0.2">
      <c r="A303" s="22">
        <f t="shared" si="52"/>
        <v>298</v>
      </c>
      <c r="B303" s="23">
        <f t="shared" si="53"/>
        <v>42.888127853881386</v>
      </c>
      <c r="C303" t="str">
        <f t="shared" si="44"/>
        <v>42 y 10.66 m</v>
      </c>
      <c r="D303" s="24">
        <f>IF(A303&gt;=$E$2,IF(A303&lt;$E$2+$H$2,$P$2,0),IF(B303&lt;Dashboard!$I$6,0,IF(A303&gt;=$F$2,Dashboard!$C$23*POWER(1+$C$2,A303-$F$2),Dashboard!$C$23)))</f>
        <v>5092.3674515238745</v>
      </c>
      <c r="E303" s="24">
        <f>IF(A303&gt;=$F$2,0,IF(A303=0,Dashboard!$G$10,IF(B303&lt;Dashboard!$I$6,IF($J$2&lt;=Dashboard!$H$10,Dashboard!$H$10,MAX(Dashboard!$H$10,MIN($J$2,Dashboard!$H$10*POWER($J$2/Dashboard!$H$10,A303/$D$2)))),$I$2-D303-Dashboard!$I$10-Dashboard!$J$10-Dashboard!$F$10*$I$2)))</f>
        <v>1789.4325484761255</v>
      </c>
      <c r="F303" s="24">
        <f t="shared" si="45"/>
        <v>0</v>
      </c>
      <c r="G303" s="24">
        <f t="shared" si="46"/>
        <v>0</v>
      </c>
      <c r="H303" s="24">
        <f t="shared" si="47"/>
        <v>0</v>
      </c>
      <c r="I303" s="24">
        <f t="shared" si="48"/>
        <v>1789.4325484761255</v>
      </c>
      <c r="J303" s="25">
        <f t="shared" si="49"/>
        <v>7.9741404289037643E-3</v>
      </c>
      <c r="K303" s="24">
        <f t="shared" si="54"/>
        <v>2427499.5566879441</v>
      </c>
      <c r="L303" s="24" t="str">
        <f t="shared" si="50"/>
        <v/>
      </c>
      <c r="M303" s="24">
        <f t="shared" si="51"/>
        <v>0</v>
      </c>
      <c r="N303" s="24">
        <f>IF(M303&lt;=0,0,IF($E$2-A303&lt;12,(M303-E303)*Dashboard!$B$18,IF($Q$2+A303&gt;=$R$2,MAX(0,M303-E303*POWER(1+$C$2,$E$2-A303))*MAX(Dashboard!$C$18,Dashboard!$B$18),IF($S$2&lt;$R$2,(M303-E303)*0.5*Dashboard!$B$18,(E303*POWER(1+$A$2,$R$2-($Q$2+A303))-E303)*0.5*Dashboard!$B$18+MAX(0,M303-E303*POWER(1+$A$2,$R$2-($Q$2+A303))*POWER(1+$C$2,$S$2-$R$2))*MAX(Dashboard!$C$18,Dashboard!$B$18)))))</f>
        <v>0</v>
      </c>
    </row>
    <row r="304" spans="1:14" x14ac:dyDescent="0.2">
      <c r="A304" s="22">
        <f t="shared" si="52"/>
        <v>299</v>
      </c>
      <c r="B304" s="23">
        <f t="shared" si="53"/>
        <v>42.971461187214722</v>
      </c>
      <c r="C304" t="str">
        <f t="shared" si="44"/>
        <v>42 y 11.66 m</v>
      </c>
      <c r="D304" s="24">
        <f>IF(A304&gt;=$E$2,IF(A304&lt;$E$2+$H$2,$P$2,0),IF(B304&lt;Dashboard!$I$6,0,IF(A304&gt;=$F$2,Dashboard!$C$23*POWER(1+$C$2,A304-$F$2),Dashboard!$C$23)))</f>
        <v>5092.3674515238745</v>
      </c>
      <c r="E304" s="24">
        <f>IF(A304&gt;=$F$2,0,IF(A304=0,Dashboard!$G$10,IF(B304&lt;Dashboard!$I$6,IF($J$2&lt;=Dashboard!$H$10,Dashboard!$H$10,MAX(Dashboard!$H$10,MIN($J$2,Dashboard!$H$10*POWER($J$2/Dashboard!$H$10,A304/$D$2)))),$I$2-D304-Dashboard!$I$10-Dashboard!$J$10-Dashboard!$F$10*$I$2)))</f>
        <v>1789.4325484761255</v>
      </c>
      <c r="F304" s="24">
        <f t="shared" si="45"/>
        <v>0</v>
      </c>
      <c r="G304" s="24">
        <f t="shared" si="46"/>
        <v>0</v>
      </c>
      <c r="H304" s="24">
        <f t="shared" si="47"/>
        <v>0</v>
      </c>
      <c r="I304" s="24">
        <f t="shared" si="48"/>
        <v>1789.4325484761255</v>
      </c>
      <c r="J304" s="25">
        <f t="shared" si="49"/>
        <v>7.9741404289037643E-3</v>
      </c>
      <c r="K304" s="24">
        <f t="shared" si="54"/>
        <v>2448660.480778981</v>
      </c>
      <c r="L304" s="24" t="str">
        <f t="shared" si="50"/>
        <v/>
      </c>
      <c r="M304" s="24">
        <f t="shared" si="51"/>
        <v>0</v>
      </c>
      <c r="N304" s="24">
        <f>IF(M304&lt;=0,0,IF($E$2-A304&lt;12,(M304-E304)*Dashboard!$B$18,IF($Q$2+A304&gt;=$R$2,MAX(0,M304-E304*POWER(1+$C$2,$E$2-A304))*MAX(Dashboard!$C$18,Dashboard!$B$18),IF($S$2&lt;$R$2,(M304-E304)*0.5*Dashboard!$B$18,(E304*POWER(1+$A$2,$R$2-($Q$2+A304))-E304)*0.5*Dashboard!$B$18+MAX(0,M304-E304*POWER(1+$A$2,$R$2-($Q$2+A304))*POWER(1+$C$2,$S$2-$R$2))*MAX(Dashboard!$C$18,Dashboard!$B$18)))))</f>
        <v>0</v>
      </c>
    </row>
    <row r="305" spans="1:14" x14ac:dyDescent="0.2">
      <c r="A305" s="22">
        <f t="shared" si="52"/>
        <v>300</v>
      </c>
      <c r="B305" s="23">
        <f t="shared" si="53"/>
        <v>43.054794520548057</v>
      </c>
      <c r="C305" t="str">
        <f t="shared" si="44"/>
        <v>43 y 0.66 m</v>
      </c>
      <c r="D305" s="24">
        <f>IF(A305&gt;=$E$2,IF(A305&lt;$E$2+$H$2,$P$2,0),IF(B305&lt;Dashboard!$I$6,0,IF(A305&gt;=$F$2,Dashboard!$C$23*POWER(1+$C$2,A305-$F$2),Dashboard!$C$23)))</f>
        <v>5092.3674515238745</v>
      </c>
      <c r="E305" s="24">
        <f>IF(A305&gt;=$F$2,0,IF(A305=0,Dashboard!$G$10,IF(B305&lt;Dashboard!$I$6,IF($J$2&lt;=Dashboard!$H$10,Dashboard!$H$10,MAX(Dashboard!$H$10,MIN($J$2,Dashboard!$H$10*POWER($J$2/Dashboard!$H$10,A305/$D$2)))),$I$2-D305-Dashboard!$I$10-Dashboard!$J$10-Dashboard!$F$10*$I$2)))</f>
        <v>1789.4325484761255</v>
      </c>
      <c r="F305" s="24">
        <f t="shared" si="45"/>
        <v>0</v>
      </c>
      <c r="G305" s="24">
        <f t="shared" si="46"/>
        <v>0</v>
      </c>
      <c r="H305" s="24">
        <f t="shared" si="47"/>
        <v>0</v>
      </c>
      <c r="I305" s="24">
        <f t="shared" si="48"/>
        <v>1789.4325484761255</v>
      </c>
      <c r="J305" s="25">
        <f t="shared" si="49"/>
        <v>7.9741404289037643E-3</v>
      </c>
      <c r="K305" s="24">
        <f t="shared" si="54"/>
        <v>2469990.145050325</v>
      </c>
      <c r="L305" s="24" t="str">
        <f t="shared" si="50"/>
        <v/>
      </c>
      <c r="M305" s="24">
        <f t="shared" si="51"/>
        <v>0</v>
      </c>
      <c r="N305" s="24">
        <f>IF(M305&lt;=0,0,IF($E$2-A305&lt;12,(M305-E305)*Dashboard!$B$18,IF($Q$2+A305&gt;=$R$2,MAX(0,M305-E305*POWER(1+$C$2,$E$2-A305))*MAX(Dashboard!$C$18,Dashboard!$B$18),IF($S$2&lt;$R$2,(M305-E305)*0.5*Dashboard!$B$18,(E305*POWER(1+$A$2,$R$2-($Q$2+A305))-E305)*0.5*Dashboard!$B$18+MAX(0,M305-E305*POWER(1+$A$2,$R$2-($Q$2+A305))*POWER(1+$C$2,$S$2-$R$2))*MAX(Dashboard!$C$18,Dashboard!$B$18)))))</f>
        <v>0</v>
      </c>
    </row>
    <row r="306" spans="1:14" x14ac:dyDescent="0.2">
      <c r="A306" s="22">
        <f t="shared" si="52"/>
        <v>301</v>
      </c>
      <c r="B306" s="23">
        <f t="shared" si="53"/>
        <v>43.138127853881393</v>
      </c>
      <c r="C306" t="str">
        <f t="shared" si="44"/>
        <v>43 y 1.66 m</v>
      </c>
      <c r="D306" s="24">
        <f>IF(A306&gt;=$E$2,IF(A306&lt;$E$2+$H$2,$P$2,0),IF(B306&lt;Dashboard!$I$6,0,IF(A306&gt;=$F$2,Dashboard!$C$23*POWER(1+$C$2,A306-$F$2),Dashboard!$C$23)))</f>
        <v>5092.3674515238745</v>
      </c>
      <c r="E306" s="24">
        <f>IF(A306&gt;=$F$2,0,IF(A306=0,Dashboard!$G$10,IF(B306&lt;Dashboard!$I$6,IF($J$2&lt;=Dashboard!$H$10,Dashboard!$H$10,MAX(Dashboard!$H$10,MIN($J$2,Dashboard!$H$10*POWER($J$2/Dashboard!$H$10,A306/$D$2)))),$I$2-D306-Dashboard!$I$10-Dashboard!$J$10-Dashboard!$F$10*$I$2)))</f>
        <v>1789.4325484761255</v>
      </c>
      <c r="F306" s="24">
        <f t="shared" si="45"/>
        <v>0</v>
      </c>
      <c r="G306" s="24">
        <f t="shared" si="46"/>
        <v>0</v>
      </c>
      <c r="H306" s="24">
        <f t="shared" si="47"/>
        <v>0</v>
      </c>
      <c r="I306" s="24">
        <f t="shared" si="48"/>
        <v>1789.4325484761255</v>
      </c>
      <c r="J306" s="25">
        <f t="shared" si="49"/>
        <v>7.9741404289037643E-3</v>
      </c>
      <c r="K306" s="24">
        <f t="shared" si="54"/>
        <v>2491489.8950598701</v>
      </c>
      <c r="L306" s="24" t="str">
        <f t="shared" si="50"/>
        <v/>
      </c>
      <c r="M306" s="24">
        <f t="shared" si="51"/>
        <v>0</v>
      </c>
      <c r="N306" s="24">
        <f>IF(M306&lt;=0,0,IF($E$2-A306&lt;12,(M306-E306)*Dashboard!$B$18,IF($Q$2+A306&gt;=$R$2,MAX(0,M306-E306*POWER(1+$C$2,$E$2-A306))*MAX(Dashboard!$C$18,Dashboard!$B$18),IF($S$2&lt;$R$2,(M306-E306)*0.5*Dashboard!$B$18,(E306*POWER(1+$A$2,$R$2-($Q$2+A306))-E306)*0.5*Dashboard!$B$18+MAX(0,M306-E306*POWER(1+$A$2,$R$2-($Q$2+A306))*POWER(1+$C$2,$S$2-$R$2))*MAX(Dashboard!$C$18,Dashboard!$B$18)))))</f>
        <v>0</v>
      </c>
    </row>
    <row r="307" spans="1:14" x14ac:dyDescent="0.2">
      <c r="A307" s="22">
        <f t="shared" si="52"/>
        <v>302</v>
      </c>
      <c r="B307" s="23">
        <f t="shared" si="53"/>
        <v>43.221461187214729</v>
      </c>
      <c r="C307" t="str">
        <f t="shared" si="44"/>
        <v>43 y 2.66 m</v>
      </c>
      <c r="D307" s="24">
        <f>IF(A307&gt;=$E$2,IF(A307&lt;$E$2+$H$2,$P$2,0),IF(B307&lt;Dashboard!$I$6,0,IF(A307&gt;=$F$2,Dashboard!$C$23*POWER(1+$C$2,A307-$F$2),Dashboard!$C$23)))</f>
        <v>5092.3674515238745</v>
      </c>
      <c r="E307" s="24">
        <f>IF(A307&gt;=$F$2,0,IF(A307=0,Dashboard!$G$10,IF(B307&lt;Dashboard!$I$6,IF($J$2&lt;=Dashboard!$H$10,Dashboard!$H$10,MAX(Dashboard!$H$10,MIN($J$2,Dashboard!$H$10*POWER($J$2/Dashboard!$H$10,A307/$D$2)))),$I$2-D307-Dashboard!$I$10-Dashboard!$J$10-Dashboard!$F$10*$I$2)))</f>
        <v>1789.4325484761255</v>
      </c>
      <c r="F307" s="24">
        <f t="shared" si="45"/>
        <v>0</v>
      </c>
      <c r="G307" s="24">
        <f t="shared" si="46"/>
        <v>0</v>
      </c>
      <c r="H307" s="24">
        <f t="shared" si="47"/>
        <v>0</v>
      </c>
      <c r="I307" s="24">
        <f t="shared" si="48"/>
        <v>1789.4325484761255</v>
      </c>
      <c r="J307" s="25">
        <f t="shared" si="49"/>
        <v>7.9741404289037643E-3</v>
      </c>
      <c r="K307" s="24">
        <f t="shared" si="54"/>
        <v>2513161.0870951777</v>
      </c>
      <c r="L307" s="24" t="str">
        <f t="shared" si="50"/>
        <v/>
      </c>
      <c r="M307" s="24">
        <f t="shared" si="51"/>
        <v>0</v>
      </c>
      <c r="N307" s="24">
        <f>IF(M307&lt;=0,0,IF($E$2-A307&lt;12,(M307-E307)*Dashboard!$B$18,IF($Q$2+A307&gt;=$R$2,MAX(0,M307-E307*POWER(1+$C$2,$E$2-A307))*MAX(Dashboard!$C$18,Dashboard!$B$18),IF($S$2&lt;$R$2,(M307-E307)*0.5*Dashboard!$B$18,(E307*POWER(1+$A$2,$R$2-($Q$2+A307))-E307)*0.5*Dashboard!$B$18+MAX(0,M307-E307*POWER(1+$A$2,$R$2-($Q$2+A307))*POWER(1+$C$2,$S$2-$R$2))*MAX(Dashboard!$C$18,Dashboard!$B$18)))))</f>
        <v>0</v>
      </c>
    </row>
    <row r="308" spans="1:14" x14ac:dyDescent="0.2">
      <c r="A308" s="22">
        <f t="shared" si="52"/>
        <v>303</v>
      </c>
      <c r="B308" s="23">
        <f t="shared" si="53"/>
        <v>43.304794520548064</v>
      </c>
      <c r="C308" t="str">
        <f t="shared" si="44"/>
        <v>43 y 3.66 m</v>
      </c>
      <c r="D308" s="24">
        <f>IF(A308&gt;=$E$2,IF(A308&lt;$E$2+$H$2,$P$2,0),IF(B308&lt;Dashboard!$I$6,0,IF(A308&gt;=$F$2,Dashboard!$C$23*POWER(1+$C$2,A308-$F$2),Dashboard!$C$23)))</f>
        <v>5092.3674515238745</v>
      </c>
      <c r="E308" s="24">
        <f>IF(A308&gt;=$F$2,0,IF(A308=0,Dashboard!$G$10,IF(B308&lt;Dashboard!$I$6,IF($J$2&lt;=Dashboard!$H$10,Dashboard!$H$10,MAX(Dashboard!$H$10,MIN($J$2,Dashboard!$H$10*POWER($J$2/Dashboard!$H$10,A308/$D$2)))),$I$2-D308-Dashboard!$I$10-Dashboard!$J$10-Dashboard!$F$10*$I$2)))</f>
        <v>1789.4325484761255</v>
      </c>
      <c r="F308" s="24">
        <f t="shared" si="45"/>
        <v>0</v>
      </c>
      <c r="G308" s="24">
        <f t="shared" si="46"/>
        <v>0</v>
      </c>
      <c r="H308" s="24">
        <f t="shared" si="47"/>
        <v>0</v>
      </c>
      <c r="I308" s="24">
        <f t="shared" si="48"/>
        <v>1789.4325484761255</v>
      </c>
      <c r="J308" s="25">
        <f t="shared" si="49"/>
        <v>7.9741404289037643E-3</v>
      </c>
      <c r="K308" s="24">
        <f t="shared" si="54"/>
        <v>2535005.0882590367</v>
      </c>
      <c r="L308" s="24" t="str">
        <f t="shared" si="50"/>
        <v/>
      </c>
      <c r="M308" s="24">
        <f t="shared" si="51"/>
        <v>0</v>
      </c>
      <c r="N308" s="24">
        <f>IF(M308&lt;=0,0,IF($E$2-A308&lt;12,(M308-E308)*Dashboard!$B$18,IF($Q$2+A308&gt;=$R$2,MAX(0,M308-E308*POWER(1+$C$2,$E$2-A308))*MAX(Dashboard!$C$18,Dashboard!$B$18),IF($S$2&lt;$R$2,(M308-E308)*0.5*Dashboard!$B$18,(E308*POWER(1+$A$2,$R$2-($Q$2+A308))-E308)*0.5*Dashboard!$B$18+MAX(0,M308-E308*POWER(1+$A$2,$R$2-($Q$2+A308))*POWER(1+$C$2,$S$2-$R$2))*MAX(Dashboard!$C$18,Dashboard!$B$18)))))</f>
        <v>0</v>
      </c>
    </row>
    <row r="309" spans="1:14" x14ac:dyDescent="0.2">
      <c r="A309" s="22">
        <f t="shared" si="52"/>
        <v>304</v>
      </c>
      <c r="B309" s="23">
        <f t="shared" si="53"/>
        <v>43.3881278538814</v>
      </c>
      <c r="C309" t="str">
        <f t="shared" si="44"/>
        <v>43 y 4.66 m</v>
      </c>
      <c r="D309" s="24">
        <f>IF(A309&gt;=$E$2,IF(A309&lt;$E$2+$H$2,$P$2,0),IF(B309&lt;Dashboard!$I$6,0,IF(A309&gt;=$F$2,Dashboard!$C$23*POWER(1+$C$2,A309-$F$2),Dashboard!$C$23)))</f>
        <v>5092.3674515238745</v>
      </c>
      <c r="E309" s="24">
        <f>IF(A309&gt;=$F$2,0,IF(A309=0,Dashboard!$G$10,IF(B309&lt;Dashboard!$I$6,IF($J$2&lt;=Dashboard!$H$10,Dashboard!$H$10,MAX(Dashboard!$H$10,MIN($J$2,Dashboard!$H$10*POWER($J$2/Dashboard!$H$10,A309/$D$2)))),$I$2-D309-Dashboard!$I$10-Dashboard!$J$10-Dashboard!$F$10*$I$2)))</f>
        <v>1789.4325484761255</v>
      </c>
      <c r="F309" s="24">
        <f t="shared" si="45"/>
        <v>0</v>
      </c>
      <c r="G309" s="24">
        <f t="shared" si="46"/>
        <v>0</v>
      </c>
      <c r="H309" s="24">
        <f t="shared" si="47"/>
        <v>0</v>
      </c>
      <c r="I309" s="24">
        <f t="shared" si="48"/>
        <v>1789.4325484761255</v>
      </c>
      <c r="J309" s="25">
        <f t="shared" si="49"/>
        <v>7.9741404289037643E-3</v>
      </c>
      <c r="K309" s="24">
        <f t="shared" si="54"/>
        <v>2557023.2765557053</v>
      </c>
      <c r="L309" s="24" t="str">
        <f t="shared" si="50"/>
        <v/>
      </c>
      <c r="M309" s="24">
        <f t="shared" si="51"/>
        <v>0</v>
      </c>
      <c r="N309" s="24">
        <f>IF(M309&lt;=0,0,IF($E$2-A309&lt;12,(M309-E309)*Dashboard!$B$18,IF($Q$2+A309&gt;=$R$2,MAX(0,M309-E309*POWER(1+$C$2,$E$2-A309))*MAX(Dashboard!$C$18,Dashboard!$B$18),IF($S$2&lt;$R$2,(M309-E309)*0.5*Dashboard!$B$18,(E309*POWER(1+$A$2,$R$2-($Q$2+A309))-E309)*0.5*Dashboard!$B$18+MAX(0,M309-E309*POWER(1+$A$2,$R$2-($Q$2+A309))*POWER(1+$C$2,$S$2-$R$2))*MAX(Dashboard!$C$18,Dashboard!$B$18)))))</f>
        <v>0</v>
      </c>
    </row>
    <row r="310" spans="1:14" x14ac:dyDescent="0.2">
      <c r="A310" s="22">
        <f t="shared" si="52"/>
        <v>305</v>
      </c>
      <c r="B310" s="23">
        <f t="shared" si="53"/>
        <v>43.471461187214736</v>
      </c>
      <c r="C310" t="str">
        <f t="shared" si="44"/>
        <v>43 y 5.66 m</v>
      </c>
      <c r="D310" s="24">
        <f>IF(A310&gt;=$E$2,IF(A310&lt;$E$2+$H$2,$P$2,0),IF(B310&lt;Dashboard!$I$6,0,IF(A310&gt;=$F$2,Dashboard!$C$23*POWER(1+$C$2,A310-$F$2),Dashboard!$C$23)))</f>
        <v>5092.3674515238745</v>
      </c>
      <c r="E310" s="24">
        <f>IF(A310&gt;=$F$2,0,IF(A310=0,Dashboard!$G$10,IF(B310&lt;Dashboard!$I$6,IF($J$2&lt;=Dashboard!$H$10,Dashboard!$H$10,MAX(Dashboard!$H$10,MIN($J$2,Dashboard!$H$10*POWER($J$2/Dashboard!$H$10,A310/$D$2)))),$I$2-D310-Dashboard!$I$10-Dashboard!$J$10-Dashboard!$F$10*$I$2)))</f>
        <v>1789.4325484761255</v>
      </c>
      <c r="F310" s="24">
        <f t="shared" si="45"/>
        <v>0</v>
      </c>
      <c r="G310" s="24">
        <f t="shared" si="46"/>
        <v>0</v>
      </c>
      <c r="H310" s="24">
        <f t="shared" si="47"/>
        <v>0</v>
      </c>
      <c r="I310" s="24">
        <f t="shared" si="48"/>
        <v>1789.4325484761255</v>
      </c>
      <c r="J310" s="25">
        <f t="shared" si="49"/>
        <v>7.9741404289037643E-3</v>
      </c>
      <c r="K310" s="24">
        <f t="shared" si="54"/>
        <v>2579217.0409778417</v>
      </c>
      <c r="L310" s="24" t="str">
        <f t="shared" si="50"/>
        <v/>
      </c>
      <c r="M310" s="24">
        <f t="shared" si="51"/>
        <v>0</v>
      </c>
      <c r="N310" s="24">
        <f>IF(M310&lt;=0,0,IF($E$2-A310&lt;12,(M310-E310)*Dashboard!$B$18,IF($Q$2+A310&gt;=$R$2,MAX(0,M310-E310*POWER(1+$C$2,$E$2-A310))*MAX(Dashboard!$C$18,Dashboard!$B$18),IF($S$2&lt;$R$2,(M310-E310)*0.5*Dashboard!$B$18,(E310*POWER(1+$A$2,$R$2-($Q$2+A310))-E310)*0.5*Dashboard!$B$18+MAX(0,M310-E310*POWER(1+$A$2,$R$2-($Q$2+A310))*POWER(1+$C$2,$S$2-$R$2))*MAX(Dashboard!$C$18,Dashboard!$B$18)))))</f>
        <v>0</v>
      </c>
    </row>
    <row r="311" spans="1:14" x14ac:dyDescent="0.2">
      <c r="A311" s="22">
        <f t="shared" si="52"/>
        <v>306</v>
      </c>
      <c r="B311" s="23">
        <f t="shared" si="53"/>
        <v>43.554794520548072</v>
      </c>
      <c r="C311" t="str">
        <f t="shared" si="44"/>
        <v>43 y 6.66 m</v>
      </c>
      <c r="D311" s="24">
        <f>IF(A311&gt;=$E$2,IF(A311&lt;$E$2+$H$2,$P$2,0),IF(B311&lt;Dashboard!$I$6,0,IF(A311&gt;=$F$2,Dashboard!$C$23*POWER(1+$C$2,A311-$F$2),Dashboard!$C$23)))</f>
        <v>5092.3674515238745</v>
      </c>
      <c r="E311" s="24">
        <f>IF(A311&gt;=$F$2,0,IF(A311=0,Dashboard!$G$10,IF(B311&lt;Dashboard!$I$6,IF($J$2&lt;=Dashboard!$H$10,Dashboard!$H$10,MAX(Dashboard!$H$10,MIN($J$2,Dashboard!$H$10*POWER($J$2/Dashboard!$H$10,A311/$D$2)))),$I$2-D311-Dashboard!$I$10-Dashboard!$J$10-Dashboard!$F$10*$I$2)))</f>
        <v>1789.4325484761255</v>
      </c>
      <c r="F311" s="24">
        <f t="shared" si="45"/>
        <v>0</v>
      </c>
      <c r="G311" s="24">
        <f t="shared" si="46"/>
        <v>0</v>
      </c>
      <c r="H311" s="24">
        <f t="shared" si="47"/>
        <v>0</v>
      </c>
      <c r="I311" s="24">
        <f t="shared" si="48"/>
        <v>1789.4325484761255</v>
      </c>
      <c r="J311" s="25">
        <f t="shared" si="49"/>
        <v>7.9741404289037643E-3</v>
      </c>
      <c r="K311" s="24">
        <f t="shared" si="54"/>
        <v>2601587.781594126</v>
      </c>
      <c r="L311" s="24" t="str">
        <f t="shared" si="50"/>
        <v/>
      </c>
      <c r="M311" s="24">
        <f t="shared" si="51"/>
        <v>0</v>
      </c>
      <c r="N311" s="24">
        <f>IF(M311&lt;=0,0,IF($E$2-A311&lt;12,(M311-E311)*Dashboard!$B$18,IF($Q$2+A311&gt;=$R$2,MAX(0,M311-E311*POWER(1+$C$2,$E$2-A311))*MAX(Dashboard!$C$18,Dashboard!$B$18),IF($S$2&lt;$R$2,(M311-E311)*0.5*Dashboard!$B$18,(E311*POWER(1+$A$2,$R$2-($Q$2+A311))-E311)*0.5*Dashboard!$B$18+MAX(0,M311-E311*POWER(1+$A$2,$R$2-($Q$2+A311))*POWER(1+$C$2,$S$2-$R$2))*MAX(Dashboard!$C$18,Dashboard!$B$18)))))</f>
        <v>0</v>
      </c>
    </row>
    <row r="312" spans="1:14" x14ac:dyDescent="0.2">
      <c r="A312" s="22">
        <f t="shared" si="52"/>
        <v>307</v>
      </c>
      <c r="B312" s="23">
        <f t="shared" si="53"/>
        <v>43.638127853881407</v>
      </c>
      <c r="C312" t="str">
        <f t="shared" si="44"/>
        <v>43 y 7.66 m</v>
      </c>
      <c r="D312" s="24">
        <f>IF(A312&gt;=$E$2,IF(A312&lt;$E$2+$H$2,$P$2,0),IF(B312&lt;Dashboard!$I$6,0,IF(A312&gt;=$F$2,Dashboard!$C$23*POWER(1+$C$2,A312-$F$2),Dashboard!$C$23)))</f>
        <v>5092.3674515238745</v>
      </c>
      <c r="E312" s="24">
        <f>IF(A312&gt;=$F$2,0,IF(A312=0,Dashboard!$G$10,IF(B312&lt;Dashboard!$I$6,IF($J$2&lt;=Dashboard!$H$10,Dashboard!$H$10,MAX(Dashboard!$H$10,MIN($J$2,Dashboard!$H$10*POWER($J$2/Dashboard!$H$10,A312/$D$2)))),$I$2-D312-Dashboard!$I$10-Dashboard!$J$10-Dashboard!$F$10*$I$2)))</f>
        <v>1789.4325484761255</v>
      </c>
      <c r="F312" s="24">
        <f t="shared" si="45"/>
        <v>0</v>
      </c>
      <c r="G312" s="24">
        <f t="shared" si="46"/>
        <v>0</v>
      </c>
      <c r="H312" s="24">
        <f t="shared" si="47"/>
        <v>0</v>
      </c>
      <c r="I312" s="24">
        <f t="shared" si="48"/>
        <v>1789.4325484761255</v>
      </c>
      <c r="J312" s="25">
        <f t="shared" si="49"/>
        <v>7.9741404289037643E-3</v>
      </c>
      <c r="K312" s="24">
        <f t="shared" si="54"/>
        <v>2624136.9096375834</v>
      </c>
      <c r="L312" s="24" t="str">
        <f t="shared" si="50"/>
        <v/>
      </c>
      <c r="M312" s="24">
        <f t="shared" si="51"/>
        <v>0</v>
      </c>
      <c r="N312" s="24">
        <f>IF(M312&lt;=0,0,IF($E$2-A312&lt;12,(M312-E312)*Dashboard!$B$18,IF($Q$2+A312&gt;=$R$2,MAX(0,M312-E312*POWER(1+$C$2,$E$2-A312))*MAX(Dashboard!$C$18,Dashboard!$B$18),IF($S$2&lt;$R$2,(M312-E312)*0.5*Dashboard!$B$18,(E312*POWER(1+$A$2,$R$2-($Q$2+A312))-E312)*0.5*Dashboard!$B$18+MAX(0,M312-E312*POWER(1+$A$2,$R$2-($Q$2+A312))*POWER(1+$C$2,$S$2-$R$2))*MAX(Dashboard!$C$18,Dashboard!$B$18)))))</f>
        <v>0</v>
      </c>
    </row>
    <row r="313" spans="1:14" x14ac:dyDescent="0.2">
      <c r="A313" s="22">
        <f t="shared" si="52"/>
        <v>308</v>
      </c>
      <c r="B313" s="23">
        <f t="shared" si="53"/>
        <v>43.721461187214743</v>
      </c>
      <c r="C313" t="str">
        <f t="shared" si="44"/>
        <v>43 y 8.66 m</v>
      </c>
      <c r="D313" s="24">
        <f>IF(A313&gt;=$E$2,IF(A313&lt;$E$2+$H$2,$P$2,0),IF(B313&lt;Dashboard!$I$6,0,IF(A313&gt;=$F$2,Dashboard!$C$23*POWER(1+$C$2,A313-$F$2),Dashboard!$C$23)))</f>
        <v>5092.3674515238745</v>
      </c>
      <c r="E313" s="24">
        <f>IF(A313&gt;=$F$2,0,IF(A313=0,Dashboard!$G$10,IF(B313&lt;Dashboard!$I$6,IF($J$2&lt;=Dashboard!$H$10,Dashboard!$H$10,MAX(Dashboard!$H$10,MIN($J$2,Dashboard!$H$10*POWER($J$2/Dashboard!$H$10,A313/$D$2)))),$I$2-D313-Dashboard!$I$10-Dashboard!$J$10-Dashboard!$F$10*$I$2)))</f>
        <v>1789.4325484761255</v>
      </c>
      <c r="F313" s="24">
        <f t="shared" si="45"/>
        <v>0</v>
      </c>
      <c r="G313" s="24">
        <f t="shared" si="46"/>
        <v>0</v>
      </c>
      <c r="H313" s="24">
        <f t="shared" si="47"/>
        <v>0</v>
      </c>
      <c r="I313" s="24">
        <f t="shared" si="48"/>
        <v>1789.4325484761255</v>
      </c>
      <c r="J313" s="25">
        <f t="shared" si="49"/>
        <v>7.9741404289037643E-3</v>
      </c>
      <c r="K313" s="24">
        <f t="shared" si="54"/>
        <v>2646865.8475946086</v>
      </c>
      <c r="L313" s="24" t="str">
        <f t="shared" si="50"/>
        <v/>
      </c>
      <c r="M313" s="24">
        <f t="shared" si="51"/>
        <v>0</v>
      </c>
      <c r="N313" s="24">
        <f>IF(M313&lt;=0,0,IF($E$2-A313&lt;12,(M313-E313)*Dashboard!$B$18,IF($Q$2+A313&gt;=$R$2,MAX(0,M313-E313*POWER(1+$C$2,$E$2-A313))*MAX(Dashboard!$C$18,Dashboard!$B$18),IF($S$2&lt;$R$2,(M313-E313)*0.5*Dashboard!$B$18,(E313*POWER(1+$A$2,$R$2-($Q$2+A313))-E313)*0.5*Dashboard!$B$18+MAX(0,M313-E313*POWER(1+$A$2,$R$2-($Q$2+A313))*POWER(1+$C$2,$S$2-$R$2))*MAX(Dashboard!$C$18,Dashboard!$B$18)))))</f>
        <v>0</v>
      </c>
    </row>
    <row r="314" spans="1:14" x14ac:dyDescent="0.2">
      <c r="A314" s="22">
        <f t="shared" si="52"/>
        <v>309</v>
      </c>
      <c r="B314" s="23">
        <f t="shared" si="53"/>
        <v>43.804794520548079</v>
      </c>
      <c r="C314" t="str">
        <f t="shared" si="44"/>
        <v>43 y 9.66 m</v>
      </c>
      <c r="D314" s="24">
        <f>IF(A314&gt;=$E$2,IF(A314&lt;$E$2+$H$2,$P$2,0),IF(B314&lt;Dashboard!$I$6,0,IF(A314&gt;=$F$2,Dashboard!$C$23*POWER(1+$C$2,A314-$F$2),Dashboard!$C$23)))</f>
        <v>5092.3674515238745</v>
      </c>
      <c r="E314" s="24">
        <f>IF(A314&gt;=$F$2,0,IF(A314=0,Dashboard!$G$10,IF(B314&lt;Dashboard!$I$6,IF($J$2&lt;=Dashboard!$H$10,Dashboard!$H$10,MAX(Dashboard!$H$10,MIN($J$2,Dashboard!$H$10*POWER($J$2/Dashboard!$H$10,A314/$D$2)))),$I$2-D314-Dashboard!$I$10-Dashboard!$J$10-Dashboard!$F$10*$I$2)))</f>
        <v>1789.4325484761255</v>
      </c>
      <c r="F314" s="24">
        <f t="shared" si="45"/>
        <v>0</v>
      </c>
      <c r="G314" s="24">
        <f t="shared" si="46"/>
        <v>0</v>
      </c>
      <c r="H314" s="24">
        <f t="shared" si="47"/>
        <v>0</v>
      </c>
      <c r="I314" s="24">
        <f t="shared" si="48"/>
        <v>1789.4325484761255</v>
      </c>
      <c r="J314" s="25">
        <f t="shared" si="49"/>
        <v>7.9741404289037643E-3</v>
      </c>
      <c r="K314" s="24">
        <f t="shared" si="54"/>
        <v>2669776.0292947027</v>
      </c>
      <c r="L314" s="24" t="str">
        <f t="shared" si="50"/>
        <v/>
      </c>
      <c r="M314" s="24">
        <f t="shared" si="51"/>
        <v>0</v>
      </c>
      <c r="N314" s="24">
        <f>IF(M314&lt;=0,0,IF($E$2-A314&lt;12,(M314-E314)*Dashboard!$B$18,IF($Q$2+A314&gt;=$R$2,MAX(0,M314-E314*POWER(1+$C$2,$E$2-A314))*MAX(Dashboard!$C$18,Dashboard!$B$18),IF($S$2&lt;$R$2,(M314-E314)*0.5*Dashboard!$B$18,(E314*POWER(1+$A$2,$R$2-($Q$2+A314))-E314)*0.5*Dashboard!$B$18+MAX(0,M314-E314*POWER(1+$A$2,$R$2-($Q$2+A314))*POWER(1+$C$2,$S$2-$R$2))*MAX(Dashboard!$C$18,Dashboard!$B$18)))))</f>
        <v>0</v>
      </c>
    </row>
    <row r="315" spans="1:14" x14ac:dyDescent="0.2">
      <c r="A315" s="22">
        <f t="shared" si="52"/>
        <v>310</v>
      </c>
      <c r="B315" s="23">
        <f t="shared" si="53"/>
        <v>43.888127853881414</v>
      </c>
      <c r="C315" t="str">
        <f t="shared" si="44"/>
        <v>43 y 10.66 m</v>
      </c>
      <c r="D315" s="24">
        <f>IF(A315&gt;=$E$2,IF(A315&lt;$E$2+$H$2,$P$2,0),IF(B315&lt;Dashboard!$I$6,0,IF(A315&gt;=$F$2,Dashboard!$C$23*POWER(1+$C$2,A315-$F$2),Dashboard!$C$23)))</f>
        <v>5092.3674515238745</v>
      </c>
      <c r="E315" s="24">
        <f>IF(A315&gt;=$F$2,0,IF(A315=0,Dashboard!$G$10,IF(B315&lt;Dashboard!$I$6,IF($J$2&lt;=Dashboard!$H$10,Dashboard!$H$10,MAX(Dashboard!$H$10,MIN($J$2,Dashboard!$H$10*POWER($J$2/Dashboard!$H$10,A315/$D$2)))),$I$2-D315-Dashboard!$I$10-Dashboard!$J$10-Dashboard!$F$10*$I$2)))</f>
        <v>1789.4325484761255</v>
      </c>
      <c r="F315" s="24">
        <f t="shared" si="45"/>
        <v>0</v>
      </c>
      <c r="G315" s="24">
        <f t="shared" si="46"/>
        <v>0</v>
      </c>
      <c r="H315" s="24">
        <f t="shared" si="47"/>
        <v>0</v>
      </c>
      <c r="I315" s="24">
        <f t="shared" si="48"/>
        <v>1789.4325484761255</v>
      </c>
      <c r="J315" s="25">
        <f t="shared" si="49"/>
        <v>7.9741404289037643E-3</v>
      </c>
      <c r="K315" s="24">
        <f t="shared" si="54"/>
        <v>2692868.9000009252</v>
      </c>
      <c r="L315" s="24" t="str">
        <f t="shared" si="50"/>
        <v/>
      </c>
      <c r="M315" s="24">
        <f t="shared" si="51"/>
        <v>0</v>
      </c>
      <c r="N315" s="24">
        <f>IF(M315&lt;=0,0,IF($E$2-A315&lt;12,(M315-E315)*Dashboard!$B$18,IF($Q$2+A315&gt;=$R$2,MAX(0,M315-E315*POWER(1+$C$2,$E$2-A315))*MAX(Dashboard!$C$18,Dashboard!$B$18),IF($S$2&lt;$R$2,(M315-E315)*0.5*Dashboard!$B$18,(E315*POWER(1+$A$2,$R$2-($Q$2+A315))-E315)*0.5*Dashboard!$B$18+MAX(0,M315-E315*POWER(1+$A$2,$R$2-($Q$2+A315))*POWER(1+$C$2,$S$2-$R$2))*MAX(Dashboard!$C$18,Dashboard!$B$18)))))</f>
        <v>0</v>
      </c>
    </row>
    <row r="316" spans="1:14" x14ac:dyDescent="0.2">
      <c r="A316" s="22">
        <f t="shared" si="52"/>
        <v>311</v>
      </c>
      <c r="B316" s="23">
        <f t="shared" si="53"/>
        <v>43.97146118721475</v>
      </c>
      <c r="C316" t="str">
        <f t="shared" si="44"/>
        <v>43 y 11.66 m</v>
      </c>
      <c r="D316" s="24">
        <f>IF(A316&gt;=$E$2,IF(A316&lt;$E$2+$H$2,$P$2,0),IF(B316&lt;Dashboard!$I$6,0,IF(A316&gt;=$F$2,Dashboard!$C$23*POWER(1+$C$2,A316-$F$2),Dashboard!$C$23)))</f>
        <v>5092.3674515238745</v>
      </c>
      <c r="E316" s="24">
        <f>IF(A316&gt;=$F$2,0,IF(A316=0,Dashboard!$G$10,IF(B316&lt;Dashboard!$I$6,IF($J$2&lt;=Dashboard!$H$10,Dashboard!$H$10,MAX(Dashboard!$H$10,MIN($J$2,Dashboard!$H$10*POWER($J$2/Dashboard!$H$10,A316/$D$2)))),$I$2-D316-Dashboard!$I$10-Dashboard!$J$10-Dashboard!$F$10*$I$2)))</f>
        <v>1789.4325484761255</v>
      </c>
      <c r="F316" s="24">
        <f t="shared" si="45"/>
        <v>0</v>
      </c>
      <c r="G316" s="24">
        <f t="shared" si="46"/>
        <v>0</v>
      </c>
      <c r="H316" s="24">
        <f t="shared" si="47"/>
        <v>0</v>
      </c>
      <c r="I316" s="24">
        <f t="shared" si="48"/>
        <v>1789.4325484761255</v>
      </c>
      <c r="J316" s="25">
        <f t="shared" si="49"/>
        <v>7.9741404289037643E-3</v>
      </c>
      <c r="K316" s="24">
        <f t="shared" si="54"/>
        <v>2716145.9165010657</v>
      </c>
      <c r="L316" s="24" t="str">
        <f t="shared" si="50"/>
        <v/>
      </c>
      <c r="M316" s="24">
        <f t="shared" si="51"/>
        <v>0</v>
      </c>
      <c r="N316" s="24">
        <f>IF(M316&lt;=0,0,IF($E$2-A316&lt;12,(M316-E316)*Dashboard!$B$18,IF($Q$2+A316&gt;=$R$2,MAX(0,M316-E316*POWER(1+$C$2,$E$2-A316))*MAX(Dashboard!$C$18,Dashboard!$B$18),IF($S$2&lt;$R$2,(M316-E316)*0.5*Dashboard!$B$18,(E316*POWER(1+$A$2,$R$2-($Q$2+A316))-E316)*0.5*Dashboard!$B$18+MAX(0,M316-E316*POWER(1+$A$2,$R$2-($Q$2+A316))*POWER(1+$C$2,$S$2-$R$2))*MAX(Dashboard!$C$18,Dashboard!$B$18)))))</f>
        <v>0</v>
      </c>
    </row>
    <row r="317" spans="1:14" x14ac:dyDescent="0.2">
      <c r="A317" s="22">
        <f t="shared" si="52"/>
        <v>312</v>
      </c>
      <c r="B317" s="23">
        <f t="shared" si="53"/>
        <v>44.054794520548086</v>
      </c>
      <c r="C317" t="str">
        <f t="shared" si="44"/>
        <v>44 y 0.66 m</v>
      </c>
      <c r="D317" s="24">
        <f>IF(A317&gt;=$E$2,IF(A317&lt;$E$2+$H$2,$P$2,0),IF(B317&lt;Dashboard!$I$6,0,IF(A317&gt;=$F$2,Dashboard!$C$23*POWER(1+$C$2,A317-$F$2),Dashboard!$C$23)))</f>
        <v>5092.3674515238745</v>
      </c>
      <c r="E317" s="24">
        <f>IF(A317&gt;=$F$2,0,IF(A317=0,Dashboard!$G$10,IF(B317&lt;Dashboard!$I$6,IF($J$2&lt;=Dashboard!$H$10,Dashboard!$H$10,MAX(Dashboard!$H$10,MIN($J$2,Dashboard!$H$10*POWER($J$2/Dashboard!$H$10,A317/$D$2)))),$I$2-D317-Dashboard!$I$10-Dashboard!$J$10-Dashboard!$F$10*$I$2)))</f>
        <v>1789.4325484761255</v>
      </c>
      <c r="F317" s="24">
        <f t="shared" si="45"/>
        <v>0</v>
      </c>
      <c r="G317" s="24">
        <f t="shared" si="46"/>
        <v>0</v>
      </c>
      <c r="H317" s="24">
        <f t="shared" si="47"/>
        <v>0</v>
      </c>
      <c r="I317" s="24">
        <f t="shared" si="48"/>
        <v>1789.4325484761255</v>
      </c>
      <c r="J317" s="25">
        <f t="shared" si="49"/>
        <v>7.9741404289037643E-3</v>
      </c>
      <c r="K317" s="24">
        <f t="shared" si="54"/>
        <v>2739608.547199544</v>
      </c>
      <c r="L317" s="24" t="str">
        <f t="shared" si="50"/>
        <v/>
      </c>
      <c r="M317" s="24">
        <f t="shared" si="51"/>
        <v>0</v>
      </c>
      <c r="N317" s="24">
        <f>IF(M317&lt;=0,0,IF($E$2-A317&lt;12,(M317-E317)*Dashboard!$B$18,IF($Q$2+A317&gt;=$R$2,MAX(0,M317-E317*POWER(1+$C$2,$E$2-A317))*MAX(Dashboard!$C$18,Dashboard!$B$18),IF($S$2&lt;$R$2,(M317-E317)*0.5*Dashboard!$B$18,(E317*POWER(1+$A$2,$R$2-($Q$2+A317))-E317)*0.5*Dashboard!$B$18+MAX(0,M317-E317*POWER(1+$A$2,$R$2-($Q$2+A317))*POWER(1+$C$2,$S$2-$R$2))*MAX(Dashboard!$C$18,Dashboard!$B$18)))))</f>
        <v>0</v>
      </c>
    </row>
    <row r="318" spans="1:14" x14ac:dyDescent="0.2">
      <c r="A318" s="22">
        <f t="shared" si="52"/>
        <v>313</v>
      </c>
      <c r="B318" s="23">
        <f t="shared" si="53"/>
        <v>44.138127853881421</v>
      </c>
      <c r="C318" t="str">
        <f t="shared" si="44"/>
        <v>44 y 1.66 m</v>
      </c>
      <c r="D318" s="24">
        <f>IF(A318&gt;=$E$2,IF(A318&lt;$E$2+$H$2,$P$2,0),IF(B318&lt;Dashboard!$I$6,0,IF(A318&gt;=$F$2,Dashboard!$C$23*POWER(1+$C$2,A318-$F$2),Dashboard!$C$23)))</f>
        <v>5092.3674515238745</v>
      </c>
      <c r="E318" s="24">
        <f>IF(A318&gt;=$F$2,0,IF(A318=0,Dashboard!$G$10,IF(B318&lt;Dashboard!$I$6,IF($J$2&lt;=Dashboard!$H$10,Dashboard!$H$10,MAX(Dashboard!$H$10,MIN($J$2,Dashboard!$H$10*POWER($J$2/Dashboard!$H$10,A318/$D$2)))),$I$2-D318-Dashboard!$I$10-Dashboard!$J$10-Dashboard!$F$10*$I$2)))</f>
        <v>1789.4325484761255</v>
      </c>
      <c r="F318" s="24">
        <f t="shared" si="45"/>
        <v>0</v>
      </c>
      <c r="G318" s="24">
        <f t="shared" si="46"/>
        <v>0</v>
      </c>
      <c r="H318" s="24">
        <f t="shared" si="47"/>
        <v>0</v>
      </c>
      <c r="I318" s="24">
        <f t="shared" si="48"/>
        <v>1789.4325484761255</v>
      </c>
      <c r="J318" s="25">
        <f t="shared" si="49"/>
        <v>7.9741404289037643E-3</v>
      </c>
      <c r="K318" s="24">
        <f t="shared" si="54"/>
        <v>2763258.2722100439</v>
      </c>
      <c r="L318" s="24" t="str">
        <f t="shared" si="50"/>
        <v/>
      </c>
      <c r="M318" s="24">
        <f t="shared" si="51"/>
        <v>0</v>
      </c>
      <c r="N318" s="24">
        <f>IF(M318&lt;=0,0,IF($E$2-A318&lt;12,(M318-E318)*Dashboard!$B$18,IF($Q$2+A318&gt;=$R$2,MAX(0,M318-E318*POWER(1+$C$2,$E$2-A318))*MAX(Dashboard!$C$18,Dashboard!$B$18),IF($S$2&lt;$R$2,(M318-E318)*0.5*Dashboard!$B$18,(E318*POWER(1+$A$2,$R$2-($Q$2+A318))-E318)*0.5*Dashboard!$B$18+MAX(0,M318-E318*POWER(1+$A$2,$R$2-($Q$2+A318))*POWER(1+$C$2,$S$2-$R$2))*MAX(Dashboard!$C$18,Dashboard!$B$18)))))</f>
        <v>0</v>
      </c>
    </row>
    <row r="319" spans="1:14" x14ac:dyDescent="0.2">
      <c r="A319" s="22">
        <f t="shared" si="52"/>
        <v>314</v>
      </c>
      <c r="B319" s="23">
        <f t="shared" si="53"/>
        <v>44.221461187214757</v>
      </c>
      <c r="C319" t="str">
        <f t="shared" si="44"/>
        <v>44 y 2.66 m</v>
      </c>
      <c r="D319" s="24">
        <f>IF(A319&gt;=$E$2,IF(A319&lt;$E$2+$H$2,$P$2,0),IF(B319&lt;Dashboard!$I$6,0,IF(A319&gt;=$F$2,Dashboard!$C$23*POWER(1+$C$2,A319-$F$2),Dashboard!$C$23)))</f>
        <v>5092.3674515238745</v>
      </c>
      <c r="E319" s="24">
        <f>IF(A319&gt;=$F$2,0,IF(A319=0,Dashboard!$G$10,IF(B319&lt;Dashboard!$I$6,IF($J$2&lt;=Dashboard!$H$10,Dashboard!$H$10,MAX(Dashboard!$H$10,MIN($J$2,Dashboard!$H$10*POWER($J$2/Dashboard!$H$10,A319/$D$2)))),$I$2-D319-Dashboard!$I$10-Dashboard!$J$10-Dashboard!$F$10*$I$2)))</f>
        <v>1789.4325484761255</v>
      </c>
      <c r="F319" s="24">
        <f t="shared" si="45"/>
        <v>0</v>
      </c>
      <c r="G319" s="24">
        <f t="shared" si="46"/>
        <v>0</v>
      </c>
      <c r="H319" s="24">
        <f t="shared" si="47"/>
        <v>0</v>
      </c>
      <c r="I319" s="24">
        <f t="shared" si="48"/>
        <v>1789.4325484761255</v>
      </c>
      <c r="J319" s="25">
        <f t="shared" si="49"/>
        <v>7.9741404289037643E-3</v>
      </c>
      <c r="K319" s="24">
        <f t="shared" si="54"/>
        <v>2787096.5834488822</v>
      </c>
      <c r="L319" s="24" t="str">
        <f t="shared" si="50"/>
        <v/>
      </c>
      <c r="M319" s="24">
        <f t="shared" si="51"/>
        <v>0</v>
      </c>
      <c r="N319" s="24">
        <f>IF(M319&lt;=0,0,IF($E$2-A319&lt;12,(M319-E319)*Dashboard!$B$18,IF($Q$2+A319&gt;=$R$2,MAX(0,M319-E319*POWER(1+$C$2,$E$2-A319))*MAX(Dashboard!$C$18,Dashboard!$B$18),IF($S$2&lt;$R$2,(M319-E319)*0.5*Dashboard!$B$18,(E319*POWER(1+$A$2,$R$2-($Q$2+A319))-E319)*0.5*Dashboard!$B$18+MAX(0,M319-E319*POWER(1+$A$2,$R$2-($Q$2+A319))*POWER(1+$C$2,$S$2-$R$2))*MAX(Dashboard!$C$18,Dashboard!$B$18)))))</f>
        <v>0</v>
      </c>
    </row>
    <row r="320" spans="1:14" x14ac:dyDescent="0.2">
      <c r="A320" s="22">
        <f t="shared" si="52"/>
        <v>315</v>
      </c>
      <c r="B320" s="23">
        <f t="shared" si="53"/>
        <v>44.304794520548093</v>
      </c>
      <c r="C320" t="str">
        <f t="shared" si="44"/>
        <v>44 y 3.66 m</v>
      </c>
      <c r="D320" s="24">
        <f>IF(A320&gt;=$E$2,IF(A320&lt;$E$2+$H$2,$P$2,0),IF(B320&lt;Dashboard!$I$6,0,IF(A320&gt;=$F$2,Dashboard!$C$23*POWER(1+$C$2,A320-$F$2),Dashboard!$C$23)))</f>
        <v>5092.3674515238745</v>
      </c>
      <c r="E320" s="24">
        <f>IF(A320&gt;=$F$2,0,IF(A320=0,Dashboard!$G$10,IF(B320&lt;Dashboard!$I$6,IF($J$2&lt;=Dashboard!$H$10,Dashboard!$H$10,MAX(Dashboard!$H$10,MIN($J$2,Dashboard!$H$10*POWER($J$2/Dashboard!$H$10,A320/$D$2)))),$I$2-D320-Dashboard!$I$10-Dashboard!$J$10-Dashboard!$F$10*$I$2)))</f>
        <v>1789.4325484761255</v>
      </c>
      <c r="F320" s="24">
        <f t="shared" si="45"/>
        <v>0</v>
      </c>
      <c r="G320" s="24">
        <f t="shared" si="46"/>
        <v>0</v>
      </c>
      <c r="H320" s="24">
        <f t="shared" si="47"/>
        <v>0</v>
      </c>
      <c r="I320" s="24">
        <f t="shared" si="48"/>
        <v>1789.4325484761255</v>
      </c>
      <c r="J320" s="25">
        <f t="shared" si="49"/>
        <v>7.9741404289037643E-3</v>
      </c>
      <c r="K320" s="24">
        <f t="shared" si="54"/>
        <v>2811124.984729127</v>
      </c>
      <c r="L320" s="24" t="str">
        <f t="shared" si="50"/>
        <v/>
      </c>
      <c r="M320" s="24">
        <f t="shared" si="51"/>
        <v>0</v>
      </c>
      <c r="N320" s="24">
        <f>IF(M320&lt;=0,0,IF($E$2-A320&lt;12,(M320-E320)*Dashboard!$B$18,IF($Q$2+A320&gt;=$R$2,MAX(0,M320-E320*POWER(1+$C$2,$E$2-A320))*MAX(Dashboard!$C$18,Dashboard!$B$18),IF($S$2&lt;$R$2,(M320-E320)*0.5*Dashboard!$B$18,(E320*POWER(1+$A$2,$R$2-($Q$2+A320))-E320)*0.5*Dashboard!$B$18+MAX(0,M320-E320*POWER(1+$A$2,$R$2-($Q$2+A320))*POWER(1+$C$2,$S$2-$R$2))*MAX(Dashboard!$C$18,Dashboard!$B$18)))))</f>
        <v>0</v>
      </c>
    </row>
    <row r="321" spans="1:14" x14ac:dyDescent="0.2">
      <c r="A321" s="22">
        <f t="shared" si="52"/>
        <v>316</v>
      </c>
      <c r="B321" s="23">
        <f t="shared" si="53"/>
        <v>44.388127853881429</v>
      </c>
      <c r="C321" t="str">
        <f t="shared" si="44"/>
        <v>44 y 4.66 m</v>
      </c>
      <c r="D321" s="24">
        <f>IF(A321&gt;=$E$2,IF(A321&lt;$E$2+$H$2,$P$2,0),IF(B321&lt;Dashboard!$I$6,0,IF(A321&gt;=$F$2,Dashboard!$C$23*POWER(1+$C$2,A321-$F$2),Dashboard!$C$23)))</f>
        <v>5092.3674515238745</v>
      </c>
      <c r="E321" s="24">
        <f>IF(A321&gt;=$F$2,0,IF(A321=0,Dashboard!$G$10,IF(B321&lt;Dashboard!$I$6,IF($J$2&lt;=Dashboard!$H$10,Dashboard!$H$10,MAX(Dashboard!$H$10,MIN($J$2,Dashboard!$H$10*POWER($J$2/Dashboard!$H$10,A321/$D$2)))),$I$2-D321-Dashboard!$I$10-Dashboard!$J$10-Dashboard!$F$10*$I$2)))</f>
        <v>1789.4325484761255</v>
      </c>
      <c r="F321" s="24">
        <f t="shared" si="45"/>
        <v>0</v>
      </c>
      <c r="G321" s="24">
        <f t="shared" si="46"/>
        <v>0</v>
      </c>
      <c r="H321" s="24">
        <f t="shared" si="47"/>
        <v>0</v>
      </c>
      <c r="I321" s="24">
        <f t="shared" si="48"/>
        <v>1789.4325484761255</v>
      </c>
      <c r="J321" s="25">
        <f t="shared" si="49"/>
        <v>7.9741404289037643E-3</v>
      </c>
      <c r="K321" s="24">
        <f t="shared" si="54"/>
        <v>2835344.9918554625</v>
      </c>
      <c r="L321" s="24" t="str">
        <f t="shared" si="50"/>
        <v/>
      </c>
      <c r="M321" s="24">
        <f t="shared" si="51"/>
        <v>0</v>
      </c>
      <c r="N321" s="24">
        <f>IF(M321&lt;=0,0,IF($E$2-A321&lt;12,(M321-E321)*Dashboard!$B$18,IF($Q$2+A321&gt;=$R$2,MAX(0,M321-E321*POWER(1+$C$2,$E$2-A321))*MAX(Dashboard!$C$18,Dashboard!$B$18),IF($S$2&lt;$R$2,(M321-E321)*0.5*Dashboard!$B$18,(E321*POWER(1+$A$2,$R$2-($Q$2+A321))-E321)*0.5*Dashboard!$B$18+MAX(0,M321-E321*POWER(1+$A$2,$R$2-($Q$2+A321))*POWER(1+$C$2,$S$2-$R$2))*MAX(Dashboard!$C$18,Dashboard!$B$18)))))</f>
        <v>0</v>
      </c>
    </row>
    <row r="322" spans="1:14" x14ac:dyDescent="0.2">
      <c r="A322" s="22">
        <f t="shared" si="52"/>
        <v>317</v>
      </c>
      <c r="B322" s="23">
        <f t="shared" si="53"/>
        <v>44.471461187214764</v>
      </c>
      <c r="C322" t="str">
        <f t="shared" si="44"/>
        <v>44 y 5.66 m</v>
      </c>
      <c r="D322" s="24">
        <f>IF(A322&gt;=$E$2,IF(A322&lt;$E$2+$H$2,$P$2,0),IF(B322&lt;Dashboard!$I$6,0,IF(A322&gt;=$F$2,Dashboard!$C$23*POWER(1+$C$2,A322-$F$2),Dashboard!$C$23)))</f>
        <v>5092.3674515238745</v>
      </c>
      <c r="E322" s="24">
        <f>IF(A322&gt;=$F$2,0,IF(A322=0,Dashboard!$G$10,IF(B322&lt;Dashboard!$I$6,IF($J$2&lt;=Dashboard!$H$10,Dashboard!$H$10,MAX(Dashboard!$H$10,MIN($J$2,Dashboard!$H$10*POWER($J$2/Dashboard!$H$10,A322/$D$2)))),$I$2-D322-Dashboard!$I$10-Dashboard!$J$10-Dashboard!$F$10*$I$2)))</f>
        <v>1789.4325484761255</v>
      </c>
      <c r="F322" s="24">
        <f t="shared" si="45"/>
        <v>0</v>
      </c>
      <c r="G322" s="24">
        <f t="shared" si="46"/>
        <v>0</v>
      </c>
      <c r="H322" s="24">
        <f t="shared" si="47"/>
        <v>0</v>
      </c>
      <c r="I322" s="24">
        <f t="shared" si="48"/>
        <v>1789.4325484761255</v>
      </c>
      <c r="J322" s="25">
        <f t="shared" si="49"/>
        <v>7.9741404289037643E-3</v>
      </c>
      <c r="K322" s="24">
        <f t="shared" si="54"/>
        <v>2859758.1327198124</v>
      </c>
      <c r="L322" s="24" t="str">
        <f t="shared" si="50"/>
        <v/>
      </c>
      <c r="M322" s="24">
        <f t="shared" si="51"/>
        <v>0</v>
      </c>
      <c r="N322" s="24">
        <f>IF(M322&lt;=0,0,IF($E$2-A322&lt;12,(M322-E322)*Dashboard!$B$18,IF($Q$2+A322&gt;=$R$2,MAX(0,M322-E322*POWER(1+$C$2,$E$2-A322))*MAX(Dashboard!$C$18,Dashboard!$B$18),IF($S$2&lt;$R$2,(M322-E322)*0.5*Dashboard!$B$18,(E322*POWER(1+$A$2,$R$2-($Q$2+A322))-E322)*0.5*Dashboard!$B$18+MAX(0,M322-E322*POWER(1+$A$2,$R$2-($Q$2+A322))*POWER(1+$C$2,$S$2-$R$2))*MAX(Dashboard!$C$18,Dashboard!$B$18)))))</f>
        <v>0</v>
      </c>
    </row>
    <row r="323" spans="1:14" x14ac:dyDescent="0.2">
      <c r="A323" s="22">
        <f t="shared" si="52"/>
        <v>318</v>
      </c>
      <c r="B323" s="23">
        <f t="shared" si="53"/>
        <v>44.5547945205481</v>
      </c>
      <c r="C323" t="str">
        <f t="shared" si="44"/>
        <v>44 y 6.66 m</v>
      </c>
      <c r="D323" s="24">
        <f>IF(A323&gt;=$E$2,IF(A323&lt;$E$2+$H$2,$P$2,0),IF(B323&lt;Dashboard!$I$6,0,IF(A323&gt;=$F$2,Dashboard!$C$23*POWER(1+$C$2,A323-$F$2),Dashboard!$C$23)))</f>
        <v>5092.3674515238745</v>
      </c>
      <c r="E323" s="24">
        <f>IF(A323&gt;=$F$2,0,IF(A323=0,Dashboard!$G$10,IF(B323&lt;Dashboard!$I$6,IF($J$2&lt;=Dashboard!$H$10,Dashboard!$H$10,MAX(Dashboard!$H$10,MIN($J$2,Dashboard!$H$10*POWER($J$2/Dashboard!$H$10,A323/$D$2)))),$I$2-D323-Dashboard!$I$10-Dashboard!$J$10-Dashboard!$F$10*$I$2)))</f>
        <v>1789.4325484761255</v>
      </c>
      <c r="F323" s="24">
        <f t="shared" si="45"/>
        <v>0</v>
      </c>
      <c r="G323" s="24">
        <f t="shared" si="46"/>
        <v>0</v>
      </c>
      <c r="H323" s="24">
        <f t="shared" si="47"/>
        <v>0</v>
      </c>
      <c r="I323" s="24">
        <f t="shared" si="48"/>
        <v>1789.4325484761255</v>
      </c>
      <c r="J323" s="25">
        <f t="shared" si="49"/>
        <v>7.9741404289037643E-3</v>
      </c>
      <c r="K323" s="24">
        <f t="shared" si="54"/>
        <v>2884365.9473977252</v>
      </c>
      <c r="L323" s="24" t="str">
        <f t="shared" si="50"/>
        <v/>
      </c>
      <c r="M323" s="24">
        <f t="shared" si="51"/>
        <v>0</v>
      </c>
      <c r="N323" s="24">
        <f>IF(M323&lt;=0,0,IF($E$2-A323&lt;12,(M323-E323)*Dashboard!$B$18,IF($Q$2+A323&gt;=$R$2,MAX(0,M323-E323*POWER(1+$C$2,$E$2-A323))*MAX(Dashboard!$C$18,Dashboard!$B$18),IF($S$2&lt;$R$2,(M323-E323)*0.5*Dashboard!$B$18,(E323*POWER(1+$A$2,$R$2-($Q$2+A323))-E323)*0.5*Dashboard!$B$18+MAX(0,M323-E323*POWER(1+$A$2,$R$2-($Q$2+A323))*POWER(1+$C$2,$S$2-$R$2))*MAX(Dashboard!$C$18,Dashboard!$B$18)))))</f>
        <v>0</v>
      </c>
    </row>
    <row r="324" spans="1:14" x14ac:dyDescent="0.2">
      <c r="A324" s="22">
        <f t="shared" si="52"/>
        <v>319</v>
      </c>
      <c r="B324" s="23">
        <f t="shared" si="53"/>
        <v>44.638127853881436</v>
      </c>
      <c r="C324" t="str">
        <f t="shared" si="44"/>
        <v>44 y 7.66 m</v>
      </c>
      <c r="D324" s="24">
        <f>IF(A324&gt;=$E$2,IF(A324&lt;$E$2+$H$2,$P$2,0),IF(B324&lt;Dashboard!$I$6,0,IF(A324&gt;=$F$2,Dashboard!$C$23*POWER(1+$C$2,A324-$F$2),Dashboard!$C$23)))</f>
        <v>5092.3674515238745</v>
      </c>
      <c r="E324" s="24">
        <f>IF(A324&gt;=$F$2,0,IF(A324=0,Dashboard!$G$10,IF(B324&lt;Dashboard!$I$6,IF($J$2&lt;=Dashboard!$H$10,Dashboard!$H$10,MAX(Dashboard!$H$10,MIN($J$2,Dashboard!$H$10*POWER($J$2/Dashboard!$H$10,A324/$D$2)))),$I$2-D324-Dashboard!$I$10-Dashboard!$J$10-Dashboard!$F$10*$I$2)))</f>
        <v>1789.4325484761255</v>
      </c>
      <c r="F324" s="24">
        <f t="shared" si="45"/>
        <v>0</v>
      </c>
      <c r="G324" s="24">
        <f t="shared" si="46"/>
        <v>0</v>
      </c>
      <c r="H324" s="24">
        <f t="shared" si="47"/>
        <v>0</v>
      </c>
      <c r="I324" s="24">
        <f t="shared" si="48"/>
        <v>1789.4325484761255</v>
      </c>
      <c r="J324" s="25">
        <f t="shared" si="49"/>
        <v>7.9741404289037643E-3</v>
      </c>
      <c r="K324" s="24">
        <f t="shared" si="54"/>
        <v>2909169.9882455282</v>
      </c>
      <c r="L324" s="24" t="str">
        <f t="shared" si="50"/>
        <v/>
      </c>
      <c r="M324" s="24">
        <f t="shared" si="51"/>
        <v>0</v>
      </c>
      <c r="N324" s="24">
        <f>IF(M324&lt;=0,0,IF($E$2-A324&lt;12,(M324-E324)*Dashboard!$B$18,IF($Q$2+A324&gt;=$R$2,MAX(0,M324-E324*POWER(1+$C$2,$E$2-A324))*MAX(Dashboard!$C$18,Dashboard!$B$18),IF($S$2&lt;$R$2,(M324-E324)*0.5*Dashboard!$B$18,(E324*POWER(1+$A$2,$R$2-($Q$2+A324))-E324)*0.5*Dashboard!$B$18+MAX(0,M324-E324*POWER(1+$A$2,$R$2-($Q$2+A324))*POWER(1+$C$2,$S$2-$R$2))*MAX(Dashboard!$C$18,Dashboard!$B$18)))))</f>
        <v>0</v>
      </c>
    </row>
    <row r="325" spans="1:14" x14ac:dyDescent="0.2">
      <c r="A325" s="22">
        <f t="shared" si="52"/>
        <v>320</v>
      </c>
      <c r="B325" s="23">
        <f t="shared" si="53"/>
        <v>44.721461187214771</v>
      </c>
      <c r="C325" t="str">
        <f t="shared" ref="C325:C388" si="55">INT(B325)&amp;" y "&amp;ROUND((B325-INT(B325))*12,2)&amp;" m"</f>
        <v>44 y 8.66 m</v>
      </c>
      <c r="D325" s="24">
        <f>IF(A325&gt;=$E$2,IF(A325&lt;$E$2+$H$2,$P$2,0),IF(B325&lt;Dashboard!$I$6,0,IF(A325&gt;=$F$2,Dashboard!$C$23*POWER(1+$C$2,A325-$F$2),Dashboard!$C$23)))</f>
        <v>5092.3674515238745</v>
      </c>
      <c r="E325" s="24">
        <f>IF(A325&gt;=$F$2,0,IF(A325=0,Dashboard!$G$10,IF(B325&lt;Dashboard!$I$6,IF($J$2&lt;=Dashboard!$H$10,Dashboard!$H$10,MAX(Dashboard!$H$10,MIN($J$2,Dashboard!$H$10*POWER($J$2/Dashboard!$H$10,A325/$D$2)))),$I$2-D325-Dashboard!$I$10-Dashboard!$J$10-Dashboard!$F$10*$I$2)))</f>
        <v>1789.4325484761255</v>
      </c>
      <c r="F325" s="24">
        <f t="shared" ref="F325:F388" si="56">IF(A325&gt;=$F$2,$X$2*POWER(1+$C$2,A325-$F$2)+D325,0)</f>
        <v>0</v>
      </c>
      <c r="G325" s="24">
        <f t="shared" ref="G325:G388" si="57">IF(F325&lt;=0,0,IF(F325*12&lt;=18200,F325,IF(F325*12&lt;=40712,(18200+(F325*12-18200)/0.84)/12,IF(F325*12&lt;=103712,(45000+(F325*12-40712)/0.7)/12,IF(F325*12&lt;=138362,(135000+(F325*12-103712)/0.63)/12,(190000+(F325*12-138362)/0.55)/12)))))</f>
        <v>0</v>
      </c>
      <c r="H325" s="24">
        <f t="shared" ref="H325:H388" si="58">IF(A325=$E$2,$W$2,0)</f>
        <v>0</v>
      </c>
      <c r="I325" s="24">
        <f t="shared" ref="I325:I388" si="59">E325-G325-H325</f>
        <v>1789.4325484761255</v>
      </c>
      <c r="J325" s="25">
        <f t="shared" ref="J325:J388" si="60">IF(A325&gt;=$F$2,$B$2,$A$2)</f>
        <v>7.9741404289037643E-3</v>
      </c>
      <c r="K325" s="24">
        <f t="shared" si="54"/>
        <v>2934171.8199982559</v>
      </c>
      <c r="L325" s="24" t="str">
        <f t="shared" ref="L325:L388" si="61">IF(A325&gt;=$F$2,K325,"")</f>
        <v/>
      </c>
      <c r="M325" s="24">
        <f t="shared" ref="M325:M388" si="62">IF(AND(A325&lt;$E$2,E325&gt;0),E325*POWER(1+$A$2,$E$2-A325),0)</f>
        <v>0</v>
      </c>
      <c r="N325" s="24">
        <f>IF(M325&lt;=0,0,IF($E$2-A325&lt;12,(M325-E325)*Dashboard!$B$18,IF($Q$2+A325&gt;=$R$2,MAX(0,M325-E325*POWER(1+$C$2,$E$2-A325))*MAX(Dashboard!$C$18,Dashboard!$B$18),IF($S$2&lt;$R$2,(M325-E325)*0.5*Dashboard!$B$18,(E325*POWER(1+$A$2,$R$2-($Q$2+A325))-E325)*0.5*Dashboard!$B$18+MAX(0,M325-E325*POWER(1+$A$2,$R$2-($Q$2+A325))*POWER(1+$C$2,$S$2-$R$2))*MAX(Dashboard!$C$18,Dashboard!$B$18)))))</f>
        <v>0</v>
      </c>
    </row>
    <row r="326" spans="1:14" x14ac:dyDescent="0.2">
      <c r="A326" s="22">
        <f t="shared" ref="A326:A389" si="63">A325+1</f>
        <v>321</v>
      </c>
      <c r="B326" s="23">
        <f t="shared" ref="B326:B389" si="64">B325+1/12</f>
        <v>44.804794520548107</v>
      </c>
      <c r="C326" t="str">
        <f t="shared" si="55"/>
        <v>44 y 9.66 m</v>
      </c>
      <c r="D326" s="24">
        <f>IF(A326&gt;=$E$2,IF(A326&lt;$E$2+$H$2,$P$2,0),IF(B326&lt;Dashboard!$I$6,0,IF(A326&gt;=$F$2,Dashboard!$C$23*POWER(1+$C$2,A326-$F$2),Dashboard!$C$23)))</f>
        <v>5092.3674515238745</v>
      </c>
      <c r="E326" s="24">
        <f>IF(A326&gt;=$F$2,0,IF(A326=0,Dashboard!$G$10,IF(B326&lt;Dashboard!$I$6,IF($J$2&lt;=Dashboard!$H$10,Dashboard!$H$10,MAX(Dashboard!$H$10,MIN($J$2,Dashboard!$H$10*POWER($J$2/Dashboard!$H$10,A326/$D$2)))),$I$2-D326-Dashboard!$I$10-Dashboard!$J$10-Dashboard!$F$10*$I$2)))</f>
        <v>1789.4325484761255</v>
      </c>
      <c r="F326" s="24">
        <f t="shared" si="56"/>
        <v>0</v>
      </c>
      <c r="G326" s="24">
        <f t="shared" si="57"/>
        <v>0</v>
      </c>
      <c r="H326" s="24">
        <f t="shared" si="58"/>
        <v>0</v>
      </c>
      <c r="I326" s="24">
        <f t="shared" si="59"/>
        <v>1789.4325484761255</v>
      </c>
      <c r="J326" s="25">
        <f t="shared" si="60"/>
        <v>7.9741404289037643E-3</v>
      </c>
      <c r="K326" s="24">
        <f t="shared" ref="K326:K389" si="65">(K325+I326)*(1+J326)</f>
        <v>2959373.0198683599</v>
      </c>
      <c r="L326" s="24" t="str">
        <f t="shared" si="61"/>
        <v/>
      </c>
      <c r="M326" s="24">
        <f t="shared" si="62"/>
        <v>0</v>
      </c>
      <c r="N326" s="24">
        <f>IF(M326&lt;=0,0,IF($E$2-A326&lt;12,(M326-E326)*Dashboard!$B$18,IF($Q$2+A326&gt;=$R$2,MAX(0,M326-E326*POWER(1+$C$2,$E$2-A326))*MAX(Dashboard!$C$18,Dashboard!$B$18),IF($S$2&lt;$R$2,(M326-E326)*0.5*Dashboard!$B$18,(E326*POWER(1+$A$2,$R$2-($Q$2+A326))-E326)*0.5*Dashboard!$B$18+MAX(0,M326-E326*POWER(1+$A$2,$R$2-($Q$2+A326))*POWER(1+$C$2,$S$2-$R$2))*MAX(Dashboard!$C$18,Dashboard!$B$18)))))</f>
        <v>0</v>
      </c>
    </row>
    <row r="327" spans="1:14" x14ac:dyDescent="0.2">
      <c r="A327" s="22">
        <f t="shared" si="63"/>
        <v>322</v>
      </c>
      <c r="B327" s="23">
        <f t="shared" si="64"/>
        <v>44.888127853881443</v>
      </c>
      <c r="C327" t="str">
        <f t="shared" si="55"/>
        <v>44 y 10.66 m</v>
      </c>
      <c r="D327" s="24">
        <f>IF(A327&gt;=$E$2,IF(A327&lt;$E$2+$H$2,$P$2,0),IF(B327&lt;Dashboard!$I$6,0,IF(A327&gt;=$F$2,Dashboard!$C$23*POWER(1+$C$2,A327-$F$2),Dashboard!$C$23)))</f>
        <v>5092.3674515238745</v>
      </c>
      <c r="E327" s="24">
        <f>IF(A327&gt;=$F$2,0,IF(A327=0,Dashboard!$G$10,IF(B327&lt;Dashboard!$I$6,IF($J$2&lt;=Dashboard!$H$10,Dashboard!$H$10,MAX(Dashboard!$H$10,MIN($J$2,Dashboard!$H$10*POWER($J$2/Dashboard!$H$10,A327/$D$2)))),$I$2-D327-Dashboard!$I$10-Dashboard!$J$10-Dashboard!$F$10*$I$2)))</f>
        <v>1789.4325484761255</v>
      </c>
      <c r="F327" s="24">
        <f t="shared" si="56"/>
        <v>0</v>
      </c>
      <c r="G327" s="24">
        <f t="shared" si="57"/>
        <v>0</v>
      </c>
      <c r="H327" s="24">
        <f t="shared" si="58"/>
        <v>0</v>
      </c>
      <c r="I327" s="24">
        <f t="shared" si="59"/>
        <v>1789.4325484761255</v>
      </c>
      <c r="J327" s="25">
        <f t="shared" si="60"/>
        <v>7.9741404289037643E-3</v>
      </c>
      <c r="K327" s="24">
        <f t="shared" si="65"/>
        <v>2984775.1776452046</v>
      </c>
      <c r="L327" s="24" t="str">
        <f t="shared" si="61"/>
        <v/>
      </c>
      <c r="M327" s="24">
        <f t="shared" si="62"/>
        <v>0</v>
      </c>
      <c r="N327" s="24">
        <f>IF(M327&lt;=0,0,IF($E$2-A327&lt;12,(M327-E327)*Dashboard!$B$18,IF($Q$2+A327&gt;=$R$2,MAX(0,M327-E327*POWER(1+$C$2,$E$2-A327))*MAX(Dashboard!$C$18,Dashboard!$B$18),IF($S$2&lt;$R$2,(M327-E327)*0.5*Dashboard!$B$18,(E327*POWER(1+$A$2,$R$2-($Q$2+A327))-E327)*0.5*Dashboard!$B$18+MAX(0,M327-E327*POWER(1+$A$2,$R$2-($Q$2+A327))*POWER(1+$C$2,$S$2-$R$2))*MAX(Dashboard!$C$18,Dashboard!$B$18)))))</f>
        <v>0</v>
      </c>
    </row>
    <row r="328" spans="1:14" x14ac:dyDescent="0.2">
      <c r="A328" s="22">
        <f t="shared" si="63"/>
        <v>323</v>
      </c>
      <c r="B328" s="23">
        <f t="shared" si="64"/>
        <v>44.971461187214778</v>
      </c>
      <c r="C328" t="str">
        <f t="shared" si="55"/>
        <v>44 y 11.66 m</v>
      </c>
      <c r="D328" s="24">
        <f>IF(A328&gt;=$E$2,IF(A328&lt;$E$2+$H$2,$P$2,0),IF(B328&lt;Dashboard!$I$6,0,IF(A328&gt;=$F$2,Dashboard!$C$23*POWER(1+$C$2,A328-$F$2),Dashboard!$C$23)))</f>
        <v>5092.3674515238745</v>
      </c>
      <c r="E328" s="24">
        <f>IF(A328&gt;=$F$2,0,IF(A328=0,Dashboard!$G$10,IF(B328&lt;Dashboard!$I$6,IF($J$2&lt;=Dashboard!$H$10,Dashboard!$H$10,MAX(Dashboard!$H$10,MIN($J$2,Dashboard!$H$10*POWER($J$2/Dashboard!$H$10,A328/$D$2)))),$I$2-D328-Dashboard!$I$10-Dashboard!$J$10-Dashboard!$F$10*$I$2)))</f>
        <v>1789.4325484761255</v>
      </c>
      <c r="F328" s="24">
        <f t="shared" si="56"/>
        <v>0</v>
      </c>
      <c r="G328" s="24">
        <f t="shared" si="57"/>
        <v>0</v>
      </c>
      <c r="H328" s="24">
        <f t="shared" si="58"/>
        <v>0</v>
      </c>
      <c r="I328" s="24">
        <f t="shared" si="59"/>
        <v>1789.4325484761255</v>
      </c>
      <c r="J328" s="25">
        <f t="shared" si="60"/>
        <v>7.9741404289037643E-3</v>
      </c>
      <c r="K328" s="24">
        <f t="shared" si="65"/>
        <v>3010379.8957953593</v>
      </c>
      <c r="L328" s="24" t="str">
        <f t="shared" si="61"/>
        <v/>
      </c>
      <c r="M328" s="24">
        <f t="shared" si="62"/>
        <v>0</v>
      </c>
      <c r="N328" s="24">
        <f>IF(M328&lt;=0,0,IF($E$2-A328&lt;12,(M328-E328)*Dashboard!$B$18,IF($Q$2+A328&gt;=$R$2,MAX(0,M328-E328*POWER(1+$C$2,$E$2-A328))*MAX(Dashboard!$C$18,Dashboard!$B$18),IF($S$2&lt;$R$2,(M328-E328)*0.5*Dashboard!$B$18,(E328*POWER(1+$A$2,$R$2-($Q$2+A328))-E328)*0.5*Dashboard!$B$18+MAX(0,M328-E328*POWER(1+$A$2,$R$2-($Q$2+A328))*POWER(1+$C$2,$S$2-$R$2))*MAX(Dashboard!$C$18,Dashboard!$B$18)))))</f>
        <v>0</v>
      </c>
    </row>
    <row r="329" spans="1:14" x14ac:dyDescent="0.2">
      <c r="A329" s="22">
        <f t="shared" si="63"/>
        <v>324</v>
      </c>
      <c r="B329" s="23">
        <f t="shared" si="64"/>
        <v>45.054794520548114</v>
      </c>
      <c r="C329" t="str">
        <f t="shared" si="55"/>
        <v>45 y 0.66 m</v>
      </c>
      <c r="D329" s="24">
        <f>IF(A329&gt;=$E$2,IF(A329&lt;$E$2+$H$2,$P$2,0),IF(B329&lt;Dashboard!$I$6,0,IF(A329&gt;=$F$2,Dashboard!$C$23*POWER(1+$C$2,A329-$F$2),Dashboard!$C$23)))</f>
        <v>5092.3674515238745</v>
      </c>
      <c r="E329" s="24">
        <f>IF(A329&gt;=$F$2,0,IF(A329=0,Dashboard!$G$10,IF(B329&lt;Dashboard!$I$6,IF($J$2&lt;=Dashboard!$H$10,Dashboard!$H$10,MAX(Dashboard!$H$10,MIN($J$2,Dashboard!$H$10*POWER($J$2/Dashboard!$H$10,A329/$D$2)))),$I$2-D329-Dashboard!$I$10-Dashboard!$J$10-Dashboard!$F$10*$I$2)))</f>
        <v>1789.4325484761255</v>
      </c>
      <c r="F329" s="24">
        <f t="shared" si="56"/>
        <v>0</v>
      </c>
      <c r="G329" s="24">
        <f t="shared" si="57"/>
        <v>0</v>
      </c>
      <c r="H329" s="24">
        <f t="shared" si="58"/>
        <v>0</v>
      </c>
      <c r="I329" s="24">
        <f t="shared" si="59"/>
        <v>1789.4325484761255</v>
      </c>
      <c r="J329" s="25">
        <f t="shared" si="60"/>
        <v>7.9741404289037643E-3</v>
      </c>
      <c r="K329" s="24">
        <f t="shared" si="65"/>
        <v>3036188.7895636857</v>
      </c>
      <c r="L329" s="24" t="str">
        <f t="shared" si="61"/>
        <v/>
      </c>
      <c r="M329" s="24">
        <f t="shared" si="62"/>
        <v>0</v>
      </c>
      <c r="N329" s="24">
        <f>IF(M329&lt;=0,0,IF($E$2-A329&lt;12,(M329-E329)*Dashboard!$B$18,IF($Q$2+A329&gt;=$R$2,MAX(0,M329-E329*POWER(1+$C$2,$E$2-A329))*MAX(Dashboard!$C$18,Dashboard!$B$18),IF($S$2&lt;$R$2,(M329-E329)*0.5*Dashboard!$B$18,(E329*POWER(1+$A$2,$R$2-($Q$2+A329))-E329)*0.5*Dashboard!$B$18+MAX(0,M329-E329*POWER(1+$A$2,$R$2-($Q$2+A329))*POWER(1+$C$2,$S$2-$R$2))*MAX(Dashboard!$C$18,Dashboard!$B$18)))))</f>
        <v>0</v>
      </c>
    </row>
    <row r="330" spans="1:14" x14ac:dyDescent="0.2">
      <c r="A330" s="22">
        <f t="shared" si="63"/>
        <v>325</v>
      </c>
      <c r="B330" s="23">
        <f t="shared" si="64"/>
        <v>45.13812785388145</v>
      </c>
      <c r="C330" t="str">
        <f t="shared" si="55"/>
        <v>45 y 1.66 m</v>
      </c>
      <c r="D330" s="24">
        <f>IF(A330&gt;=$E$2,IF(A330&lt;$E$2+$H$2,$P$2,0),IF(B330&lt;Dashboard!$I$6,0,IF(A330&gt;=$F$2,Dashboard!$C$23*POWER(1+$C$2,A330-$F$2),Dashboard!$C$23)))</f>
        <v>5092.3674515238745</v>
      </c>
      <c r="E330" s="24">
        <f>IF(A330&gt;=$F$2,0,IF(A330=0,Dashboard!$G$10,IF(B330&lt;Dashboard!$I$6,IF($J$2&lt;=Dashboard!$H$10,Dashboard!$H$10,MAX(Dashboard!$H$10,MIN($J$2,Dashboard!$H$10*POWER($J$2/Dashboard!$H$10,A330/$D$2)))),$I$2-D330-Dashboard!$I$10-Dashboard!$J$10-Dashboard!$F$10*$I$2)))</f>
        <v>1789.4325484761255</v>
      </c>
      <c r="F330" s="24">
        <f t="shared" si="56"/>
        <v>0</v>
      </c>
      <c r="G330" s="24">
        <f t="shared" si="57"/>
        <v>0</v>
      </c>
      <c r="H330" s="24">
        <f t="shared" si="58"/>
        <v>0</v>
      </c>
      <c r="I330" s="24">
        <f t="shared" si="59"/>
        <v>1789.4325484761255</v>
      </c>
      <c r="J330" s="25">
        <f t="shared" si="60"/>
        <v>7.9741404289037643E-3</v>
      </c>
      <c r="K330" s="24">
        <f t="shared" si="65"/>
        <v>3062203.4870752352</v>
      </c>
      <c r="L330" s="24" t="str">
        <f t="shared" si="61"/>
        <v/>
      </c>
      <c r="M330" s="24">
        <f t="shared" si="62"/>
        <v>0</v>
      </c>
      <c r="N330" s="24">
        <f>IF(M330&lt;=0,0,IF($E$2-A330&lt;12,(M330-E330)*Dashboard!$B$18,IF($Q$2+A330&gt;=$R$2,MAX(0,M330-E330*POWER(1+$C$2,$E$2-A330))*MAX(Dashboard!$C$18,Dashboard!$B$18),IF($S$2&lt;$R$2,(M330-E330)*0.5*Dashboard!$B$18,(E330*POWER(1+$A$2,$R$2-($Q$2+A330))-E330)*0.5*Dashboard!$B$18+MAX(0,M330-E330*POWER(1+$A$2,$R$2-($Q$2+A330))*POWER(1+$C$2,$S$2-$R$2))*MAX(Dashboard!$C$18,Dashboard!$B$18)))))</f>
        <v>0</v>
      </c>
    </row>
    <row r="331" spans="1:14" x14ac:dyDescent="0.2">
      <c r="A331" s="22">
        <f t="shared" si="63"/>
        <v>326</v>
      </c>
      <c r="B331" s="23">
        <f t="shared" si="64"/>
        <v>45.221461187214786</v>
      </c>
      <c r="C331" t="str">
        <f t="shared" si="55"/>
        <v>45 y 2.66 m</v>
      </c>
      <c r="D331" s="24">
        <f>IF(A331&gt;=$E$2,IF(A331&lt;$E$2+$H$2,$P$2,0),IF(B331&lt;Dashboard!$I$6,0,IF(A331&gt;=$F$2,Dashboard!$C$23*POWER(1+$C$2,A331-$F$2),Dashboard!$C$23)))</f>
        <v>5092.3674515238745</v>
      </c>
      <c r="E331" s="24">
        <f>IF(A331&gt;=$F$2,0,IF(A331=0,Dashboard!$G$10,IF(B331&lt;Dashboard!$I$6,IF($J$2&lt;=Dashboard!$H$10,Dashboard!$H$10,MAX(Dashboard!$H$10,MIN($J$2,Dashboard!$H$10*POWER($J$2/Dashboard!$H$10,A331/$D$2)))),$I$2-D331-Dashboard!$I$10-Dashboard!$J$10-Dashboard!$F$10*$I$2)))</f>
        <v>1789.4325484761255</v>
      </c>
      <c r="F331" s="24">
        <f t="shared" si="56"/>
        <v>0</v>
      </c>
      <c r="G331" s="24">
        <f t="shared" si="57"/>
        <v>0</v>
      </c>
      <c r="H331" s="24">
        <f t="shared" si="58"/>
        <v>0</v>
      </c>
      <c r="I331" s="24">
        <f t="shared" si="59"/>
        <v>1789.4325484761255</v>
      </c>
      <c r="J331" s="25">
        <f t="shared" si="60"/>
        <v>7.9741404289037643E-3</v>
      </c>
      <c r="K331" s="24">
        <f t="shared" si="65"/>
        <v>3088425.6294379574</v>
      </c>
      <c r="L331" s="24" t="str">
        <f t="shared" si="61"/>
        <v/>
      </c>
      <c r="M331" s="24">
        <f t="shared" si="62"/>
        <v>0</v>
      </c>
      <c r="N331" s="24">
        <f>IF(M331&lt;=0,0,IF($E$2-A331&lt;12,(M331-E331)*Dashboard!$B$18,IF($Q$2+A331&gt;=$R$2,MAX(0,M331-E331*POWER(1+$C$2,$E$2-A331))*MAX(Dashboard!$C$18,Dashboard!$B$18),IF($S$2&lt;$R$2,(M331-E331)*0.5*Dashboard!$B$18,(E331*POWER(1+$A$2,$R$2-($Q$2+A331))-E331)*0.5*Dashboard!$B$18+MAX(0,M331-E331*POWER(1+$A$2,$R$2-($Q$2+A331))*POWER(1+$C$2,$S$2-$R$2))*MAX(Dashboard!$C$18,Dashboard!$B$18)))))</f>
        <v>0</v>
      </c>
    </row>
    <row r="332" spans="1:14" x14ac:dyDescent="0.2">
      <c r="A332" s="22">
        <f t="shared" si="63"/>
        <v>327</v>
      </c>
      <c r="B332" s="23">
        <f t="shared" si="64"/>
        <v>45.304794520548121</v>
      </c>
      <c r="C332" t="str">
        <f t="shared" si="55"/>
        <v>45 y 3.66 m</v>
      </c>
      <c r="D332" s="24">
        <f>IF(A332&gt;=$E$2,IF(A332&lt;$E$2+$H$2,$P$2,0),IF(B332&lt;Dashboard!$I$6,0,IF(A332&gt;=$F$2,Dashboard!$C$23*POWER(1+$C$2,A332-$F$2),Dashboard!$C$23)))</f>
        <v>5092.3674515238745</v>
      </c>
      <c r="E332" s="24">
        <f>IF(A332&gt;=$F$2,0,IF(A332=0,Dashboard!$G$10,IF(B332&lt;Dashboard!$I$6,IF($J$2&lt;=Dashboard!$H$10,Dashboard!$H$10,MAX(Dashboard!$H$10,MIN($J$2,Dashboard!$H$10*POWER($J$2/Dashboard!$H$10,A332/$D$2)))),$I$2-D332-Dashboard!$I$10-Dashboard!$J$10-Dashboard!$F$10*$I$2)))</f>
        <v>1789.4325484761255</v>
      </c>
      <c r="F332" s="24">
        <f t="shared" si="56"/>
        <v>0</v>
      </c>
      <c r="G332" s="24">
        <f t="shared" si="57"/>
        <v>0</v>
      </c>
      <c r="H332" s="24">
        <f t="shared" si="58"/>
        <v>0</v>
      </c>
      <c r="I332" s="24">
        <f t="shared" si="59"/>
        <v>1789.4325484761255</v>
      </c>
      <c r="J332" s="25">
        <f t="shared" si="60"/>
        <v>7.9741404289037643E-3</v>
      </c>
      <c r="K332" s="24">
        <f t="shared" si="65"/>
        <v>3114856.8708462268</v>
      </c>
      <c r="L332" s="24" t="str">
        <f t="shared" si="61"/>
        <v/>
      </c>
      <c r="M332" s="24">
        <f t="shared" si="62"/>
        <v>0</v>
      </c>
      <c r="N332" s="24">
        <f>IF(M332&lt;=0,0,IF($E$2-A332&lt;12,(M332-E332)*Dashboard!$B$18,IF($Q$2+A332&gt;=$R$2,MAX(0,M332-E332*POWER(1+$C$2,$E$2-A332))*MAX(Dashboard!$C$18,Dashboard!$B$18),IF($S$2&lt;$R$2,(M332-E332)*0.5*Dashboard!$B$18,(E332*POWER(1+$A$2,$R$2-($Q$2+A332))-E332)*0.5*Dashboard!$B$18+MAX(0,M332-E332*POWER(1+$A$2,$R$2-($Q$2+A332))*POWER(1+$C$2,$S$2-$R$2))*MAX(Dashboard!$C$18,Dashboard!$B$18)))))</f>
        <v>0</v>
      </c>
    </row>
    <row r="333" spans="1:14" x14ac:dyDescent="0.2">
      <c r="A333" s="22">
        <f t="shared" si="63"/>
        <v>328</v>
      </c>
      <c r="B333" s="23">
        <f t="shared" si="64"/>
        <v>45.388127853881457</v>
      </c>
      <c r="C333" t="str">
        <f t="shared" si="55"/>
        <v>45 y 4.66 m</v>
      </c>
      <c r="D333" s="24">
        <f>IF(A333&gt;=$E$2,IF(A333&lt;$E$2+$H$2,$P$2,0),IF(B333&lt;Dashboard!$I$6,0,IF(A333&gt;=$F$2,Dashboard!$C$23*POWER(1+$C$2,A333-$F$2),Dashboard!$C$23)))</f>
        <v>5092.3674515238745</v>
      </c>
      <c r="E333" s="24">
        <f>IF(A333&gt;=$F$2,0,IF(A333=0,Dashboard!$G$10,IF(B333&lt;Dashboard!$I$6,IF($J$2&lt;=Dashboard!$H$10,Dashboard!$H$10,MAX(Dashboard!$H$10,MIN($J$2,Dashboard!$H$10*POWER($J$2/Dashboard!$H$10,A333/$D$2)))),$I$2-D333-Dashboard!$I$10-Dashboard!$J$10-Dashboard!$F$10*$I$2)))</f>
        <v>1789.4325484761255</v>
      </c>
      <c r="F333" s="24">
        <f t="shared" si="56"/>
        <v>0</v>
      </c>
      <c r="G333" s="24">
        <f t="shared" si="57"/>
        <v>0</v>
      </c>
      <c r="H333" s="24">
        <f t="shared" si="58"/>
        <v>0</v>
      </c>
      <c r="I333" s="24">
        <f t="shared" si="59"/>
        <v>1789.4325484761255</v>
      </c>
      <c r="J333" s="25">
        <f t="shared" si="60"/>
        <v>7.9741404289037643E-3</v>
      </c>
      <c r="K333" s="24">
        <f t="shared" si="65"/>
        <v>3141498.8786851959</v>
      </c>
      <c r="L333" s="24" t="str">
        <f t="shared" si="61"/>
        <v/>
      </c>
      <c r="M333" s="24">
        <f t="shared" si="62"/>
        <v>0</v>
      </c>
      <c r="N333" s="24">
        <f>IF(M333&lt;=0,0,IF($E$2-A333&lt;12,(M333-E333)*Dashboard!$B$18,IF($Q$2+A333&gt;=$R$2,MAX(0,M333-E333*POWER(1+$C$2,$E$2-A333))*MAX(Dashboard!$C$18,Dashboard!$B$18),IF($S$2&lt;$R$2,(M333-E333)*0.5*Dashboard!$B$18,(E333*POWER(1+$A$2,$R$2-($Q$2+A333))-E333)*0.5*Dashboard!$B$18+MAX(0,M333-E333*POWER(1+$A$2,$R$2-($Q$2+A333))*POWER(1+$C$2,$S$2-$R$2))*MAX(Dashboard!$C$18,Dashboard!$B$18)))))</f>
        <v>0</v>
      </c>
    </row>
    <row r="334" spans="1:14" x14ac:dyDescent="0.2">
      <c r="A334" s="22">
        <f t="shared" si="63"/>
        <v>329</v>
      </c>
      <c r="B334" s="23">
        <f t="shared" si="64"/>
        <v>45.471461187214793</v>
      </c>
      <c r="C334" t="str">
        <f t="shared" si="55"/>
        <v>45 y 5.66 m</v>
      </c>
      <c r="D334" s="24">
        <f>IF(A334&gt;=$E$2,IF(A334&lt;$E$2+$H$2,$P$2,0),IF(B334&lt;Dashboard!$I$6,0,IF(A334&gt;=$F$2,Dashboard!$C$23*POWER(1+$C$2,A334-$F$2),Dashboard!$C$23)))</f>
        <v>5092.3674515238745</v>
      </c>
      <c r="E334" s="24">
        <f>IF(A334&gt;=$F$2,0,IF(A334=0,Dashboard!$G$10,IF(B334&lt;Dashboard!$I$6,IF($J$2&lt;=Dashboard!$H$10,Dashboard!$H$10,MAX(Dashboard!$H$10,MIN($J$2,Dashboard!$H$10*POWER($J$2/Dashboard!$H$10,A334/$D$2)))),$I$2-D334-Dashboard!$I$10-Dashboard!$J$10-Dashboard!$F$10*$I$2)))</f>
        <v>1789.4325484761255</v>
      </c>
      <c r="F334" s="24">
        <f t="shared" si="56"/>
        <v>0</v>
      </c>
      <c r="G334" s="24">
        <f t="shared" si="57"/>
        <v>0</v>
      </c>
      <c r="H334" s="24">
        <f t="shared" si="58"/>
        <v>0</v>
      </c>
      <c r="I334" s="24">
        <f t="shared" si="59"/>
        <v>1789.4325484761255</v>
      </c>
      <c r="J334" s="25">
        <f t="shared" si="60"/>
        <v>7.9741404289037643E-3</v>
      </c>
      <c r="K334" s="24">
        <f t="shared" si="65"/>
        <v>3168353.3336359807</v>
      </c>
      <c r="L334" s="24" t="str">
        <f t="shared" si="61"/>
        <v/>
      </c>
      <c r="M334" s="24">
        <f t="shared" si="62"/>
        <v>0</v>
      </c>
      <c r="N334" s="24">
        <f>IF(M334&lt;=0,0,IF($E$2-A334&lt;12,(M334-E334)*Dashboard!$B$18,IF($Q$2+A334&gt;=$R$2,MAX(0,M334-E334*POWER(1+$C$2,$E$2-A334))*MAX(Dashboard!$C$18,Dashboard!$B$18),IF($S$2&lt;$R$2,(M334-E334)*0.5*Dashboard!$B$18,(E334*POWER(1+$A$2,$R$2-($Q$2+A334))-E334)*0.5*Dashboard!$B$18+MAX(0,M334-E334*POWER(1+$A$2,$R$2-($Q$2+A334))*POWER(1+$C$2,$S$2-$R$2))*MAX(Dashboard!$C$18,Dashboard!$B$18)))))</f>
        <v>0</v>
      </c>
    </row>
    <row r="335" spans="1:14" x14ac:dyDescent="0.2">
      <c r="A335" s="22">
        <f t="shared" si="63"/>
        <v>330</v>
      </c>
      <c r="B335" s="23">
        <f t="shared" si="64"/>
        <v>45.554794520548128</v>
      </c>
      <c r="C335" t="str">
        <f t="shared" si="55"/>
        <v>45 y 6.66 m</v>
      </c>
      <c r="D335" s="24">
        <f>IF(A335&gt;=$E$2,IF(A335&lt;$E$2+$H$2,$P$2,0),IF(B335&lt;Dashboard!$I$6,0,IF(A335&gt;=$F$2,Dashboard!$C$23*POWER(1+$C$2,A335-$F$2),Dashboard!$C$23)))</f>
        <v>5092.3674515238745</v>
      </c>
      <c r="E335" s="24">
        <f>IF(A335&gt;=$F$2,0,IF(A335=0,Dashboard!$G$10,IF(B335&lt;Dashboard!$I$6,IF($J$2&lt;=Dashboard!$H$10,Dashboard!$H$10,MAX(Dashboard!$H$10,MIN($J$2,Dashboard!$H$10*POWER($J$2/Dashboard!$H$10,A335/$D$2)))),$I$2-D335-Dashboard!$I$10-Dashboard!$J$10-Dashboard!$F$10*$I$2)))</f>
        <v>1789.4325484761255</v>
      </c>
      <c r="F335" s="24">
        <f t="shared" si="56"/>
        <v>0</v>
      </c>
      <c r="G335" s="24">
        <f t="shared" si="57"/>
        <v>0</v>
      </c>
      <c r="H335" s="24">
        <f t="shared" si="58"/>
        <v>0</v>
      </c>
      <c r="I335" s="24">
        <f t="shared" si="59"/>
        <v>1789.4325484761255</v>
      </c>
      <c r="J335" s="25">
        <f t="shared" si="60"/>
        <v>7.9741404289037643E-3</v>
      </c>
      <c r="K335" s="24">
        <f t="shared" si="65"/>
        <v>3195421.9297816851</v>
      </c>
      <c r="L335" s="24" t="str">
        <f t="shared" si="61"/>
        <v/>
      </c>
      <c r="M335" s="24">
        <f t="shared" si="62"/>
        <v>0</v>
      </c>
      <c r="N335" s="24">
        <f>IF(M335&lt;=0,0,IF($E$2-A335&lt;12,(M335-E335)*Dashboard!$B$18,IF($Q$2+A335&gt;=$R$2,MAX(0,M335-E335*POWER(1+$C$2,$E$2-A335))*MAX(Dashboard!$C$18,Dashboard!$B$18),IF($S$2&lt;$R$2,(M335-E335)*0.5*Dashboard!$B$18,(E335*POWER(1+$A$2,$R$2-($Q$2+A335))-E335)*0.5*Dashboard!$B$18+MAX(0,M335-E335*POWER(1+$A$2,$R$2-($Q$2+A335))*POWER(1+$C$2,$S$2-$R$2))*MAX(Dashboard!$C$18,Dashboard!$B$18)))))</f>
        <v>0</v>
      </c>
    </row>
    <row r="336" spans="1:14" x14ac:dyDescent="0.2">
      <c r="A336" s="22">
        <f t="shared" si="63"/>
        <v>331</v>
      </c>
      <c r="B336" s="23">
        <f t="shared" si="64"/>
        <v>45.638127853881464</v>
      </c>
      <c r="C336" t="str">
        <f t="shared" si="55"/>
        <v>45 y 7.66 m</v>
      </c>
      <c r="D336" s="24">
        <f>IF(A336&gt;=$E$2,IF(A336&lt;$E$2+$H$2,$P$2,0),IF(B336&lt;Dashboard!$I$6,0,IF(A336&gt;=$F$2,Dashboard!$C$23*POWER(1+$C$2,A336-$F$2),Dashboard!$C$23)))</f>
        <v>5092.3674515238745</v>
      </c>
      <c r="E336" s="24">
        <f>IF(A336&gt;=$F$2,0,IF(A336=0,Dashboard!$G$10,IF(B336&lt;Dashboard!$I$6,IF($J$2&lt;=Dashboard!$H$10,Dashboard!$H$10,MAX(Dashboard!$H$10,MIN($J$2,Dashboard!$H$10*POWER($J$2/Dashboard!$H$10,A336/$D$2)))),$I$2-D336-Dashboard!$I$10-Dashboard!$J$10-Dashboard!$F$10*$I$2)))</f>
        <v>1789.4325484761255</v>
      </c>
      <c r="F336" s="24">
        <f t="shared" si="56"/>
        <v>0</v>
      </c>
      <c r="G336" s="24">
        <f t="shared" si="57"/>
        <v>0</v>
      </c>
      <c r="H336" s="24">
        <f t="shared" si="58"/>
        <v>0</v>
      </c>
      <c r="I336" s="24">
        <f t="shared" si="59"/>
        <v>1789.4325484761255</v>
      </c>
      <c r="J336" s="25">
        <f t="shared" si="60"/>
        <v>7.9741404289037643E-3</v>
      </c>
      <c r="K336" s="24">
        <f t="shared" si="65"/>
        <v>3222706.3747142684</v>
      </c>
      <c r="L336" s="24" t="str">
        <f t="shared" si="61"/>
        <v/>
      </c>
      <c r="M336" s="24">
        <f t="shared" si="62"/>
        <v>0</v>
      </c>
      <c r="N336" s="24">
        <f>IF(M336&lt;=0,0,IF($E$2-A336&lt;12,(M336-E336)*Dashboard!$B$18,IF($Q$2+A336&gt;=$R$2,MAX(0,M336-E336*POWER(1+$C$2,$E$2-A336))*MAX(Dashboard!$C$18,Dashboard!$B$18),IF($S$2&lt;$R$2,(M336-E336)*0.5*Dashboard!$B$18,(E336*POWER(1+$A$2,$R$2-($Q$2+A336))-E336)*0.5*Dashboard!$B$18+MAX(0,M336-E336*POWER(1+$A$2,$R$2-($Q$2+A336))*POWER(1+$C$2,$S$2-$R$2))*MAX(Dashboard!$C$18,Dashboard!$B$18)))))</f>
        <v>0</v>
      </c>
    </row>
    <row r="337" spans="1:14" x14ac:dyDescent="0.2">
      <c r="A337" s="22">
        <f t="shared" si="63"/>
        <v>332</v>
      </c>
      <c r="B337" s="23">
        <f t="shared" si="64"/>
        <v>45.7214611872148</v>
      </c>
      <c r="C337" t="str">
        <f t="shared" si="55"/>
        <v>45 y 8.66 m</v>
      </c>
      <c r="D337" s="24">
        <f>IF(A337&gt;=$E$2,IF(A337&lt;$E$2+$H$2,$P$2,0),IF(B337&lt;Dashboard!$I$6,0,IF(A337&gt;=$F$2,Dashboard!$C$23*POWER(1+$C$2,A337-$F$2),Dashboard!$C$23)))</f>
        <v>5092.3674515238745</v>
      </c>
      <c r="E337" s="24">
        <f>IF(A337&gt;=$F$2,0,IF(A337=0,Dashboard!$G$10,IF(B337&lt;Dashboard!$I$6,IF($J$2&lt;=Dashboard!$H$10,Dashboard!$H$10,MAX(Dashboard!$H$10,MIN($J$2,Dashboard!$H$10*POWER($J$2/Dashboard!$H$10,A337/$D$2)))),$I$2-D337-Dashboard!$I$10-Dashboard!$J$10-Dashboard!$F$10*$I$2)))</f>
        <v>1789.4325484761255</v>
      </c>
      <c r="F337" s="24">
        <f t="shared" si="56"/>
        <v>0</v>
      </c>
      <c r="G337" s="24">
        <f t="shared" si="57"/>
        <v>0</v>
      </c>
      <c r="H337" s="24">
        <f t="shared" si="58"/>
        <v>0</v>
      </c>
      <c r="I337" s="24">
        <f t="shared" si="59"/>
        <v>1789.4325484761255</v>
      </c>
      <c r="J337" s="25">
        <f t="shared" si="60"/>
        <v>7.9741404289037643E-3</v>
      </c>
      <c r="K337" s="24">
        <f t="shared" si="65"/>
        <v>3250208.3896422689</v>
      </c>
      <c r="L337" s="24" t="str">
        <f t="shared" si="61"/>
        <v/>
      </c>
      <c r="M337" s="24">
        <f t="shared" si="62"/>
        <v>0</v>
      </c>
      <c r="N337" s="24">
        <f>IF(M337&lt;=0,0,IF($E$2-A337&lt;12,(M337-E337)*Dashboard!$B$18,IF($Q$2+A337&gt;=$R$2,MAX(0,M337-E337*POWER(1+$C$2,$E$2-A337))*MAX(Dashboard!$C$18,Dashboard!$B$18),IF($S$2&lt;$R$2,(M337-E337)*0.5*Dashboard!$B$18,(E337*POWER(1+$A$2,$R$2-($Q$2+A337))-E337)*0.5*Dashboard!$B$18+MAX(0,M337-E337*POWER(1+$A$2,$R$2-($Q$2+A337))*POWER(1+$C$2,$S$2-$R$2))*MAX(Dashboard!$C$18,Dashboard!$B$18)))))</f>
        <v>0</v>
      </c>
    </row>
    <row r="338" spans="1:14" x14ac:dyDescent="0.2">
      <c r="A338" s="22">
        <f t="shared" si="63"/>
        <v>333</v>
      </c>
      <c r="B338" s="23">
        <f t="shared" si="64"/>
        <v>45.804794520548135</v>
      </c>
      <c r="C338" t="str">
        <f t="shared" si="55"/>
        <v>45 y 9.66 m</v>
      </c>
      <c r="D338" s="24">
        <f>IF(A338&gt;=$E$2,IF(A338&lt;$E$2+$H$2,$P$2,0),IF(B338&lt;Dashboard!$I$6,0,IF(A338&gt;=$F$2,Dashboard!$C$23*POWER(1+$C$2,A338-$F$2),Dashboard!$C$23)))</f>
        <v>5092.3674515238745</v>
      </c>
      <c r="E338" s="24">
        <f>IF(A338&gt;=$F$2,0,IF(A338=0,Dashboard!$G$10,IF(B338&lt;Dashboard!$I$6,IF($J$2&lt;=Dashboard!$H$10,Dashboard!$H$10,MAX(Dashboard!$H$10,MIN($J$2,Dashboard!$H$10*POWER($J$2/Dashboard!$H$10,A338/$D$2)))),$I$2-D338-Dashboard!$I$10-Dashboard!$J$10-Dashboard!$F$10*$I$2)))</f>
        <v>1789.4325484761255</v>
      </c>
      <c r="F338" s="24">
        <f t="shared" si="56"/>
        <v>0</v>
      </c>
      <c r="G338" s="24">
        <f t="shared" si="57"/>
        <v>0</v>
      </c>
      <c r="H338" s="24">
        <f t="shared" si="58"/>
        <v>0</v>
      </c>
      <c r="I338" s="24">
        <f t="shared" si="59"/>
        <v>1789.4325484761255</v>
      </c>
      <c r="J338" s="25">
        <f t="shared" si="60"/>
        <v>7.9741404289037643E-3</v>
      </c>
      <c r="K338" s="24">
        <f t="shared" si="65"/>
        <v>3277929.7094993829</v>
      </c>
      <c r="L338" s="24" t="str">
        <f t="shared" si="61"/>
        <v/>
      </c>
      <c r="M338" s="24">
        <f t="shared" si="62"/>
        <v>0</v>
      </c>
      <c r="N338" s="24">
        <f>IF(M338&lt;=0,0,IF($E$2-A338&lt;12,(M338-E338)*Dashboard!$B$18,IF($Q$2+A338&gt;=$R$2,MAX(0,M338-E338*POWER(1+$C$2,$E$2-A338))*MAX(Dashboard!$C$18,Dashboard!$B$18),IF($S$2&lt;$R$2,(M338-E338)*0.5*Dashboard!$B$18,(E338*POWER(1+$A$2,$R$2-($Q$2+A338))-E338)*0.5*Dashboard!$B$18+MAX(0,M338-E338*POWER(1+$A$2,$R$2-($Q$2+A338))*POWER(1+$C$2,$S$2-$R$2))*MAX(Dashboard!$C$18,Dashboard!$B$18)))))</f>
        <v>0</v>
      </c>
    </row>
    <row r="339" spans="1:14" x14ac:dyDescent="0.2">
      <c r="A339" s="22">
        <f t="shared" si="63"/>
        <v>334</v>
      </c>
      <c r="B339" s="23">
        <f t="shared" si="64"/>
        <v>45.888127853881471</v>
      </c>
      <c r="C339" t="str">
        <f t="shared" si="55"/>
        <v>45 y 10.66 m</v>
      </c>
      <c r="D339" s="24">
        <f>IF(A339&gt;=$E$2,IF(A339&lt;$E$2+$H$2,$P$2,0),IF(B339&lt;Dashboard!$I$6,0,IF(A339&gt;=$F$2,Dashboard!$C$23*POWER(1+$C$2,A339-$F$2),Dashboard!$C$23)))</f>
        <v>5092.3674515238745</v>
      </c>
      <c r="E339" s="24">
        <f>IF(A339&gt;=$F$2,0,IF(A339=0,Dashboard!$G$10,IF(B339&lt;Dashboard!$I$6,IF($J$2&lt;=Dashboard!$H$10,Dashboard!$H$10,MAX(Dashboard!$H$10,MIN($J$2,Dashboard!$H$10*POWER($J$2/Dashboard!$H$10,A339/$D$2)))),$I$2-D339-Dashboard!$I$10-Dashboard!$J$10-Dashboard!$F$10*$I$2)))</f>
        <v>1789.4325484761255</v>
      </c>
      <c r="F339" s="24">
        <f t="shared" si="56"/>
        <v>0</v>
      </c>
      <c r="G339" s="24">
        <f t="shared" si="57"/>
        <v>0</v>
      </c>
      <c r="H339" s="24">
        <f t="shared" si="58"/>
        <v>0</v>
      </c>
      <c r="I339" s="24">
        <f t="shared" si="59"/>
        <v>1789.4325484761255</v>
      </c>
      <c r="J339" s="25">
        <f t="shared" si="60"/>
        <v>7.9741404289037643E-3</v>
      </c>
      <c r="K339" s="24">
        <f t="shared" si="65"/>
        <v>3305872.083053912</v>
      </c>
      <c r="L339" s="24" t="str">
        <f t="shared" si="61"/>
        <v/>
      </c>
      <c r="M339" s="24">
        <f t="shared" si="62"/>
        <v>0</v>
      </c>
      <c r="N339" s="24">
        <f>IF(M339&lt;=0,0,IF($E$2-A339&lt;12,(M339-E339)*Dashboard!$B$18,IF($Q$2+A339&gt;=$R$2,MAX(0,M339-E339*POWER(1+$C$2,$E$2-A339))*MAX(Dashboard!$C$18,Dashboard!$B$18),IF($S$2&lt;$R$2,(M339-E339)*0.5*Dashboard!$B$18,(E339*POWER(1+$A$2,$R$2-($Q$2+A339))-E339)*0.5*Dashboard!$B$18+MAX(0,M339-E339*POWER(1+$A$2,$R$2-($Q$2+A339))*POWER(1+$C$2,$S$2-$R$2))*MAX(Dashboard!$C$18,Dashboard!$B$18)))))</f>
        <v>0</v>
      </c>
    </row>
    <row r="340" spans="1:14" x14ac:dyDescent="0.2">
      <c r="A340" s="22">
        <f t="shared" si="63"/>
        <v>335</v>
      </c>
      <c r="B340" s="23">
        <f t="shared" si="64"/>
        <v>45.971461187214807</v>
      </c>
      <c r="C340" t="str">
        <f t="shared" si="55"/>
        <v>45 y 11.66 m</v>
      </c>
      <c r="D340" s="24">
        <f>IF(A340&gt;=$E$2,IF(A340&lt;$E$2+$H$2,$P$2,0),IF(B340&lt;Dashboard!$I$6,0,IF(A340&gt;=$F$2,Dashboard!$C$23*POWER(1+$C$2,A340-$F$2),Dashboard!$C$23)))</f>
        <v>5092.3674515238745</v>
      </c>
      <c r="E340" s="24">
        <f>IF(A340&gt;=$F$2,0,IF(A340=0,Dashboard!$G$10,IF(B340&lt;Dashboard!$I$6,IF($J$2&lt;=Dashboard!$H$10,Dashboard!$H$10,MAX(Dashboard!$H$10,MIN($J$2,Dashboard!$H$10*POWER($J$2/Dashboard!$H$10,A340/$D$2)))),$I$2-D340-Dashboard!$I$10-Dashboard!$J$10-Dashboard!$F$10*$I$2)))</f>
        <v>1789.4325484761255</v>
      </c>
      <c r="F340" s="24">
        <f t="shared" si="56"/>
        <v>0</v>
      </c>
      <c r="G340" s="24">
        <f t="shared" si="57"/>
        <v>0</v>
      </c>
      <c r="H340" s="24">
        <f t="shared" si="58"/>
        <v>0</v>
      </c>
      <c r="I340" s="24">
        <f t="shared" si="59"/>
        <v>1789.4325484761255</v>
      </c>
      <c r="J340" s="25">
        <f t="shared" si="60"/>
        <v>7.9741404289037643E-3</v>
      </c>
      <c r="K340" s="24">
        <f t="shared" si="65"/>
        <v>3334037.2730190819</v>
      </c>
      <c r="L340" s="24" t="str">
        <f t="shared" si="61"/>
        <v/>
      </c>
      <c r="M340" s="24">
        <f t="shared" si="62"/>
        <v>0</v>
      </c>
      <c r="N340" s="24">
        <f>IF(M340&lt;=0,0,IF($E$2-A340&lt;12,(M340-E340)*Dashboard!$B$18,IF($Q$2+A340&gt;=$R$2,MAX(0,M340-E340*POWER(1+$C$2,$E$2-A340))*MAX(Dashboard!$C$18,Dashboard!$B$18),IF($S$2&lt;$R$2,(M340-E340)*0.5*Dashboard!$B$18,(E340*POWER(1+$A$2,$R$2-($Q$2+A340))-E340)*0.5*Dashboard!$B$18+MAX(0,M340-E340*POWER(1+$A$2,$R$2-($Q$2+A340))*POWER(1+$C$2,$S$2-$R$2))*MAX(Dashboard!$C$18,Dashboard!$B$18)))))</f>
        <v>0</v>
      </c>
    </row>
    <row r="341" spans="1:14" x14ac:dyDescent="0.2">
      <c r="A341" s="22">
        <f t="shared" si="63"/>
        <v>336</v>
      </c>
      <c r="B341" s="23">
        <f t="shared" si="64"/>
        <v>46.054794520548143</v>
      </c>
      <c r="C341" t="str">
        <f t="shared" si="55"/>
        <v>46 y 0.66 m</v>
      </c>
      <c r="D341" s="24">
        <f>IF(A341&gt;=$E$2,IF(A341&lt;$E$2+$H$2,$P$2,0),IF(B341&lt;Dashboard!$I$6,0,IF(A341&gt;=$F$2,Dashboard!$C$23*POWER(1+$C$2,A341-$F$2),Dashboard!$C$23)))</f>
        <v>5092.3674515238745</v>
      </c>
      <c r="E341" s="24">
        <f>IF(A341&gt;=$F$2,0,IF(A341=0,Dashboard!$G$10,IF(B341&lt;Dashboard!$I$6,IF($J$2&lt;=Dashboard!$H$10,Dashboard!$H$10,MAX(Dashboard!$H$10,MIN($J$2,Dashboard!$H$10*POWER($J$2/Dashboard!$H$10,A341/$D$2)))),$I$2-D341-Dashboard!$I$10-Dashboard!$J$10-Dashboard!$F$10*$I$2)))</f>
        <v>1789.4325484761255</v>
      </c>
      <c r="F341" s="24">
        <f t="shared" si="56"/>
        <v>0</v>
      </c>
      <c r="G341" s="24">
        <f t="shared" si="57"/>
        <v>0</v>
      </c>
      <c r="H341" s="24">
        <f t="shared" si="58"/>
        <v>0</v>
      </c>
      <c r="I341" s="24">
        <f t="shared" si="59"/>
        <v>1789.4325484761255</v>
      </c>
      <c r="J341" s="25">
        <f t="shared" si="60"/>
        <v>7.9741404289037643E-3</v>
      </c>
      <c r="K341" s="24">
        <f t="shared" si="65"/>
        <v>3362427.0561642409</v>
      </c>
      <c r="L341" s="24" t="str">
        <f t="shared" si="61"/>
        <v/>
      </c>
      <c r="M341" s="24">
        <f t="shared" si="62"/>
        <v>0</v>
      </c>
      <c r="N341" s="24">
        <f>IF(M341&lt;=0,0,IF($E$2-A341&lt;12,(M341-E341)*Dashboard!$B$18,IF($Q$2+A341&gt;=$R$2,MAX(0,M341-E341*POWER(1+$C$2,$E$2-A341))*MAX(Dashboard!$C$18,Dashboard!$B$18),IF($S$2&lt;$R$2,(M341-E341)*0.5*Dashboard!$B$18,(E341*POWER(1+$A$2,$R$2-($Q$2+A341))-E341)*0.5*Dashboard!$B$18+MAX(0,M341-E341*POWER(1+$A$2,$R$2-($Q$2+A341))*POWER(1+$C$2,$S$2-$R$2))*MAX(Dashboard!$C$18,Dashboard!$B$18)))))</f>
        <v>0</v>
      </c>
    </row>
    <row r="342" spans="1:14" x14ac:dyDescent="0.2">
      <c r="A342" s="22">
        <f t="shared" si="63"/>
        <v>337</v>
      </c>
      <c r="B342" s="23">
        <f t="shared" si="64"/>
        <v>46.138127853881478</v>
      </c>
      <c r="C342" t="str">
        <f t="shared" si="55"/>
        <v>46 y 1.66 m</v>
      </c>
      <c r="D342" s="24">
        <f>IF(A342&gt;=$E$2,IF(A342&lt;$E$2+$H$2,$P$2,0),IF(B342&lt;Dashboard!$I$6,0,IF(A342&gt;=$F$2,Dashboard!$C$23*POWER(1+$C$2,A342-$F$2),Dashboard!$C$23)))</f>
        <v>5092.3674515238745</v>
      </c>
      <c r="E342" s="24">
        <f>IF(A342&gt;=$F$2,0,IF(A342=0,Dashboard!$G$10,IF(B342&lt;Dashboard!$I$6,IF($J$2&lt;=Dashboard!$H$10,Dashboard!$H$10,MAX(Dashboard!$H$10,MIN($J$2,Dashboard!$H$10*POWER($J$2/Dashboard!$H$10,A342/$D$2)))),$I$2-D342-Dashboard!$I$10-Dashboard!$J$10-Dashboard!$F$10*$I$2)))</f>
        <v>1789.4325484761255</v>
      </c>
      <c r="F342" s="24">
        <f t="shared" si="56"/>
        <v>0</v>
      </c>
      <c r="G342" s="24">
        <f t="shared" si="57"/>
        <v>0</v>
      </c>
      <c r="H342" s="24">
        <f t="shared" si="58"/>
        <v>0</v>
      </c>
      <c r="I342" s="24">
        <f t="shared" si="59"/>
        <v>1789.4325484761255</v>
      </c>
      <c r="J342" s="25">
        <f t="shared" si="60"/>
        <v>7.9741404289037643E-3</v>
      </c>
      <c r="K342" s="24">
        <f t="shared" si="65"/>
        <v>3391043.2234269455</v>
      </c>
      <c r="L342" s="24" t="str">
        <f t="shared" si="61"/>
        <v/>
      </c>
      <c r="M342" s="24">
        <f t="shared" si="62"/>
        <v>0</v>
      </c>
      <c r="N342" s="24">
        <f>IF(M342&lt;=0,0,IF($E$2-A342&lt;12,(M342-E342)*Dashboard!$B$18,IF($Q$2+A342&gt;=$R$2,MAX(0,M342-E342*POWER(1+$C$2,$E$2-A342))*MAX(Dashboard!$C$18,Dashboard!$B$18),IF($S$2&lt;$R$2,(M342-E342)*0.5*Dashboard!$B$18,(E342*POWER(1+$A$2,$R$2-($Q$2+A342))-E342)*0.5*Dashboard!$B$18+MAX(0,M342-E342*POWER(1+$A$2,$R$2-($Q$2+A342))*POWER(1+$C$2,$S$2-$R$2))*MAX(Dashboard!$C$18,Dashboard!$B$18)))))</f>
        <v>0</v>
      </c>
    </row>
    <row r="343" spans="1:14" x14ac:dyDescent="0.2">
      <c r="A343" s="22">
        <f t="shared" si="63"/>
        <v>338</v>
      </c>
      <c r="B343" s="23">
        <f t="shared" si="64"/>
        <v>46.221461187214814</v>
      </c>
      <c r="C343" t="str">
        <f t="shared" si="55"/>
        <v>46 y 2.66 m</v>
      </c>
      <c r="D343" s="24">
        <f>IF(A343&gt;=$E$2,IF(A343&lt;$E$2+$H$2,$P$2,0),IF(B343&lt;Dashboard!$I$6,0,IF(A343&gt;=$F$2,Dashboard!$C$23*POWER(1+$C$2,A343-$F$2),Dashboard!$C$23)))</f>
        <v>5092.3674515238745</v>
      </c>
      <c r="E343" s="24">
        <f>IF(A343&gt;=$F$2,0,IF(A343=0,Dashboard!$G$10,IF(B343&lt;Dashboard!$I$6,IF($J$2&lt;=Dashboard!$H$10,Dashboard!$H$10,MAX(Dashboard!$H$10,MIN($J$2,Dashboard!$H$10*POWER($J$2/Dashboard!$H$10,A343/$D$2)))),$I$2-D343-Dashboard!$I$10-Dashboard!$J$10-Dashboard!$F$10*$I$2)))</f>
        <v>1789.4325484761255</v>
      </c>
      <c r="F343" s="24">
        <f t="shared" si="56"/>
        <v>0</v>
      </c>
      <c r="G343" s="24">
        <f t="shared" si="57"/>
        <v>0</v>
      </c>
      <c r="H343" s="24">
        <f t="shared" si="58"/>
        <v>0</v>
      </c>
      <c r="I343" s="24">
        <f t="shared" si="59"/>
        <v>1789.4325484761255</v>
      </c>
      <c r="J343" s="25">
        <f t="shared" si="60"/>
        <v>7.9741404289037643E-3</v>
      </c>
      <c r="K343" s="24">
        <f t="shared" si="65"/>
        <v>3419887.5800259402</v>
      </c>
      <c r="L343" s="24" t="str">
        <f t="shared" si="61"/>
        <v/>
      </c>
      <c r="M343" s="24">
        <f t="shared" si="62"/>
        <v>0</v>
      </c>
      <c r="N343" s="24">
        <f>IF(M343&lt;=0,0,IF($E$2-A343&lt;12,(M343-E343)*Dashboard!$B$18,IF($Q$2+A343&gt;=$R$2,MAX(0,M343-E343*POWER(1+$C$2,$E$2-A343))*MAX(Dashboard!$C$18,Dashboard!$B$18),IF($S$2&lt;$R$2,(M343-E343)*0.5*Dashboard!$B$18,(E343*POWER(1+$A$2,$R$2-($Q$2+A343))-E343)*0.5*Dashboard!$B$18+MAX(0,M343-E343*POWER(1+$A$2,$R$2-($Q$2+A343))*POWER(1+$C$2,$S$2-$R$2))*MAX(Dashboard!$C$18,Dashboard!$B$18)))))</f>
        <v>0</v>
      </c>
    </row>
    <row r="344" spans="1:14" x14ac:dyDescent="0.2">
      <c r="A344" s="22">
        <f t="shared" si="63"/>
        <v>339</v>
      </c>
      <c r="B344" s="23">
        <f t="shared" si="64"/>
        <v>46.30479452054815</v>
      </c>
      <c r="C344" t="str">
        <f t="shared" si="55"/>
        <v>46 y 3.66 m</v>
      </c>
      <c r="D344" s="24">
        <f>IF(A344&gt;=$E$2,IF(A344&lt;$E$2+$H$2,$P$2,0),IF(B344&lt;Dashboard!$I$6,0,IF(A344&gt;=$F$2,Dashboard!$C$23*POWER(1+$C$2,A344-$F$2),Dashboard!$C$23)))</f>
        <v>5092.3674515238745</v>
      </c>
      <c r="E344" s="24">
        <f>IF(A344&gt;=$F$2,0,IF(A344=0,Dashboard!$G$10,IF(B344&lt;Dashboard!$I$6,IF($J$2&lt;=Dashboard!$H$10,Dashboard!$H$10,MAX(Dashboard!$H$10,MIN($J$2,Dashboard!$H$10*POWER($J$2/Dashboard!$H$10,A344/$D$2)))),$I$2-D344-Dashboard!$I$10-Dashboard!$J$10-Dashboard!$F$10*$I$2)))</f>
        <v>1789.4325484761255</v>
      </c>
      <c r="F344" s="24">
        <f t="shared" si="56"/>
        <v>0</v>
      </c>
      <c r="G344" s="24">
        <f t="shared" si="57"/>
        <v>0</v>
      </c>
      <c r="H344" s="24">
        <f t="shared" si="58"/>
        <v>0</v>
      </c>
      <c r="I344" s="24">
        <f t="shared" si="59"/>
        <v>1789.4325484761255</v>
      </c>
      <c r="J344" s="25">
        <f t="shared" si="60"/>
        <v>7.9741404289037643E-3</v>
      </c>
      <c r="K344" s="24">
        <f t="shared" si="65"/>
        <v>3448961.9455750366</v>
      </c>
      <c r="L344" s="24" t="str">
        <f t="shared" si="61"/>
        <v/>
      </c>
      <c r="M344" s="24">
        <f t="shared" si="62"/>
        <v>0</v>
      </c>
      <c r="N344" s="24">
        <f>IF(M344&lt;=0,0,IF($E$2-A344&lt;12,(M344-E344)*Dashboard!$B$18,IF($Q$2+A344&gt;=$R$2,MAX(0,M344-E344*POWER(1+$C$2,$E$2-A344))*MAX(Dashboard!$C$18,Dashboard!$B$18),IF($S$2&lt;$R$2,(M344-E344)*0.5*Dashboard!$B$18,(E344*POWER(1+$A$2,$R$2-($Q$2+A344))-E344)*0.5*Dashboard!$B$18+MAX(0,M344-E344*POWER(1+$A$2,$R$2-($Q$2+A344))*POWER(1+$C$2,$S$2-$R$2))*MAX(Dashboard!$C$18,Dashboard!$B$18)))))</f>
        <v>0</v>
      </c>
    </row>
    <row r="345" spans="1:14" x14ac:dyDescent="0.2">
      <c r="A345" s="22">
        <f t="shared" si="63"/>
        <v>340</v>
      </c>
      <c r="B345" s="23">
        <f t="shared" si="64"/>
        <v>46.388127853881485</v>
      </c>
      <c r="C345" t="str">
        <f t="shared" si="55"/>
        <v>46 y 4.66 m</v>
      </c>
      <c r="D345" s="24">
        <f>IF(A345&gt;=$E$2,IF(A345&lt;$E$2+$H$2,$P$2,0),IF(B345&lt;Dashboard!$I$6,0,IF(A345&gt;=$F$2,Dashboard!$C$23*POWER(1+$C$2,A345-$F$2),Dashboard!$C$23)))</f>
        <v>5092.3674515238745</v>
      </c>
      <c r="E345" s="24">
        <f>IF(A345&gt;=$F$2,0,IF(A345=0,Dashboard!$G$10,IF(B345&lt;Dashboard!$I$6,IF($J$2&lt;=Dashboard!$H$10,Dashboard!$H$10,MAX(Dashboard!$H$10,MIN($J$2,Dashboard!$H$10*POWER($J$2/Dashboard!$H$10,A345/$D$2)))),$I$2-D345-Dashboard!$I$10-Dashboard!$J$10-Dashboard!$F$10*$I$2)))</f>
        <v>1789.4325484761255</v>
      </c>
      <c r="F345" s="24">
        <f t="shared" si="56"/>
        <v>0</v>
      </c>
      <c r="G345" s="24">
        <f t="shared" si="57"/>
        <v>0</v>
      </c>
      <c r="H345" s="24">
        <f t="shared" si="58"/>
        <v>0</v>
      </c>
      <c r="I345" s="24">
        <f t="shared" si="59"/>
        <v>1789.4325484761255</v>
      </c>
      <c r="J345" s="25">
        <f t="shared" si="60"/>
        <v>7.9741404289037643E-3</v>
      </c>
      <c r="K345" s="24">
        <f t="shared" si="65"/>
        <v>3478268.1541979024</v>
      </c>
      <c r="L345" s="24" t="str">
        <f t="shared" si="61"/>
        <v/>
      </c>
      <c r="M345" s="24">
        <f t="shared" si="62"/>
        <v>0</v>
      </c>
      <c r="N345" s="24">
        <f>IF(M345&lt;=0,0,IF($E$2-A345&lt;12,(M345-E345)*Dashboard!$B$18,IF($Q$2+A345&gt;=$R$2,MAX(0,M345-E345*POWER(1+$C$2,$E$2-A345))*MAX(Dashboard!$C$18,Dashboard!$B$18),IF($S$2&lt;$R$2,(M345-E345)*0.5*Dashboard!$B$18,(E345*POWER(1+$A$2,$R$2-($Q$2+A345))-E345)*0.5*Dashboard!$B$18+MAX(0,M345-E345*POWER(1+$A$2,$R$2-($Q$2+A345))*POWER(1+$C$2,$S$2-$R$2))*MAX(Dashboard!$C$18,Dashboard!$B$18)))))</f>
        <v>0</v>
      </c>
    </row>
    <row r="346" spans="1:14" x14ac:dyDescent="0.2">
      <c r="A346" s="22">
        <f t="shared" si="63"/>
        <v>341</v>
      </c>
      <c r="B346" s="23">
        <f t="shared" si="64"/>
        <v>46.471461187214821</v>
      </c>
      <c r="C346" t="str">
        <f t="shared" si="55"/>
        <v>46 y 5.66 m</v>
      </c>
      <c r="D346" s="24">
        <f>IF(A346&gt;=$E$2,IF(A346&lt;$E$2+$H$2,$P$2,0),IF(B346&lt;Dashboard!$I$6,0,IF(A346&gt;=$F$2,Dashboard!$C$23*POWER(1+$C$2,A346-$F$2),Dashboard!$C$23)))</f>
        <v>5092.3674515238745</v>
      </c>
      <c r="E346" s="24">
        <f>IF(A346&gt;=$F$2,0,IF(A346=0,Dashboard!$G$10,IF(B346&lt;Dashboard!$I$6,IF($J$2&lt;=Dashboard!$H$10,Dashboard!$H$10,MAX(Dashboard!$H$10,MIN($J$2,Dashboard!$H$10*POWER($J$2/Dashboard!$H$10,A346/$D$2)))),$I$2-D346-Dashboard!$I$10-Dashboard!$J$10-Dashboard!$F$10*$I$2)))</f>
        <v>1789.4325484761255</v>
      </c>
      <c r="F346" s="24">
        <f t="shared" si="56"/>
        <v>0</v>
      </c>
      <c r="G346" s="24">
        <f t="shared" si="57"/>
        <v>0</v>
      </c>
      <c r="H346" s="24">
        <f t="shared" si="58"/>
        <v>0</v>
      </c>
      <c r="I346" s="24">
        <f t="shared" si="59"/>
        <v>1789.4325484761255</v>
      </c>
      <c r="J346" s="25">
        <f t="shared" si="60"/>
        <v>7.9741404289037643E-3</v>
      </c>
      <c r="K346" s="24">
        <f t="shared" si="65"/>
        <v>3507808.054643766</v>
      </c>
      <c r="L346" s="24" t="str">
        <f t="shared" si="61"/>
        <v/>
      </c>
      <c r="M346" s="24">
        <f t="shared" si="62"/>
        <v>0</v>
      </c>
      <c r="N346" s="24">
        <f>IF(M346&lt;=0,0,IF($E$2-A346&lt;12,(M346-E346)*Dashboard!$B$18,IF($Q$2+A346&gt;=$R$2,MAX(0,M346-E346*POWER(1+$C$2,$E$2-A346))*MAX(Dashboard!$C$18,Dashboard!$B$18),IF($S$2&lt;$R$2,(M346-E346)*0.5*Dashboard!$B$18,(E346*POWER(1+$A$2,$R$2-($Q$2+A346))-E346)*0.5*Dashboard!$B$18+MAX(0,M346-E346*POWER(1+$A$2,$R$2-($Q$2+A346))*POWER(1+$C$2,$S$2-$R$2))*MAX(Dashboard!$C$18,Dashboard!$B$18)))))</f>
        <v>0</v>
      </c>
    </row>
    <row r="347" spans="1:14" x14ac:dyDescent="0.2">
      <c r="A347" s="22">
        <f t="shared" si="63"/>
        <v>342</v>
      </c>
      <c r="B347" s="23">
        <f t="shared" si="64"/>
        <v>46.554794520548157</v>
      </c>
      <c r="C347" t="str">
        <f t="shared" si="55"/>
        <v>46 y 6.66 m</v>
      </c>
      <c r="D347" s="24">
        <f>IF(A347&gt;=$E$2,IF(A347&lt;$E$2+$H$2,$P$2,0),IF(B347&lt;Dashboard!$I$6,0,IF(A347&gt;=$F$2,Dashboard!$C$23*POWER(1+$C$2,A347-$F$2),Dashboard!$C$23)))</f>
        <v>5092.3674515238745</v>
      </c>
      <c r="E347" s="24">
        <f>IF(A347&gt;=$F$2,0,IF(A347=0,Dashboard!$G$10,IF(B347&lt;Dashboard!$I$6,IF($J$2&lt;=Dashboard!$H$10,Dashboard!$H$10,MAX(Dashboard!$H$10,MIN($J$2,Dashboard!$H$10*POWER($J$2/Dashboard!$H$10,A347/$D$2)))),$I$2-D347-Dashboard!$I$10-Dashboard!$J$10-Dashboard!$F$10*$I$2)))</f>
        <v>1789.4325484761255</v>
      </c>
      <c r="F347" s="24">
        <f t="shared" si="56"/>
        <v>0</v>
      </c>
      <c r="G347" s="24">
        <f t="shared" si="57"/>
        <v>0</v>
      </c>
      <c r="H347" s="24">
        <f t="shared" si="58"/>
        <v>0</v>
      </c>
      <c r="I347" s="24">
        <f t="shared" si="59"/>
        <v>1789.4325484761255</v>
      </c>
      <c r="J347" s="25">
        <f t="shared" si="60"/>
        <v>7.9741404289037643E-3</v>
      </c>
      <c r="K347" s="24">
        <f t="shared" si="65"/>
        <v>3537583.5104040406</v>
      </c>
      <c r="L347" s="24" t="str">
        <f t="shared" si="61"/>
        <v/>
      </c>
      <c r="M347" s="24">
        <f t="shared" si="62"/>
        <v>0</v>
      </c>
      <c r="N347" s="24">
        <f>IF(M347&lt;=0,0,IF($E$2-A347&lt;12,(M347-E347)*Dashboard!$B$18,IF($Q$2+A347&gt;=$R$2,MAX(0,M347-E347*POWER(1+$C$2,$E$2-A347))*MAX(Dashboard!$C$18,Dashboard!$B$18),IF($S$2&lt;$R$2,(M347-E347)*0.5*Dashboard!$B$18,(E347*POWER(1+$A$2,$R$2-($Q$2+A347))-E347)*0.5*Dashboard!$B$18+MAX(0,M347-E347*POWER(1+$A$2,$R$2-($Q$2+A347))*POWER(1+$C$2,$S$2-$R$2))*MAX(Dashboard!$C$18,Dashboard!$B$18)))))</f>
        <v>0</v>
      </c>
    </row>
    <row r="348" spans="1:14" x14ac:dyDescent="0.2">
      <c r="A348" s="22">
        <f t="shared" si="63"/>
        <v>343</v>
      </c>
      <c r="B348" s="23">
        <f t="shared" si="64"/>
        <v>46.638127853881493</v>
      </c>
      <c r="C348" t="str">
        <f t="shared" si="55"/>
        <v>46 y 7.66 m</v>
      </c>
      <c r="D348" s="24">
        <f>IF(A348&gt;=$E$2,IF(A348&lt;$E$2+$H$2,$P$2,0),IF(B348&lt;Dashboard!$I$6,0,IF(A348&gt;=$F$2,Dashboard!$C$23*POWER(1+$C$2,A348-$F$2),Dashboard!$C$23)))</f>
        <v>5092.3674515238745</v>
      </c>
      <c r="E348" s="24">
        <f>IF(A348&gt;=$F$2,0,IF(A348=0,Dashboard!$G$10,IF(B348&lt;Dashboard!$I$6,IF($J$2&lt;=Dashboard!$H$10,Dashboard!$H$10,MAX(Dashboard!$H$10,MIN($J$2,Dashboard!$H$10*POWER($J$2/Dashboard!$H$10,A348/$D$2)))),$I$2-D348-Dashboard!$I$10-Dashboard!$J$10-Dashboard!$F$10*$I$2)))</f>
        <v>1789.4325484761255</v>
      </c>
      <c r="F348" s="24">
        <f t="shared" si="56"/>
        <v>0</v>
      </c>
      <c r="G348" s="24">
        <f t="shared" si="57"/>
        <v>0</v>
      </c>
      <c r="H348" s="24">
        <f t="shared" si="58"/>
        <v>0</v>
      </c>
      <c r="I348" s="24">
        <f t="shared" si="59"/>
        <v>1789.4325484761255</v>
      </c>
      <c r="J348" s="25">
        <f t="shared" si="60"/>
        <v>7.9741404289037643E-3</v>
      </c>
      <c r="K348" s="24">
        <f t="shared" si="65"/>
        <v>3567596.3998298822</v>
      </c>
      <c r="L348" s="24" t="str">
        <f t="shared" si="61"/>
        <v/>
      </c>
      <c r="M348" s="24">
        <f t="shared" si="62"/>
        <v>0</v>
      </c>
      <c r="N348" s="24">
        <f>IF(M348&lt;=0,0,IF($E$2-A348&lt;12,(M348-E348)*Dashboard!$B$18,IF($Q$2+A348&gt;=$R$2,MAX(0,M348-E348*POWER(1+$C$2,$E$2-A348))*MAX(Dashboard!$C$18,Dashboard!$B$18),IF($S$2&lt;$R$2,(M348-E348)*0.5*Dashboard!$B$18,(E348*POWER(1+$A$2,$R$2-($Q$2+A348))-E348)*0.5*Dashboard!$B$18+MAX(0,M348-E348*POWER(1+$A$2,$R$2-($Q$2+A348))*POWER(1+$C$2,$S$2-$R$2))*MAX(Dashboard!$C$18,Dashboard!$B$18)))))</f>
        <v>0</v>
      </c>
    </row>
    <row r="349" spans="1:14" x14ac:dyDescent="0.2">
      <c r="A349" s="22">
        <f t="shared" si="63"/>
        <v>344</v>
      </c>
      <c r="B349" s="23">
        <f t="shared" si="64"/>
        <v>46.721461187214828</v>
      </c>
      <c r="C349" t="str">
        <f t="shared" si="55"/>
        <v>46 y 8.66 m</v>
      </c>
      <c r="D349" s="24">
        <f>IF(A349&gt;=$E$2,IF(A349&lt;$E$2+$H$2,$P$2,0),IF(B349&lt;Dashboard!$I$6,0,IF(A349&gt;=$F$2,Dashboard!$C$23*POWER(1+$C$2,A349-$F$2),Dashboard!$C$23)))</f>
        <v>5092.3674515238745</v>
      </c>
      <c r="E349" s="24">
        <f>IF(A349&gt;=$F$2,0,IF(A349=0,Dashboard!$G$10,IF(B349&lt;Dashboard!$I$6,IF($J$2&lt;=Dashboard!$H$10,Dashboard!$H$10,MAX(Dashboard!$H$10,MIN($J$2,Dashboard!$H$10*POWER($J$2/Dashboard!$H$10,A349/$D$2)))),$I$2-D349-Dashboard!$I$10-Dashboard!$J$10-Dashboard!$F$10*$I$2)))</f>
        <v>1789.4325484761255</v>
      </c>
      <c r="F349" s="24">
        <f t="shared" si="56"/>
        <v>0</v>
      </c>
      <c r="G349" s="24">
        <f t="shared" si="57"/>
        <v>0</v>
      </c>
      <c r="H349" s="24">
        <f t="shared" si="58"/>
        <v>0</v>
      </c>
      <c r="I349" s="24">
        <f t="shared" si="59"/>
        <v>1789.4325484761255</v>
      </c>
      <c r="J349" s="25">
        <f t="shared" si="60"/>
        <v>7.9741404289037643E-3</v>
      </c>
      <c r="K349" s="24">
        <f t="shared" si="65"/>
        <v>3597848.6162506826</v>
      </c>
      <c r="L349" s="24" t="str">
        <f t="shared" si="61"/>
        <v/>
      </c>
      <c r="M349" s="24">
        <f t="shared" si="62"/>
        <v>0</v>
      </c>
      <c r="N349" s="24">
        <f>IF(M349&lt;=0,0,IF($E$2-A349&lt;12,(M349-E349)*Dashboard!$B$18,IF($Q$2+A349&gt;=$R$2,MAX(0,M349-E349*POWER(1+$C$2,$E$2-A349))*MAX(Dashboard!$C$18,Dashboard!$B$18),IF($S$2&lt;$R$2,(M349-E349)*0.5*Dashboard!$B$18,(E349*POWER(1+$A$2,$R$2-($Q$2+A349))-E349)*0.5*Dashboard!$B$18+MAX(0,M349-E349*POWER(1+$A$2,$R$2-($Q$2+A349))*POWER(1+$C$2,$S$2-$R$2))*MAX(Dashboard!$C$18,Dashboard!$B$18)))))</f>
        <v>0</v>
      </c>
    </row>
    <row r="350" spans="1:14" x14ac:dyDescent="0.2">
      <c r="A350" s="22">
        <f t="shared" si="63"/>
        <v>345</v>
      </c>
      <c r="B350" s="23">
        <f t="shared" si="64"/>
        <v>46.804794520548164</v>
      </c>
      <c r="C350" t="str">
        <f t="shared" si="55"/>
        <v>46 y 9.66 m</v>
      </c>
      <c r="D350" s="24">
        <f>IF(A350&gt;=$E$2,IF(A350&lt;$E$2+$H$2,$P$2,0),IF(B350&lt;Dashboard!$I$6,0,IF(A350&gt;=$F$2,Dashboard!$C$23*POWER(1+$C$2,A350-$F$2),Dashboard!$C$23)))</f>
        <v>5092.3674515238745</v>
      </c>
      <c r="E350" s="24">
        <f>IF(A350&gt;=$F$2,0,IF(A350=0,Dashboard!$G$10,IF(B350&lt;Dashboard!$I$6,IF($J$2&lt;=Dashboard!$H$10,Dashboard!$H$10,MAX(Dashboard!$H$10,MIN($J$2,Dashboard!$H$10*POWER($J$2/Dashboard!$H$10,A350/$D$2)))),$I$2-D350-Dashboard!$I$10-Dashboard!$J$10-Dashboard!$F$10*$I$2)))</f>
        <v>1789.4325484761255</v>
      </c>
      <c r="F350" s="24">
        <f t="shared" si="56"/>
        <v>0</v>
      </c>
      <c r="G350" s="24">
        <f t="shared" si="57"/>
        <v>0</v>
      </c>
      <c r="H350" s="24">
        <f t="shared" si="58"/>
        <v>0</v>
      </c>
      <c r="I350" s="24">
        <f t="shared" si="59"/>
        <v>1789.4325484761255</v>
      </c>
      <c r="J350" s="25">
        <f t="shared" si="60"/>
        <v>7.9741404289037643E-3</v>
      </c>
      <c r="K350" s="24">
        <f t="shared" si="65"/>
        <v>3628342.068093508</v>
      </c>
      <c r="L350" s="24" t="str">
        <f t="shared" si="61"/>
        <v/>
      </c>
      <c r="M350" s="24">
        <f t="shared" si="62"/>
        <v>0</v>
      </c>
      <c r="N350" s="24">
        <f>IF(M350&lt;=0,0,IF($E$2-A350&lt;12,(M350-E350)*Dashboard!$B$18,IF($Q$2+A350&gt;=$R$2,MAX(0,M350-E350*POWER(1+$C$2,$E$2-A350))*MAX(Dashboard!$C$18,Dashboard!$B$18),IF($S$2&lt;$R$2,(M350-E350)*0.5*Dashboard!$B$18,(E350*POWER(1+$A$2,$R$2-($Q$2+A350))-E350)*0.5*Dashboard!$B$18+MAX(0,M350-E350*POWER(1+$A$2,$R$2-($Q$2+A350))*POWER(1+$C$2,$S$2-$R$2))*MAX(Dashboard!$C$18,Dashboard!$B$18)))))</f>
        <v>0</v>
      </c>
    </row>
    <row r="351" spans="1:14" x14ac:dyDescent="0.2">
      <c r="A351" s="22">
        <f t="shared" si="63"/>
        <v>346</v>
      </c>
      <c r="B351" s="23">
        <f t="shared" si="64"/>
        <v>46.8881278538815</v>
      </c>
      <c r="C351" t="str">
        <f t="shared" si="55"/>
        <v>46 y 10.66 m</v>
      </c>
      <c r="D351" s="24">
        <f>IF(A351&gt;=$E$2,IF(A351&lt;$E$2+$H$2,$P$2,0),IF(B351&lt;Dashboard!$I$6,0,IF(A351&gt;=$F$2,Dashboard!$C$23*POWER(1+$C$2,A351-$F$2),Dashboard!$C$23)))</f>
        <v>5092.3674515238745</v>
      </c>
      <c r="E351" s="24">
        <f>IF(A351&gt;=$F$2,0,IF(A351=0,Dashboard!$G$10,IF(B351&lt;Dashboard!$I$6,IF($J$2&lt;=Dashboard!$H$10,Dashboard!$H$10,MAX(Dashboard!$H$10,MIN($J$2,Dashboard!$H$10*POWER($J$2/Dashboard!$H$10,A351/$D$2)))),$I$2-D351-Dashboard!$I$10-Dashboard!$J$10-Dashboard!$F$10*$I$2)))</f>
        <v>1789.4325484761255</v>
      </c>
      <c r="F351" s="24">
        <f t="shared" si="56"/>
        <v>0</v>
      </c>
      <c r="G351" s="24">
        <f t="shared" si="57"/>
        <v>0</v>
      </c>
      <c r="H351" s="24">
        <f t="shared" si="58"/>
        <v>0</v>
      </c>
      <c r="I351" s="24">
        <f t="shared" si="59"/>
        <v>1789.4325484761255</v>
      </c>
      <c r="J351" s="25">
        <f t="shared" si="60"/>
        <v>7.9741404289037643E-3</v>
      </c>
      <c r="K351" s="24">
        <f t="shared" si="65"/>
        <v>3659078.6790034901</v>
      </c>
      <c r="L351" s="24" t="str">
        <f t="shared" si="61"/>
        <v/>
      </c>
      <c r="M351" s="24">
        <f t="shared" si="62"/>
        <v>0</v>
      </c>
      <c r="N351" s="24">
        <f>IF(M351&lt;=0,0,IF($E$2-A351&lt;12,(M351-E351)*Dashboard!$B$18,IF($Q$2+A351&gt;=$R$2,MAX(0,M351-E351*POWER(1+$C$2,$E$2-A351))*MAX(Dashboard!$C$18,Dashboard!$B$18),IF($S$2&lt;$R$2,(M351-E351)*0.5*Dashboard!$B$18,(E351*POWER(1+$A$2,$R$2-($Q$2+A351))-E351)*0.5*Dashboard!$B$18+MAX(0,M351-E351*POWER(1+$A$2,$R$2-($Q$2+A351))*POWER(1+$C$2,$S$2-$R$2))*MAX(Dashboard!$C$18,Dashboard!$B$18)))))</f>
        <v>0</v>
      </c>
    </row>
    <row r="352" spans="1:14" x14ac:dyDescent="0.2">
      <c r="A352" s="22">
        <f t="shared" si="63"/>
        <v>347</v>
      </c>
      <c r="B352" s="23">
        <f t="shared" si="64"/>
        <v>46.971461187214835</v>
      </c>
      <c r="C352" t="str">
        <f t="shared" si="55"/>
        <v>46 y 11.66 m</v>
      </c>
      <c r="D352" s="24">
        <f>IF(A352&gt;=$E$2,IF(A352&lt;$E$2+$H$2,$P$2,0),IF(B352&lt;Dashboard!$I$6,0,IF(A352&gt;=$F$2,Dashboard!$C$23*POWER(1+$C$2,A352-$F$2),Dashboard!$C$23)))</f>
        <v>5092.3674515238745</v>
      </c>
      <c r="E352" s="24">
        <f>IF(A352&gt;=$F$2,0,IF(A352=0,Dashboard!$G$10,IF(B352&lt;Dashboard!$I$6,IF($J$2&lt;=Dashboard!$H$10,Dashboard!$H$10,MAX(Dashboard!$H$10,MIN($J$2,Dashboard!$H$10*POWER($J$2/Dashboard!$H$10,A352/$D$2)))),$I$2-D352-Dashboard!$I$10-Dashboard!$J$10-Dashboard!$F$10*$I$2)))</f>
        <v>1789.4325484761255</v>
      </c>
      <c r="F352" s="24">
        <f t="shared" si="56"/>
        <v>0</v>
      </c>
      <c r="G352" s="24">
        <f t="shared" si="57"/>
        <v>0</v>
      </c>
      <c r="H352" s="24">
        <f t="shared" si="58"/>
        <v>0</v>
      </c>
      <c r="I352" s="24">
        <f t="shared" si="59"/>
        <v>1789.4325484761255</v>
      </c>
      <c r="J352" s="25">
        <f t="shared" si="60"/>
        <v>7.9741404289037643E-3</v>
      </c>
      <c r="K352" s="24">
        <f t="shared" si="65"/>
        <v>3690060.3879651772</v>
      </c>
      <c r="L352" s="24" t="str">
        <f t="shared" si="61"/>
        <v/>
      </c>
      <c r="M352" s="24">
        <f t="shared" si="62"/>
        <v>0</v>
      </c>
      <c r="N352" s="24">
        <f>IF(M352&lt;=0,0,IF($E$2-A352&lt;12,(M352-E352)*Dashboard!$B$18,IF($Q$2+A352&gt;=$R$2,MAX(0,M352-E352*POWER(1+$C$2,$E$2-A352))*MAX(Dashboard!$C$18,Dashboard!$B$18),IF($S$2&lt;$R$2,(M352-E352)*0.5*Dashboard!$B$18,(E352*POWER(1+$A$2,$R$2-($Q$2+A352))-E352)*0.5*Dashboard!$B$18+MAX(0,M352-E352*POWER(1+$A$2,$R$2-($Q$2+A352))*POWER(1+$C$2,$S$2-$R$2))*MAX(Dashboard!$C$18,Dashboard!$B$18)))))</f>
        <v>0</v>
      </c>
    </row>
    <row r="353" spans="1:14" x14ac:dyDescent="0.2">
      <c r="A353" s="22">
        <f t="shared" si="63"/>
        <v>348</v>
      </c>
      <c r="B353" s="23">
        <f t="shared" si="64"/>
        <v>47.054794520548171</v>
      </c>
      <c r="C353" t="str">
        <f t="shared" si="55"/>
        <v>47 y 0.66 m</v>
      </c>
      <c r="D353" s="24">
        <f>IF(A353&gt;=$E$2,IF(A353&lt;$E$2+$H$2,$P$2,0),IF(B353&lt;Dashboard!$I$6,0,IF(A353&gt;=$F$2,Dashboard!$C$23*POWER(1+$C$2,A353-$F$2),Dashboard!$C$23)))</f>
        <v>5092.3674515238745</v>
      </c>
      <c r="E353" s="24">
        <f>IF(A353&gt;=$F$2,0,IF(A353=0,Dashboard!$G$10,IF(B353&lt;Dashboard!$I$6,IF($J$2&lt;=Dashboard!$H$10,Dashboard!$H$10,MAX(Dashboard!$H$10,MIN($J$2,Dashboard!$H$10*POWER($J$2/Dashboard!$H$10,A353/$D$2)))),$I$2-D353-Dashboard!$I$10-Dashboard!$J$10-Dashboard!$F$10*$I$2)))</f>
        <v>1789.4325484761255</v>
      </c>
      <c r="F353" s="24">
        <f t="shared" si="56"/>
        <v>0</v>
      </c>
      <c r="G353" s="24">
        <f t="shared" si="57"/>
        <v>0</v>
      </c>
      <c r="H353" s="24">
        <f t="shared" si="58"/>
        <v>0</v>
      </c>
      <c r="I353" s="24">
        <f t="shared" si="59"/>
        <v>1789.4325484761255</v>
      </c>
      <c r="J353" s="25">
        <f t="shared" si="60"/>
        <v>7.9741404289037643E-3</v>
      </c>
      <c r="K353" s="24">
        <f t="shared" si="65"/>
        <v>3721289.1494248523</v>
      </c>
      <c r="L353" s="24" t="str">
        <f t="shared" si="61"/>
        <v/>
      </c>
      <c r="M353" s="24">
        <f t="shared" si="62"/>
        <v>0</v>
      </c>
      <c r="N353" s="24">
        <f>IF(M353&lt;=0,0,IF($E$2-A353&lt;12,(M353-E353)*Dashboard!$B$18,IF($Q$2+A353&gt;=$R$2,MAX(0,M353-E353*POWER(1+$C$2,$E$2-A353))*MAX(Dashboard!$C$18,Dashboard!$B$18),IF($S$2&lt;$R$2,(M353-E353)*0.5*Dashboard!$B$18,(E353*POWER(1+$A$2,$R$2-($Q$2+A353))-E353)*0.5*Dashboard!$B$18+MAX(0,M353-E353*POWER(1+$A$2,$R$2-($Q$2+A353))*POWER(1+$C$2,$S$2-$R$2))*MAX(Dashboard!$C$18,Dashboard!$B$18)))))</f>
        <v>0</v>
      </c>
    </row>
    <row r="354" spans="1:14" x14ac:dyDescent="0.2">
      <c r="A354" s="22">
        <f t="shared" si="63"/>
        <v>349</v>
      </c>
      <c r="B354" s="23">
        <f t="shared" si="64"/>
        <v>47.138127853881507</v>
      </c>
      <c r="C354" t="str">
        <f t="shared" si="55"/>
        <v>47 y 1.66 m</v>
      </c>
      <c r="D354" s="24">
        <f>IF(A354&gt;=$E$2,IF(A354&lt;$E$2+$H$2,$P$2,0),IF(B354&lt;Dashboard!$I$6,0,IF(A354&gt;=$F$2,Dashboard!$C$23*POWER(1+$C$2,A354-$F$2),Dashboard!$C$23)))</f>
        <v>5092.3674515238745</v>
      </c>
      <c r="E354" s="24">
        <f>IF(A354&gt;=$F$2,0,IF(A354=0,Dashboard!$G$10,IF(B354&lt;Dashboard!$I$6,IF($J$2&lt;=Dashboard!$H$10,Dashboard!$H$10,MAX(Dashboard!$H$10,MIN($J$2,Dashboard!$H$10*POWER($J$2/Dashboard!$H$10,A354/$D$2)))),$I$2-D354-Dashboard!$I$10-Dashboard!$J$10-Dashboard!$F$10*$I$2)))</f>
        <v>1789.4325484761255</v>
      </c>
      <c r="F354" s="24">
        <f t="shared" si="56"/>
        <v>0</v>
      </c>
      <c r="G354" s="24">
        <f t="shared" si="57"/>
        <v>0</v>
      </c>
      <c r="H354" s="24">
        <f t="shared" si="58"/>
        <v>0</v>
      </c>
      <c r="I354" s="24">
        <f t="shared" si="59"/>
        <v>1789.4325484761255</v>
      </c>
      <c r="J354" s="25">
        <f t="shared" si="60"/>
        <v>7.9741404289037643E-3</v>
      </c>
      <c r="K354" s="24">
        <f t="shared" si="65"/>
        <v>3752766.9334138273</v>
      </c>
      <c r="L354" s="24" t="str">
        <f t="shared" si="61"/>
        <v/>
      </c>
      <c r="M354" s="24">
        <f t="shared" si="62"/>
        <v>0</v>
      </c>
      <c r="N354" s="24">
        <f>IF(M354&lt;=0,0,IF($E$2-A354&lt;12,(M354-E354)*Dashboard!$B$18,IF($Q$2+A354&gt;=$R$2,MAX(0,M354-E354*POWER(1+$C$2,$E$2-A354))*MAX(Dashboard!$C$18,Dashboard!$B$18),IF($S$2&lt;$R$2,(M354-E354)*0.5*Dashboard!$B$18,(E354*POWER(1+$A$2,$R$2-($Q$2+A354))-E354)*0.5*Dashboard!$B$18+MAX(0,M354-E354*POWER(1+$A$2,$R$2-($Q$2+A354))*POWER(1+$C$2,$S$2-$R$2))*MAX(Dashboard!$C$18,Dashboard!$B$18)))))</f>
        <v>0</v>
      </c>
    </row>
    <row r="355" spans="1:14" x14ac:dyDescent="0.2">
      <c r="A355" s="22">
        <f t="shared" si="63"/>
        <v>350</v>
      </c>
      <c r="B355" s="23">
        <f t="shared" si="64"/>
        <v>47.221461187214842</v>
      </c>
      <c r="C355" t="str">
        <f t="shared" si="55"/>
        <v>47 y 2.66 m</v>
      </c>
      <c r="D355" s="24">
        <f>IF(A355&gt;=$E$2,IF(A355&lt;$E$2+$H$2,$P$2,0),IF(B355&lt;Dashboard!$I$6,0,IF(A355&gt;=$F$2,Dashboard!$C$23*POWER(1+$C$2,A355-$F$2),Dashboard!$C$23)))</f>
        <v>5092.3674515238745</v>
      </c>
      <c r="E355" s="24">
        <f>IF(A355&gt;=$F$2,0,IF(A355=0,Dashboard!$G$10,IF(B355&lt;Dashboard!$I$6,IF($J$2&lt;=Dashboard!$H$10,Dashboard!$H$10,MAX(Dashboard!$H$10,MIN($J$2,Dashboard!$H$10*POWER($J$2/Dashboard!$H$10,A355/$D$2)))),$I$2-D355-Dashboard!$I$10-Dashboard!$J$10-Dashboard!$F$10*$I$2)))</f>
        <v>1789.4325484761255</v>
      </c>
      <c r="F355" s="24">
        <f t="shared" si="56"/>
        <v>0</v>
      </c>
      <c r="G355" s="24">
        <f t="shared" si="57"/>
        <v>0</v>
      </c>
      <c r="H355" s="24">
        <f t="shared" si="58"/>
        <v>0</v>
      </c>
      <c r="I355" s="24">
        <f t="shared" si="59"/>
        <v>1789.4325484761255</v>
      </c>
      <c r="J355" s="25">
        <f t="shared" si="60"/>
        <v>7.9741404289037643E-3</v>
      </c>
      <c r="K355" s="24">
        <f t="shared" si="65"/>
        <v>3784495.7256727214</v>
      </c>
      <c r="L355" s="24" t="str">
        <f t="shared" si="61"/>
        <v/>
      </c>
      <c r="M355" s="24">
        <f t="shared" si="62"/>
        <v>0</v>
      </c>
      <c r="N355" s="24">
        <f>IF(M355&lt;=0,0,IF($E$2-A355&lt;12,(M355-E355)*Dashboard!$B$18,IF($Q$2+A355&gt;=$R$2,MAX(0,M355-E355*POWER(1+$C$2,$E$2-A355))*MAX(Dashboard!$C$18,Dashboard!$B$18),IF($S$2&lt;$R$2,(M355-E355)*0.5*Dashboard!$B$18,(E355*POWER(1+$A$2,$R$2-($Q$2+A355))-E355)*0.5*Dashboard!$B$18+MAX(0,M355-E355*POWER(1+$A$2,$R$2-($Q$2+A355))*POWER(1+$C$2,$S$2-$R$2))*MAX(Dashboard!$C$18,Dashboard!$B$18)))))</f>
        <v>0</v>
      </c>
    </row>
    <row r="356" spans="1:14" x14ac:dyDescent="0.2">
      <c r="A356" s="22">
        <f t="shared" si="63"/>
        <v>351</v>
      </c>
      <c r="B356" s="23">
        <f t="shared" si="64"/>
        <v>47.304794520548178</v>
      </c>
      <c r="C356" t="str">
        <f t="shared" si="55"/>
        <v>47 y 3.66 m</v>
      </c>
      <c r="D356" s="24">
        <f>IF(A356&gt;=$E$2,IF(A356&lt;$E$2+$H$2,$P$2,0),IF(B356&lt;Dashboard!$I$6,0,IF(A356&gt;=$F$2,Dashboard!$C$23*POWER(1+$C$2,A356-$F$2),Dashboard!$C$23)))</f>
        <v>5092.3674515238745</v>
      </c>
      <c r="E356" s="24">
        <f>IF(A356&gt;=$F$2,0,IF(A356=0,Dashboard!$G$10,IF(B356&lt;Dashboard!$I$6,IF($J$2&lt;=Dashboard!$H$10,Dashboard!$H$10,MAX(Dashboard!$H$10,MIN($J$2,Dashboard!$H$10*POWER($J$2/Dashboard!$H$10,A356/$D$2)))),$I$2-D356-Dashboard!$I$10-Dashboard!$J$10-Dashboard!$F$10*$I$2)))</f>
        <v>1789.4325484761255</v>
      </c>
      <c r="F356" s="24">
        <f t="shared" si="56"/>
        <v>0</v>
      </c>
      <c r="G356" s="24">
        <f t="shared" si="57"/>
        <v>0</v>
      </c>
      <c r="H356" s="24">
        <f t="shared" si="58"/>
        <v>0</v>
      </c>
      <c r="I356" s="24">
        <f t="shared" si="59"/>
        <v>1789.4325484761255</v>
      </c>
      <c r="J356" s="25">
        <f t="shared" si="60"/>
        <v>7.9741404289037643E-3</v>
      </c>
      <c r="K356" s="24">
        <f t="shared" si="65"/>
        <v>3816477.5277767275</v>
      </c>
      <c r="L356" s="24" t="str">
        <f t="shared" si="61"/>
        <v/>
      </c>
      <c r="M356" s="24">
        <f t="shared" si="62"/>
        <v>0</v>
      </c>
      <c r="N356" s="24">
        <f>IF(M356&lt;=0,0,IF($E$2-A356&lt;12,(M356-E356)*Dashboard!$B$18,IF($Q$2+A356&gt;=$R$2,MAX(0,M356-E356*POWER(1+$C$2,$E$2-A356))*MAX(Dashboard!$C$18,Dashboard!$B$18),IF($S$2&lt;$R$2,(M356-E356)*0.5*Dashboard!$B$18,(E356*POWER(1+$A$2,$R$2-($Q$2+A356))-E356)*0.5*Dashboard!$B$18+MAX(0,M356-E356*POWER(1+$A$2,$R$2-($Q$2+A356))*POWER(1+$C$2,$S$2-$R$2))*MAX(Dashboard!$C$18,Dashboard!$B$18)))))</f>
        <v>0</v>
      </c>
    </row>
    <row r="357" spans="1:14" x14ac:dyDescent="0.2">
      <c r="A357" s="22">
        <f t="shared" si="63"/>
        <v>352</v>
      </c>
      <c r="B357" s="23">
        <f t="shared" si="64"/>
        <v>47.388127853881514</v>
      </c>
      <c r="C357" t="str">
        <f t="shared" si="55"/>
        <v>47 y 4.66 m</v>
      </c>
      <c r="D357" s="24">
        <f>IF(A357&gt;=$E$2,IF(A357&lt;$E$2+$H$2,$P$2,0),IF(B357&lt;Dashboard!$I$6,0,IF(A357&gt;=$F$2,Dashboard!$C$23*POWER(1+$C$2,A357-$F$2),Dashboard!$C$23)))</f>
        <v>5092.3674515238745</v>
      </c>
      <c r="E357" s="24">
        <f>IF(A357&gt;=$F$2,0,IF(A357=0,Dashboard!$G$10,IF(B357&lt;Dashboard!$I$6,IF($J$2&lt;=Dashboard!$H$10,Dashboard!$H$10,MAX(Dashboard!$H$10,MIN($J$2,Dashboard!$H$10*POWER($J$2/Dashboard!$H$10,A357/$D$2)))),$I$2-D357-Dashboard!$I$10-Dashboard!$J$10-Dashboard!$F$10*$I$2)))</f>
        <v>1789.4325484761255</v>
      </c>
      <c r="F357" s="24">
        <f t="shared" si="56"/>
        <v>0</v>
      </c>
      <c r="G357" s="24">
        <f t="shared" si="57"/>
        <v>0</v>
      </c>
      <c r="H357" s="24">
        <f t="shared" si="58"/>
        <v>0</v>
      </c>
      <c r="I357" s="24">
        <f t="shared" si="59"/>
        <v>1789.4325484761255</v>
      </c>
      <c r="J357" s="25">
        <f t="shared" si="60"/>
        <v>7.9741404289037643E-3</v>
      </c>
      <c r="K357" s="24">
        <f t="shared" si="65"/>
        <v>3848714.3572618798</v>
      </c>
      <c r="L357" s="24" t="str">
        <f t="shared" si="61"/>
        <v/>
      </c>
      <c r="M357" s="24">
        <f t="shared" si="62"/>
        <v>0</v>
      </c>
      <c r="N357" s="24">
        <f>IF(M357&lt;=0,0,IF($E$2-A357&lt;12,(M357-E357)*Dashboard!$B$18,IF($Q$2+A357&gt;=$R$2,MAX(0,M357-E357*POWER(1+$C$2,$E$2-A357))*MAX(Dashboard!$C$18,Dashboard!$B$18),IF($S$2&lt;$R$2,(M357-E357)*0.5*Dashboard!$B$18,(E357*POWER(1+$A$2,$R$2-($Q$2+A357))-E357)*0.5*Dashboard!$B$18+MAX(0,M357-E357*POWER(1+$A$2,$R$2-($Q$2+A357))*POWER(1+$C$2,$S$2-$R$2))*MAX(Dashboard!$C$18,Dashboard!$B$18)))))</f>
        <v>0</v>
      </c>
    </row>
    <row r="358" spans="1:14" x14ac:dyDescent="0.2">
      <c r="A358" s="22">
        <f t="shared" si="63"/>
        <v>353</v>
      </c>
      <c r="B358" s="23">
        <f t="shared" si="64"/>
        <v>47.47146118721485</v>
      </c>
      <c r="C358" t="str">
        <f t="shared" si="55"/>
        <v>47 y 5.66 m</v>
      </c>
      <c r="D358" s="24">
        <f>IF(A358&gt;=$E$2,IF(A358&lt;$E$2+$H$2,$P$2,0),IF(B358&lt;Dashboard!$I$6,0,IF(A358&gt;=$F$2,Dashboard!$C$23*POWER(1+$C$2,A358-$F$2),Dashboard!$C$23)))</f>
        <v>5092.3674515238745</v>
      </c>
      <c r="E358" s="24">
        <f>IF(A358&gt;=$F$2,0,IF(A358=0,Dashboard!$G$10,IF(B358&lt;Dashboard!$I$6,IF($J$2&lt;=Dashboard!$H$10,Dashboard!$H$10,MAX(Dashboard!$H$10,MIN($J$2,Dashboard!$H$10*POWER($J$2/Dashboard!$H$10,A358/$D$2)))),$I$2-D358-Dashboard!$I$10-Dashboard!$J$10-Dashboard!$F$10*$I$2)))</f>
        <v>1789.4325484761255</v>
      </c>
      <c r="F358" s="24">
        <f t="shared" si="56"/>
        <v>0</v>
      </c>
      <c r="G358" s="24">
        <f t="shared" si="57"/>
        <v>0</v>
      </c>
      <c r="H358" s="24">
        <f t="shared" si="58"/>
        <v>0</v>
      </c>
      <c r="I358" s="24">
        <f t="shared" si="59"/>
        <v>1789.4325484761255</v>
      </c>
      <c r="J358" s="25">
        <f t="shared" si="60"/>
        <v>7.9741404289037643E-3</v>
      </c>
      <c r="K358" s="24">
        <f t="shared" si="65"/>
        <v>3881208.2477523298</v>
      </c>
      <c r="L358" s="24" t="str">
        <f t="shared" si="61"/>
        <v/>
      </c>
      <c r="M358" s="24">
        <f t="shared" si="62"/>
        <v>0</v>
      </c>
      <c r="N358" s="24">
        <f>IF(M358&lt;=0,0,IF($E$2-A358&lt;12,(M358-E358)*Dashboard!$B$18,IF($Q$2+A358&gt;=$R$2,MAX(0,M358-E358*POWER(1+$C$2,$E$2-A358))*MAX(Dashboard!$C$18,Dashboard!$B$18),IF($S$2&lt;$R$2,(M358-E358)*0.5*Dashboard!$B$18,(E358*POWER(1+$A$2,$R$2-($Q$2+A358))-E358)*0.5*Dashboard!$B$18+MAX(0,M358-E358*POWER(1+$A$2,$R$2-($Q$2+A358))*POWER(1+$C$2,$S$2-$R$2))*MAX(Dashboard!$C$18,Dashboard!$B$18)))))</f>
        <v>0</v>
      </c>
    </row>
    <row r="359" spans="1:14" x14ac:dyDescent="0.2">
      <c r="A359" s="22">
        <f t="shared" si="63"/>
        <v>354</v>
      </c>
      <c r="B359" s="23">
        <f t="shared" si="64"/>
        <v>47.554794520548185</v>
      </c>
      <c r="C359" t="str">
        <f t="shared" si="55"/>
        <v>47 y 6.66 m</v>
      </c>
      <c r="D359" s="24">
        <f>IF(A359&gt;=$E$2,IF(A359&lt;$E$2+$H$2,$P$2,0),IF(B359&lt;Dashboard!$I$6,0,IF(A359&gt;=$F$2,Dashboard!$C$23*POWER(1+$C$2,A359-$F$2),Dashboard!$C$23)))</f>
        <v>5092.3674515238745</v>
      </c>
      <c r="E359" s="24">
        <f>IF(A359&gt;=$F$2,0,IF(A359=0,Dashboard!$G$10,IF(B359&lt;Dashboard!$I$6,IF($J$2&lt;=Dashboard!$H$10,Dashboard!$H$10,MAX(Dashboard!$H$10,MIN($J$2,Dashboard!$H$10*POWER($J$2/Dashboard!$H$10,A359/$D$2)))),$I$2-D359-Dashboard!$I$10-Dashboard!$J$10-Dashboard!$F$10*$I$2)))</f>
        <v>1789.4325484761255</v>
      </c>
      <c r="F359" s="24">
        <f t="shared" si="56"/>
        <v>0</v>
      </c>
      <c r="G359" s="24">
        <f t="shared" si="57"/>
        <v>0</v>
      </c>
      <c r="H359" s="24">
        <f t="shared" si="58"/>
        <v>0</v>
      </c>
      <c r="I359" s="24">
        <f t="shared" si="59"/>
        <v>1789.4325484761255</v>
      </c>
      <c r="J359" s="25">
        <f t="shared" si="60"/>
        <v>7.9741404289037643E-3</v>
      </c>
      <c r="K359" s="24">
        <f t="shared" si="65"/>
        <v>3913961.2490886319</v>
      </c>
      <c r="L359" s="24" t="str">
        <f t="shared" si="61"/>
        <v/>
      </c>
      <c r="M359" s="24">
        <f t="shared" si="62"/>
        <v>0</v>
      </c>
      <c r="N359" s="24">
        <f>IF(M359&lt;=0,0,IF($E$2-A359&lt;12,(M359-E359)*Dashboard!$B$18,IF($Q$2+A359&gt;=$R$2,MAX(0,M359-E359*POWER(1+$C$2,$E$2-A359))*MAX(Dashboard!$C$18,Dashboard!$B$18),IF($S$2&lt;$R$2,(M359-E359)*0.5*Dashboard!$B$18,(E359*POWER(1+$A$2,$R$2-($Q$2+A359))-E359)*0.5*Dashboard!$B$18+MAX(0,M359-E359*POWER(1+$A$2,$R$2-($Q$2+A359))*POWER(1+$C$2,$S$2-$R$2))*MAX(Dashboard!$C$18,Dashboard!$B$18)))))</f>
        <v>0</v>
      </c>
    </row>
    <row r="360" spans="1:14" x14ac:dyDescent="0.2">
      <c r="A360" s="22">
        <f t="shared" si="63"/>
        <v>355</v>
      </c>
      <c r="B360" s="23">
        <f t="shared" si="64"/>
        <v>47.638127853881521</v>
      </c>
      <c r="C360" t="str">
        <f t="shared" si="55"/>
        <v>47 y 7.66 m</v>
      </c>
      <c r="D360" s="24">
        <f>IF(A360&gt;=$E$2,IF(A360&lt;$E$2+$H$2,$P$2,0),IF(B360&lt;Dashboard!$I$6,0,IF(A360&gt;=$F$2,Dashboard!$C$23*POWER(1+$C$2,A360-$F$2),Dashboard!$C$23)))</f>
        <v>5092.3674515238745</v>
      </c>
      <c r="E360" s="24">
        <f>IF(A360&gt;=$F$2,0,IF(A360=0,Dashboard!$G$10,IF(B360&lt;Dashboard!$I$6,IF($J$2&lt;=Dashboard!$H$10,Dashboard!$H$10,MAX(Dashboard!$H$10,MIN($J$2,Dashboard!$H$10*POWER($J$2/Dashboard!$H$10,A360/$D$2)))),$I$2-D360-Dashboard!$I$10-Dashboard!$J$10-Dashboard!$F$10*$I$2)))</f>
        <v>1789.4325484761255</v>
      </c>
      <c r="F360" s="24">
        <f t="shared" si="56"/>
        <v>0</v>
      </c>
      <c r="G360" s="24">
        <f t="shared" si="57"/>
        <v>0</v>
      </c>
      <c r="H360" s="24">
        <f t="shared" si="58"/>
        <v>0</v>
      </c>
      <c r="I360" s="24">
        <f t="shared" si="59"/>
        <v>1789.4325484761255</v>
      </c>
      <c r="J360" s="25">
        <f t="shared" si="60"/>
        <v>7.9741404289037643E-3</v>
      </c>
      <c r="K360" s="24">
        <f t="shared" si="65"/>
        <v>3946975.4274570579</v>
      </c>
      <c r="L360" s="24" t="str">
        <f t="shared" si="61"/>
        <v/>
      </c>
      <c r="M360" s="24">
        <f t="shared" si="62"/>
        <v>0</v>
      </c>
      <c r="N360" s="24">
        <f>IF(M360&lt;=0,0,IF($E$2-A360&lt;12,(M360-E360)*Dashboard!$B$18,IF($Q$2+A360&gt;=$R$2,MAX(0,M360-E360*POWER(1+$C$2,$E$2-A360))*MAX(Dashboard!$C$18,Dashboard!$B$18),IF($S$2&lt;$R$2,(M360-E360)*0.5*Dashboard!$B$18,(E360*POWER(1+$A$2,$R$2-($Q$2+A360))-E360)*0.5*Dashboard!$B$18+MAX(0,M360-E360*POWER(1+$A$2,$R$2-($Q$2+A360))*POWER(1+$C$2,$S$2-$R$2))*MAX(Dashboard!$C$18,Dashboard!$B$18)))))</f>
        <v>0</v>
      </c>
    </row>
    <row r="361" spans="1:14" x14ac:dyDescent="0.2">
      <c r="A361" s="22">
        <f t="shared" si="63"/>
        <v>356</v>
      </c>
      <c r="B361" s="23">
        <f t="shared" si="64"/>
        <v>47.721461187214857</v>
      </c>
      <c r="C361" t="str">
        <f t="shared" si="55"/>
        <v>47 y 8.66 m</v>
      </c>
      <c r="D361" s="24">
        <f>IF(A361&gt;=$E$2,IF(A361&lt;$E$2+$H$2,$P$2,0),IF(B361&lt;Dashboard!$I$6,0,IF(A361&gt;=$F$2,Dashboard!$C$23*POWER(1+$C$2,A361-$F$2),Dashboard!$C$23)))</f>
        <v>5092.3674515238745</v>
      </c>
      <c r="E361" s="24">
        <f>IF(A361&gt;=$F$2,0,IF(A361=0,Dashboard!$G$10,IF(B361&lt;Dashboard!$I$6,IF($J$2&lt;=Dashboard!$H$10,Dashboard!$H$10,MAX(Dashboard!$H$10,MIN($J$2,Dashboard!$H$10*POWER($J$2/Dashboard!$H$10,A361/$D$2)))),$I$2-D361-Dashboard!$I$10-Dashboard!$J$10-Dashboard!$F$10*$I$2)))</f>
        <v>1789.4325484761255</v>
      </c>
      <c r="F361" s="24">
        <f t="shared" si="56"/>
        <v>0</v>
      </c>
      <c r="G361" s="24">
        <f t="shared" si="57"/>
        <v>0</v>
      </c>
      <c r="H361" s="24">
        <f t="shared" si="58"/>
        <v>0</v>
      </c>
      <c r="I361" s="24">
        <f t="shared" si="59"/>
        <v>1789.4325484761255</v>
      </c>
      <c r="J361" s="25">
        <f t="shared" si="60"/>
        <v>7.9741404289037643E-3</v>
      </c>
      <c r="K361" s="24">
        <f t="shared" si="65"/>
        <v>3980252.8655199385</v>
      </c>
      <c r="L361" s="24" t="str">
        <f t="shared" si="61"/>
        <v/>
      </c>
      <c r="M361" s="24">
        <f t="shared" si="62"/>
        <v>0</v>
      </c>
      <c r="N361" s="24">
        <f>IF(M361&lt;=0,0,IF($E$2-A361&lt;12,(M361-E361)*Dashboard!$B$18,IF($Q$2+A361&gt;=$R$2,MAX(0,M361-E361*POWER(1+$C$2,$E$2-A361))*MAX(Dashboard!$C$18,Dashboard!$B$18),IF($S$2&lt;$R$2,(M361-E361)*0.5*Dashboard!$B$18,(E361*POWER(1+$A$2,$R$2-($Q$2+A361))-E361)*0.5*Dashboard!$B$18+MAX(0,M361-E361*POWER(1+$A$2,$R$2-($Q$2+A361))*POWER(1+$C$2,$S$2-$R$2))*MAX(Dashboard!$C$18,Dashboard!$B$18)))))</f>
        <v>0</v>
      </c>
    </row>
    <row r="362" spans="1:14" x14ac:dyDescent="0.2">
      <c r="A362" s="22">
        <f t="shared" si="63"/>
        <v>357</v>
      </c>
      <c r="B362" s="23">
        <f t="shared" si="64"/>
        <v>47.804794520548192</v>
      </c>
      <c r="C362" t="str">
        <f t="shared" si="55"/>
        <v>47 y 9.66 m</v>
      </c>
      <c r="D362" s="24">
        <f>IF(A362&gt;=$E$2,IF(A362&lt;$E$2+$H$2,$P$2,0),IF(B362&lt;Dashboard!$I$6,0,IF(A362&gt;=$F$2,Dashboard!$C$23*POWER(1+$C$2,A362-$F$2),Dashboard!$C$23)))</f>
        <v>5092.3674515238745</v>
      </c>
      <c r="E362" s="24">
        <f>IF(A362&gt;=$F$2,0,IF(A362=0,Dashboard!$G$10,IF(B362&lt;Dashboard!$I$6,IF($J$2&lt;=Dashboard!$H$10,Dashboard!$H$10,MAX(Dashboard!$H$10,MIN($J$2,Dashboard!$H$10*POWER($J$2/Dashboard!$H$10,A362/$D$2)))),$I$2-D362-Dashboard!$I$10-Dashboard!$J$10-Dashboard!$F$10*$I$2)))</f>
        <v>1789.4325484761255</v>
      </c>
      <c r="F362" s="24">
        <f t="shared" si="56"/>
        <v>0</v>
      </c>
      <c r="G362" s="24">
        <f t="shared" si="57"/>
        <v>0</v>
      </c>
      <c r="H362" s="24">
        <f t="shared" si="58"/>
        <v>0</v>
      </c>
      <c r="I362" s="24">
        <f t="shared" si="59"/>
        <v>1789.4325484761255</v>
      </c>
      <c r="J362" s="25">
        <f t="shared" si="60"/>
        <v>7.9741404289037643E-3</v>
      </c>
      <c r="K362" s="24">
        <f t="shared" si="65"/>
        <v>4013795.6625470468</v>
      </c>
      <c r="L362" s="24" t="str">
        <f t="shared" si="61"/>
        <v/>
      </c>
      <c r="M362" s="24">
        <f t="shared" si="62"/>
        <v>0</v>
      </c>
      <c r="N362" s="24">
        <f>IF(M362&lt;=0,0,IF($E$2-A362&lt;12,(M362-E362)*Dashboard!$B$18,IF($Q$2+A362&gt;=$R$2,MAX(0,M362-E362*POWER(1+$C$2,$E$2-A362))*MAX(Dashboard!$C$18,Dashboard!$B$18),IF($S$2&lt;$R$2,(M362-E362)*0.5*Dashboard!$B$18,(E362*POWER(1+$A$2,$R$2-($Q$2+A362))-E362)*0.5*Dashboard!$B$18+MAX(0,M362-E362*POWER(1+$A$2,$R$2-($Q$2+A362))*POWER(1+$C$2,$S$2-$R$2))*MAX(Dashboard!$C$18,Dashboard!$B$18)))))</f>
        <v>0</v>
      </c>
    </row>
    <row r="363" spans="1:14" x14ac:dyDescent="0.2">
      <c r="A363" s="22">
        <f t="shared" si="63"/>
        <v>358</v>
      </c>
      <c r="B363" s="23">
        <f t="shared" si="64"/>
        <v>47.888127853881528</v>
      </c>
      <c r="C363" t="str">
        <f t="shared" si="55"/>
        <v>47 y 10.66 m</v>
      </c>
      <c r="D363" s="24">
        <f>IF(A363&gt;=$E$2,IF(A363&lt;$E$2+$H$2,$P$2,0),IF(B363&lt;Dashboard!$I$6,0,IF(A363&gt;=$F$2,Dashboard!$C$23*POWER(1+$C$2,A363-$F$2),Dashboard!$C$23)))</f>
        <v>5092.3674515238745</v>
      </c>
      <c r="E363" s="24">
        <f>IF(A363&gt;=$F$2,0,IF(A363=0,Dashboard!$G$10,IF(B363&lt;Dashboard!$I$6,IF($J$2&lt;=Dashboard!$H$10,Dashboard!$H$10,MAX(Dashboard!$H$10,MIN($J$2,Dashboard!$H$10*POWER($J$2/Dashboard!$H$10,A363/$D$2)))),$I$2-D363-Dashboard!$I$10-Dashboard!$J$10-Dashboard!$F$10*$I$2)))</f>
        <v>1789.4325484761255</v>
      </c>
      <c r="F363" s="24">
        <f t="shared" si="56"/>
        <v>0</v>
      </c>
      <c r="G363" s="24">
        <f t="shared" si="57"/>
        <v>0</v>
      </c>
      <c r="H363" s="24">
        <f t="shared" si="58"/>
        <v>0</v>
      </c>
      <c r="I363" s="24">
        <f t="shared" si="59"/>
        <v>1789.4325484761255</v>
      </c>
      <c r="J363" s="25">
        <f t="shared" si="60"/>
        <v>7.9741404289037643E-3</v>
      </c>
      <c r="K363" s="24">
        <f t="shared" si="65"/>
        <v>4047605.9345480273</v>
      </c>
      <c r="L363" s="24" t="str">
        <f t="shared" si="61"/>
        <v/>
      </c>
      <c r="M363" s="24">
        <f t="shared" si="62"/>
        <v>0</v>
      </c>
      <c r="N363" s="24">
        <f>IF(M363&lt;=0,0,IF($E$2-A363&lt;12,(M363-E363)*Dashboard!$B$18,IF($Q$2+A363&gt;=$R$2,MAX(0,M363-E363*POWER(1+$C$2,$E$2-A363))*MAX(Dashboard!$C$18,Dashboard!$B$18),IF($S$2&lt;$R$2,(M363-E363)*0.5*Dashboard!$B$18,(E363*POWER(1+$A$2,$R$2-($Q$2+A363))-E363)*0.5*Dashboard!$B$18+MAX(0,M363-E363*POWER(1+$A$2,$R$2-($Q$2+A363))*POWER(1+$C$2,$S$2-$R$2))*MAX(Dashboard!$C$18,Dashboard!$B$18)))))</f>
        <v>0</v>
      </c>
    </row>
    <row r="364" spans="1:14" x14ac:dyDescent="0.2">
      <c r="A364" s="22">
        <f t="shared" si="63"/>
        <v>359</v>
      </c>
      <c r="B364" s="23">
        <f t="shared" si="64"/>
        <v>47.971461187214864</v>
      </c>
      <c r="C364" t="str">
        <f t="shared" si="55"/>
        <v>47 y 11.66 m</v>
      </c>
      <c r="D364" s="24">
        <f>IF(A364&gt;=$E$2,IF(A364&lt;$E$2+$H$2,$P$2,0),IF(B364&lt;Dashboard!$I$6,0,IF(A364&gt;=$F$2,Dashboard!$C$23*POWER(1+$C$2,A364-$F$2),Dashboard!$C$23)))</f>
        <v>5092.3674515238745</v>
      </c>
      <c r="E364" s="24">
        <f>IF(A364&gt;=$F$2,0,IF(A364=0,Dashboard!$G$10,IF(B364&lt;Dashboard!$I$6,IF($J$2&lt;=Dashboard!$H$10,Dashboard!$H$10,MAX(Dashboard!$H$10,MIN($J$2,Dashboard!$H$10*POWER($J$2/Dashboard!$H$10,A364/$D$2)))),$I$2-D364-Dashboard!$I$10-Dashboard!$J$10-Dashboard!$F$10*$I$2)))</f>
        <v>1789.4325484761255</v>
      </c>
      <c r="F364" s="24">
        <f t="shared" si="56"/>
        <v>0</v>
      </c>
      <c r="G364" s="24">
        <f t="shared" si="57"/>
        <v>0</v>
      </c>
      <c r="H364" s="24">
        <f t="shared" si="58"/>
        <v>0</v>
      </c>
      <c r="I364" s="24">
        <f t="shared" si="59"/>
        <v>1789.4325484761255</v>
      </c>
      <c r="J364" s="25">
        <f t="shared" si="60"/>
        <v>7.9741404289037643E-3</v>
      </c>
      <c r="K364" s="24">
        <f t="shared" si="65"/>
        <v>4081685.8144058832</v>
      </c>
      <c r="L364" s="24" t="str">
        <f t="shared" si="61"/>
        <v/>
      </c>
      <c r="M364" s="24">
        <f t="shared" si="62"/>
        <v>0</v>
      </c>
      <c r="N364" s="24">
        <f>IF(M364&lt;=0,0,IF($E$2-A364&lt;12,(M364-E364)*Dashboard!$B$18,IF($Q$2+A364&gt;=$R$2,MAX(0,M364-E364*POWER(1+$C$2,$E$2-A364))*MAX(Dashboard!$C$18,Dashboard!$B$18),IF($S$2&lt;$R$2,(M364-E364)*0.5*Dashboard!$B$18,(E364*POWER(1+$A$2,$R$2-($Q$2+A364))-E364)*0.5*Dashboard!$B$18+MAX(0,M364-E364*POWER(1+$A$2,$R$2-($Q$2+A364))*POWER(1+$C$2,$S$2-$R$2))*MAX(Dashboard!$C$18,Dashboard!$B$18)))))</f>
        <v>0</v>
      </c>
    </row>
    <row r="365" spans="1:14" x14ac:dyDescent="0.2">
      <c r="A365" s="22">
        <f t="shared" si="63"/>
        <v>360</v>
      </c>
      <c r="B365" s="23">
        <f t="shared" si="64"/>
        <v>48.054794520548199</v>
      </c>
      <c r="C365" t="str">
        <f t="shared" si="55"/>
        <v>48 y 0.66 m</v>
      </c>
      <c r="D365" s="24">
        <f>IF(A365&gt;=$E$2,IF(A365&lt;$E$2+$H$2,$P$2,0),IF(B365&lt;Dashboard!$I$6,0,IF(A365&gt;=$F$2,Dashboard!$C$23*POWER(1+$C$2,A365-$F$2),Dashboard!$C$23)))</f>
        <v>5092.3674515238745</v>
      </c>
      <c r="E365" s="24">
        <f>IF(A365&gt;=$F$2,0,IF(A365=0,Dashboard!$G$10,IF(B365&lt;Dashboard!$I$6,IF($J$2&lt;=Dashboard!$H$10,Dashboard!$H$10,MAX(Dashboard!$H$10,MIN($J$2,Dashboard!$H$10*POWER($J$2/Dashboard!$H$10,A365/$D$2)))),$I$2-D365-Dashboard!$I$10-Dashboard!$J$10-Dashboard!$F$10*$I$2)))</f>
        <v>1789.4325484761255</v>
      </c>
      <c r="F365" s="24">
        <f t="shared" si="56"/>
        <v>0</v>
      </c>
      <c r="G365" s="24">
        <f t="shared" si="57"/>
        <v>0</v>
      </c>
      <c r="H365" s="24">
        <f t="shared" si="58"/>
        <v>0</v>
      </c>
      <c r="I365" s="24">
        <f t="shared" si="59"/>
        <v>1789.4325484761255</v>
      </c>
      <c r="J365" s="25">
        <f t="shared" si="60"/>
        <v>7.9741404289037643E-3</v>
      </c>
      <c r="K365" s="24">
        <f t="shared" si="65"/>
        <v>4116037.4520115256</v>
      </c>
      <c r="L365" s="24" t="str">
        <f t="shared" si="61"/>
        <v/>
      </c>
      <c r="M365" s="24">
        <f t="shared" si="62"/>
        <v>0</v>
      </c>
      <c r="N365" s="24">
        <f>IF(M365&lt;=0,0,IF($E$2-A365&lt;12,(M365-E365)*Dashboard!$B$18,IF($Q$2+A365&gt;=$R$2,MAX(0,M365-E365*POWER(1+$C$2,$E$2-A365))*MAX(Dashboard!$C$18,Dashboard!$B$18),IF($S$2&lt;$R$2,(M365-E365)*0.5*Dashboard!$B$18,(E365*POWER(1+$A$2,$R$2-($Q$2+A365))-E365)*0.5*Dashboard!$B$18+MAX(0,M365-E365*POWER(1+$A$2,$R$2-($Q$2+A365))*POWER(1+$C$2,$S$2-$R$2))*MAX(Dashboard!$C$18,Dashboard!$B$18)))))</f>
        <v>0</v>
      </c>
    </row>
    <row r="366" spans="1:14" x14ac:dyDescent="0.2">
      <c r="A366" s="22">
        <f t="shared" si="63"/>
        <v>361</v>
      </c>
      <c r="B366" s="23">
        <f t="shared" si="64"/>
        <v>48.138127853881535</v>
      </c>
      <c r="C366" t="str">
        <f t="shared" si="55"/>
        <v>48 y 1.66 m</v>
      </c>
      <c r="D366" s="24">
        <f>IF(A366&gt;=$E$2,IF(A366&lt;$E$2+$H$2,$P$2,0),IF(B366&lt;Dashboard!$I$6,0,IF(A366&gt;=$F$2,Dashboard!$C$23*POWER(1+$C$2,A366-$F$2),Dashboard!$C$23)))</f>
        <v>5092.3674515238745</v>
      </c>
      <c r="E366" s="24">
        <f>IF(A366&gt;=$F$2,0,IF(A366=0,Dashboard!$G$10,IF(B366&lt;Dashboard!$I$6,IF($J$2&lt;=Dashboard!$H$10,Dashboard!$H$10,MAX(Dashboard!$H$10,MIN($J$2,Dashboard!$H$10*POWER($J$2/Dashboard!$H$10,A366/$D$2)))),$I$2-D366-Dashboard!$I$10-Dashboard!$J$10-Dashboard!$F$10*$I$2)))</f>
        <v>1789.4325484761255</v>
      </c>
      <c r="F366" s="24">
        <f t="shared" si="56"/>
        <v>0</v>
      </c>
      <c r="G366" s="24">
        <f t="shared" si="57"/>
        <v>0</v>
      </c>
      <c r="H366" s="24">
        <f t="shared" si="58"/>
        <v>0</v>
      </c>
      <c r="I366" s="24">
        <f t="shared" si="59"/>
        <v>1789.4325484761255</v>
      </c>
      <c r="J366" s="25">
        <f t="shared" si="60"/>
        <v>7.9741404289037643E-3</v>
      </c>
      <c r="K366" s="24">
        <f t="shared" si="65"/>
        <v>4150663.0143993981</v>
      </c>
      <c r="L366" s="24" t="str">
        <f t="shared" si="61"/>
        <v/>
      </c>
      <c r="M366" s="24">
        <f t="shared" si="62"/>
        <v>0</v>
      </c>
      <c r="N366" s="24">
        <f>IF(M366&lt;=0,0,IF($E$2-A366&lt;12,(M366-E366)*Dashboard!$B$18,IF($Q$2+A366&gt;=$R$2,MAX(0,M366-E366*POWER(1+$C$2,$E$2-A366))*MAX(Dashboard!$C$18,Dashboard!$B$18),IF($S$2&lt;$R$2,(M366-E366)*0.5*Dashboard!$B$18,(E366*POWER(1+$A$2,$R$2-($Q$2+A366))-E366)*0.5*Dashboard!$B$18+MAX(0,M366-E366*POWER(1+$A$2,$R$2-($Q$2+A366))*POWER(1+$C$2,$S$2-$R$2))*MAX(Dashboard!$C$18,Dashboard!$B$18)))))</f>
        <v>0</v>
      </c>
    </row>
    <row r="367" spans="1:14" x14ac:dyDescent="0.2">
      <c r="A367" s="22">
        <f t="shared" si="63"/>
        <v>362</v>
      </c>
      <c r="B367" s="23">
        <f t="shared" si="64"/>
        <v>48.221461187214871</v>
      </c>
      <c r="C367" t="str">
        <f t="shared" si="55"/>
        <v>48 y 2.66 m</v>
      </c>
      <c r="D367" s="24">
        <f>IF(A367&gt;=$E$2,IF(A367&lt;$E$2+$H$2,$P$2,0),IF(B367&lt;Dashboard!$I$6,0,IF(A367&gt;=$F$2,Dashboard!$C$23*POWER(1+$C$2,A367-$F$2),Dashboard!$C$23)))</f>
        <v>5092.3674515238745</v>
      </c>
      <c r="E367" s="24">
        <f>IF(A367&gt;=$F$2,0,IF(A367=0,Dashboard!$G$10,IF(B367&lt;Dashboard!$I$6,IF($J$2&lt;=Dashboard!$H$10,Dashboard!$H$10,MAX(Dashboard!$H$10,MIN($J$2,Dashboard!$H$10*POWER($J$2/Dashboard!$H$10,A367/$D$2)))),$I$2-D367-Dashboard!$I$10-Dashboard!$J$10-Dashboard!$F$10*$I$2)))</f>
        <v>1789.4325484761255</v>
      </c>
      <c r="F367" s="24">
        <f t="shared" si="56"/>
        <v>0</v>
      </c>
      <c r="G367" s="24">
        <f t="shared" si="57"/>
        <v>0</v>
      </c>
      <c r="H367" s="24">
        <f t="shared" si="58"/>
        <v>0</v>
      </c>
      <c r="I367" s="24">
        <f t="shared" si="59"/>
        <v>1789.4325484761255</v>
      </c>
      <c r="J367" s="25">
        <f t="shared" si="60"/>
        <v>7.9741404289037643E-3</v>
      </c>
      <c r="K367" s="24">
        <f t="shared" si="65"/>
        <v>4185564.6858841814</v>
      </c>
      <c r="L367" s="24" t="str">
        <f t="shared" si="61"/>
        <v/>
      </c>
      <c r="M367" s="24">
        <f t="shared" si="62"/>
        <v>0</v>
      </c>
      <c r="N367" s="24">
        <f>IF(M367&lt;=0,0,IF($E$2-A367&lt;12,(M367-E367)*Dashboard!$B$18,IF($Q$2+A367&gt;=$R$2,MAX(0,M367-E367*POWER(1+$C$2,$E$2-A367))*MAX(Dashboard!$C$18,Dashboard!$B$18),IF($S$2&lt;$R$2,(M367-E367)*0.5*Dashboard!$B$18,(E367*POWER(1+$A$2,$R$2-($Q$2+A367))-E367)*0.5*Dashboard!$B$18+MAX(0,M367-E367*POWER(1+$A$2,$R$2-($Q$2+A367))*POWER(1+$C$2,$S$2-$R$2))*MAX(Dashboard!$C$18,Dashboard!$B$18)))))</f>
        <v>0</v>
      </c>
    </row>
    <row r="368" spans="1:14" x14ac:dyDescent="0.2">
      <c r="A368" s="22">
        <f t="shared" si="63"/>
        <v>363</v>
      </c>
      <c r="B368" s="23">
        <f t="shared" si="64"/>
        <v>48.304794520548207</v>
      </c>
      <c r="C368" t="str">
        <f t="shared" si="55"/>
        <v>48 y 3.66 m</v>
      </c>
      <c r="D368" s="24">
        <f>IF(A368&gt;=$E$2,IF(A368&lt;$E$2+$H$2,$P$2,0),IF(B368&lt;Dashboard!$I$6,0,IF(A368&gt;=$F$2,Dashboard!$C$23*POWER(1+$C$2,A368-$F$2),Dashboard!$C$23)))</f>
        <v>5092.3674515238745</v>
      </c>
      <c r="E368" s="24">
        <f>IF(A368&gt;=$F$2,0,IF(A368=0,Dashboard!$G$10,IF(B368&lt;Dashboard!$I$6,IF($J$2&lt;=Dashboard!$H$10,Dashboard!$H$10,MAX(Dashboard!$H$10,MIN($J$2,Dashboard!$H$10*POWER($J$2/Dashboard!$H$10,A368/$D$2)))),$I$2-D368-Dashboard!$I$10-Dashboard!$J$10-Dashboard!$F$10*$I$2)))</f>
        <v>1789.4325484761255</v>
      </c>
      <c r="F368" s="24">
        <f t="shared" si="56"/>
        <v>0</v>
      </c>
      <c r="G368" s="24">
        <f t="shared" si="57"/>
        <v>0</v>
      </c>
      <c r="H368" s="24">
        <f t="shared" si="58"/>
        <v>0</v>
      </c>
      <c r="I368" s="24">
        <f t="shared" si="59"/>
        <v>1789.4325484761255</v>
      </c>
      <c r="J368" s="25">
        <f t="shared" si="60"/>
        <v>7.9741404289037643E-3</v>
      </c>
      <c r="K368" s="24">
        <f t="shared" si="65"/>
        <v>4220744.6681985883</v>
      </c>
      <c r="L368" s="24" t="str">
        <f t="shared" si="61"/>
        <v/>
      </c>
      <c r="M368" s="24">
        <f t="shared" si="62"/>
        <v>0</v>
      </c>
      <c r="N368" s="24">
        <f>IF(M368&lt;=0,0,IF($E$2-A368&lt;12,(M368-E368)*Dashboard!$B$18,IF($Q$2+A368&gt;=$R$2,MAX(0,M368-E368*POWER(1+$C$2,$E$2-A368))*MAX(Dashboard!$C$18,Dashboard!$B$18),IF($S$2&lt;$R$2,(M368-E368)*0.5*Dashboard!$B$18,(E368*POWER(1+$A$2,$R$2-($Q$2+A368))-E368)*0.5*Dashboard!$B$18+MAX(0,M368-E368*POWER(1+$A$2,$R$2-($Q$2+A368))*POWER(1+$C$2,$S$2-$R$2))*MAX(Dashboard!$C$18,Dashboard!$B$18)))))</f>
        <v>0</v>
      </c>
    </row>
    <row r="369" spans="1:14" x14ac:dyDescent="0.2">
      <c r="A369" s="22">
        <f t="shared" si="63"/>
        <v>364</v>
      </c>
      <c r="B369" s="23">
        <f t="shared" si="64"/>
        <v>48.388127853881542</v>
      </c>
      <c r="C369" t="str">
        <f t="shared" si="55"/>
        <v>48 y 4.66 m</v>
      </c>
      <c r="D369" s="24">
        <f>IF(A369&gt;=$E$2,IF(A369&lt;$E$2+$H$2,$P$2,0),IF(B369&lt;Dashboard!$I$6,0,IF(A369&gt;=$F$2,Dashboard!$C$23*POWER(1+$C$2,A369-$F$2),Dashboard!$C$23)))</f>
        <v>5092.3674515238745</v>
      </c>
      <c r="E369" s="24">
        <f>IF(A369&gt;=$F$2,0,IF(A369=0,Dashboard!$G$10,IF(B369&lt;Dashboard!$I$6,IF($J$2&lt;=Dashboard!$H$10,Dashboard!$H$10,MAX(Dashboard!$H$10,MIN($J$2,Dashboard!$H$10*POWER($J$2/Dashboard!$H$10,A369/$D$2)))),$I$2-D369-Dashboard!$I$10-Dashboard!$J$10-Dashboard!$F$10*$I$2)))</f>
        <v>1789.4325484761255</v>
      </c>
      <c r="F369" s="24">
        <f t="shared" si="56"/>
        <v>0</v>
      </c>
      <c r="G369" s="24">
        <f t="shared" si="57"/>
        <v>0</v>
      </c>
      <c r="H369" s="24">
        <f t="shared" si="58"/>
        <v>0</v>
      </c>
      <c r="I369" s="24">
        <f t="shared" si="59"/>
        <v>1789.4325484761255</v>
      </c>
      <c r="J369" s="25">
        <f t="shared" si="60"/>
        <v>7.9741404289037643E-3</v>
      </c>
      <c r="K369" s="24">
        <f t="shared" si="65"/>
        <v>4256205.1806322569</v>
      </c>
      <c r="L369" s="24" t="str">
        <f t="shared" si="61"/>
        <v/>
      </c>
      <c r="M369" s="24">
        <f t="shared" si="62"/>
        <v>0</v>
      </c>
      <c r="N369" s="24">
        <f>IF(M369&lt;=0,0,IF($E$2-A369&lt;12,(M369-E369)*Dashboard!$B$18,IF($Q$2+A369&gt;=$R$2,MAX(0,M369-E369*POWER(1+$C$2,$E$2-A369))*MAX(Dashboard!$C$18,Dashboard!$B$18),IF($S$2&lt;$R$2,(M369-E369)*0.5*Dashboard!$B$18,(E369*POWER(1+$A$2,$R$2-($Q$2+A369))-E369)*0.5*Dashboard!$B$18+MAX(0,M369-E369*POWER(1+$A$2,$R$2-($Q$2+A369))*POWER(1+$C$2,$S$2-$R$2))*MAX(Dashboard!$C$18,Dashboard!$B$18)))))</f>
        <v>0</v>
      </c>
    </row>
    <row r="370" spans="1:14" x14ac:dyDescent="0.2">
      <c r="A370" s="22">
        <f t="shared" si="63"/>
        <v>365</v>
      </c>
      <c r="B370" s="23">
        <f t="shared" si="64"/>
        <v>48.471461187214878</v>
      </c>
      <c r="C370" t="str">
        <f t="shared" si="55"/>
        <v>48 y 5.66 m</v>
      </c>
      <c r="D370" s="24">
        <f>IF(A370&gt;=$E$2,IF(A370&lt;$E$2+$H$2,$P$2,0),IF(B370&lt;Dashboard!$I$6,0,IF(A370&gt;=$F$2,Dashboard!$C$23*POWER(1+$C$2,A370-$F$2),Dashboard!$C$23)))</f>
        <v>5092.3674515238745</v>
      </c>
      <c r="E370" s="24">
        <f>IF(A370&gt;=$F$2,0,IF(A370=0,Dashboard!$G$10,IF(B370&lt;Dashboard!$I$6,IF($J$2&lt;=Dashboard!$H$10,Dashboard!$H$10,MAX(Dashboard!$H$10,MIN($J$2,Dashboard!$H$10*POWER($J$2/Dashboard!$H$10,A370/$D$2)))),$I$2-D370-Dashboard!$I$10-Dashboard!$J$10-Dashboard!$F$10*$I$2)))</f>
        <v>1789.4325484761255</v>
      </c>
      <c r="F370" s="24">
        <f t="shared" si="56"/>
        <v>0</v>
      </c>
      <c r="G370" s="24">
        <f t="shared" si="57"/>
        <v>0</v>
      </c>
      <c r="H370" s="24">
        <f t="shared" si="58"/>
        <v>0</v>
      </c>
      <c r="I370" s="24">
        <f t="shared" si="59"/>
        <v>1789.4325484761255</v>
      </c>
      <c r="J370" s="25">
        <f t="shared" si="60"/>
        <v>7.9741404289037643E-3</v>
      </c>
      <c r="K370" s="24">
        <f t="shared" si="65"/>
        <v>4291948.4601717526</v>
      </c>
      <c r="L370" s="24" t="str">
        <f t="shared" si="61"/>
        <v/>
      </c>
      <c r="M370" s="24">
        <f t="shared" si="62"/>
        <v>0</v>
      </c>
      <c r="N370" s="24">
        <f>IF(M370&lt;=0,0,IF($E$2-A370&lt;12,(M370-E370)*Dashboard!$B$18,IF($Q$2+A370&gt;=$R$2,MAX(0,M370-E370*POWER(1+$C$2,$E$2-A370))*MAX(Dashboard!$C$18,Dashboard!$B$18),IF($S$2&lt;$R$2,(M370-E370)*0.5*Dashboard!$B$18,(E370*POWER(1+$A$2,$R$2-($Q$2+A370))-E370)*0.5*Dashboard!$B$18+MAX(0,M370-E370*POWER(1+$A$2,$R$2-($Q$2+A370))*POWER(1+$C$2,$S$2-$R$2))*MAX(Dashboard!$C$18,Dashboard!$B$18)))))</f>
        <v>0</v>
      </c>
    </row>
    <row r="371" spans="1:14" x14ac:dyDescent="0.2">
      <c r="A371" s="22">
        <f t="shared" si="63"/>
        <v>366</v>
      </c>
      <c r="B371" s="23">
        <f t="shared" si="64"/>
        <v>48.554794520548214</v>
      </c>
      <c r="C371" t="str">
        <f t="shared" si="55"/>
        <v>48 y 6.66 m</v>
      </c>
      <c r="D371" s="24">
        <f>IF(A371&gt;=$E$2,IF(A371&lt;$E$2+$H$2,$P$2,0),IF(B371&lt;Dashboard!$I$6,0,IF(A371&gt;=$F$2,Dashboard!$C$23*POWER(1+$C$2,A371-$F$2),Dashboard!$C$23)))</f>
        <v>5092.3674515238745</v>
      </c>
      <c r="E371" s="24">
        <f>IF(A371&gt;=$F$2,0,IF(A371=0,Dashboard!$G$10,IF(B371&lt;Dashboard!$I$6,IF($J$2&lt;=Dashboard!$H$10,Dashboard!$H$10,MAX(Dashboard!$H$10,MIN($J$2,Dashboard!$H$10*POWER($J$2/Dashboard!$H$10,A371/$D$2)))),$I$2-D371-Dashboard!$I$10-Dashboard!$J$10-Dashboard!$F$10*$I$2)))</f>
        <v>1789.4325484761255</v>
      </c>
      <c r="F371" s="24">
        <f t="shared" si="56"/>
        <v>0</v>
      </c>
      <c r="G371" s="24">
        <f t="shared" si="57"/>
        <v>0</v>
      </c>
      <c r="H371" s="24">
        <f t="shared" si="58"/>
        <v>0</v>
      </c>
      <c r="I371" s="24">
        <f t="shared" si="59"/>
        <v>1789.4325484761255</v>
      </c>
      <c r="J371" s="25">
        <f t="shared" si="60"/>
        <v>7.9741404289037643E-3</v>
      </c>
      <c r="K371" s="24">
        <f t="shared" si="65"/>
        <v>4327976.7616416859</v>
      </c>
      <c r="L371" s="24" t="str">
        <f t="shared" si="61"/>
        <v/>
      </c>
      <c r="M371" s="24">
        <f t="shared" si="62"/>
        <v>0</v>
      </c>
      <c r="N371" s="24">
        <f>IF(M371&lt;=0,0,IF($E$2-A371&lt;12,(M371-E371)*Dashboard!$B$18,IF($Q$2+A371&gt;=$R$2,MAX(0,M371-E371*POWER(1+$C$2,$E$2-A371))*MAX(Dashboard!$C$18,Dashboard!$B$18),IF($S$2&lt;$R$2,(M371-E371)*0.5*Dashboard!$B$18,(E371*POWER(1+$A$2,$R$2-($Q$2+A371))-E371)*0.5*Dashboard!$B$18+MAX(0,M371-E371*POWER(1+$A$2,$R$2-($Q$2+A371))*POWER(1+$C$2,$S$2-$R$2))*MAX(Dashboard!$C$18,Dashboard!$B$18)))))</f>
        <v>0</v>
      </c>
    </row>
    <row r="372" spans="1:14" x14ac:dyDescent="0.2">
      <c r="A372" s="22">
        <f t="shared" si="63"/>
        <v>367</v>
      </c>
      <c r="B372" s="23">
        <f t="shared" si="64"/>
        <v>48.638127853881549</v>
      </c>
      <c r="C372" t="str">
        <f t="shared" si="55"/>
        <v>48 y 7.66 m</v>
      </c>
      <c r="D372" s="24">
        <f>IF(A372&gt;=$E$2,IF(A372&lt;$E$2+$H$2,$P$2,0),IF(B372&lt;Dashboard!$I$6,0,IF(A372&gt;=$F$2,Dashboard!$C$23*POWER(1+$C$2,A372-$F$2),Dashboard!$C$23)))</f>
        <v>5092.3674515238745</v>
      </c>
      <c r="E372" s="24">
        <f>IF(A372&gt;=$F$2,0,IF(A372=0,Dashboard!$G$10,IF(B372&lt;Dashboard!$I$6,IF($J$2&lt;=Dashboard!$H$10,Dashboard!$H$10,MAX(Dashboard!$H$10,MIN($J$2,Dashboard!$H$10*POWER($J$2/Dashboard!$H$10,A372/$D$2)))),$I$2-D372-Dashboard!$I$10-Dashboard!$J$10-Dashboard!$F$10*$I$2)))</f>
        <v>1789.4325484761255</v>
      </c>
      <c r="F372" s="24">
        <f t="shared" si="56"/>
        <v>0</v>
      </c>
      <c r="G372" s="24">
        <f t="shared" si="57"/>
        <v>0</v>
      </c>
      <c r="H372" s="24">
        <f t="shared" si="58"/>
        <v>0</v>
      </c>
      <c r="I372" s="24">
        <f t="shared" si="59"/>
        <v>1789.4325484761255</v>
      </c>
      <c r="J372" s="25">
        <f t="shared" si="60"/>
        <v>7.9741404289037643E-3</v>
      </c>
      <c r="K372" s="24">
        <f t="shared" si="65"/>
        <v>4364292.3578469548</v>
      </c>
      <c r="L372" s="24" t="str">
        <f t="shared" si="61"/>
        <v/>
      </c>
      <c r="M372" s="24">
        <f t="shared" si="62"/>
        <v>0</v>
      </c>
      <c r="N372" s="24">
        <f>IF(M372&lt;=0,0,IF($E$2-A372&lt;12,(M372-E372)*Dashboard!$B$18,IF($Q$2+A372&gt;=$R$2,MAX(0,M372-E372*POWER(1+$C$2,$E$2-A372))*MAX(Dashboard!$C$18,Dashboard!$B$18),IF($S$2&lt;$R$2,(M372-E372)*0.5*Dashboard!$B$18,(E372*POWER(1+$A$2,$R$2-($Q$2+A372))-E372)*0.5*Dashboard!$B$18+MAX(0,M372-E372*POWER(1+$A$2,$R$2-($Q$2+A372))*POWER(1+$C$2,$S$2-$R$2))*MAX(Dashboard!$C$18,Dashboard!$B$18)))))</f>
        <v>0</v>
      </c>
    </row>
    <row r="373" spans="1:14" x14ac:dyDescent="0.2">
      <c r="A373" s="22">
        <f t="shared" si="63"/>
        <v>368</v>
      </c>
      <c r="B373" s="23">
        <f t="shared" si="64"/>
        <v>48.721461187214885</v>
      </c>
      <c r="C373" t="str">
        <f t="shared" si="55"/>
        <v>48 y 8.66 m</v>
      </c>
      <c r="D373" s="24">
        <f>IF(A373&gt;=$E$2,IF(A373&lt;$E$2+$H$2,$P$2,0),IF(B373&lt;Dashboard!$I$6,0,IF(A373&gt;=$F$2,Dashboard!$C$23*POWER(1+$C$2,A373-$F$2),Dashboard!$C$23)))</f>
        <v>5092.3674515238745</v>
      </c>
      <c r="E373" s="24">
        <f>IF(A373&gt;=$F$2,0,IF(A373=0,Dashboard!$G$10,IF(B373&lt;Dashboard!$I$6,IF($J$2&lt;=Dashboard!$H$10,Dashboard!$H$10,MAX(Dashboard!$H$10,MIN($J$2,Dashboard!$H$10*POWER($J$2/Dashboard!$H$10,A373/$D$2)))),$I$2-D373-Dashboard!$I$10-Dashboard!$J$10-Dashboard!$F$10*$I$2)))</f>
        <v>1789.4325484761255</v>
      </c>
      <c r="F373" s="24">
        <f t="shared" si="56"/>
        <v>0</v>
      </c>
      <c r="G373" s="24">
        <f t="shared" si="57"/>
        <v>0</v>
      </c>
      <c r="H373" s="24">
        <f t="shared" si="58"/>
        <v>0</v>
      </c>
      <c r="I373" s="24">
        <f t="shared" si="59"/>
        <v>1789.4325484761255</v>
      </c>
      <c r="J373" s="25">
        <f t="shared" si="60"/>
        <v>7.9741404289037643E-3</v>
      </c>
      <c r="K373" s="24">
        <f t="shared" si="65"/>
        <v>4400897.5397161236</v>
      </c>
      <c r="L373" s="24" t="str">
        <f t="shared" si="61"/>
        <v/>
      </c>
      <c r="M373" s="24">
        <f t="shared" si="62"/>
        <v>0</v>
      </c>
      <c r="N373" s="24">
        <f>IF(M373&lt;=0,0,IF($E$2-A373&lt;12,(M373-E373)*Dashboard!$B$18,IF($Q$2+A373&gt;=$R$2,MAX(0,M373-E373*POWER(1+$C$2,$E$2-A373))*MAX(Dashboard!$C$18,Dashboard!$B$18),IF($S$2&lt;$R$2,(M373-E373)*0.5*Dashboard!$B$18,(E373*POWER(1+$A$2,$R$2-($Q$2+A373))-E373)*0.5*Dashboard!$B$18+MAX(0,M373-E373*POWER(1+$A$2,$R$2-($Q$2+A373))*POWER(1+$C$2,$S$2-$R$2))*MAX(Dashboard!$C$18,Dashboard!$B$18)))))</f>
        <v>0</v>
      </c>
    </row>
    <row r="374" spans="1:14" x14ac:dyDescent="0.2">
      <c r="A374" s="22">
        <f t="shared" si="63"/>
        <v>369</v>
      </c>
      <c r="B374" s="23">
        <f t="shared" si="64"/>
        <v>48.804794520548221</v>
      </c>
      <c r="C374" t="str">
        <f t="shared" si="55"/>
        <v>48 y 9.66 m</v>
      </c>
      <c r="D374" s="24">
        <f>IF(A374&gt;=$E$2,IF(A374&lt;$E$2+$H$2,$P$2,0),IF(B374&lt;Dashboard!$I$6,0,IF(A374&gt;=$F$2,Dashboard!$C$23*POWER(1+$C$2,A374-$F$2),Dashboard!$C$23)))</f>
        <v>5092.3674515238745</v>
      </c>
      <c r="E374" s="24">
        <f>IF(A374&gt;=$F$2,0,IF(A374=0,Dashboard!$G$10,IF(B374&lt;Dashboard!$I$6,IF($J$2&lt;=Dashboard!$H$10,Dashboard!$H$10,MAX(Dashboard!$H$10,MIN($J$2,Dashboard!$H$10*POWER($J$2/Dashboard!$H$10,A374/$D$2)))),$I$2-D374-Dashboard!$I$10-Dashboard!$J$10-Dashboard!$F$10*$I$2)))</f>
        <v>1789.4325484761255</v>
      </c>
      <c r="F374" s="24">
        <f t="shared" si="56"/>
        <v>0</v>
      </c>
      <c r="G374" s="24">
        <f t="shared" si="57"/>
        <v>0</v>
      </c>
      <c r="H374" s="24">
        <f t="shared" si="58"/>
        <v>0</v>
      </c>
      <c r="I374" s="24">
        <f t="shared" si="59"/>
        <v>1789.4325484761255</v>
      </c>
      <c r="J374" s="25">
        <f t="shared" si="60"/>
        <v>7.9741404289037643E-3</v>
      </c>
      <c r="K374" s="24">
        <f t="shared" si="65"/>
        <v>4437794.6164459428</v>
      </c>
      <c r="L374" s="24" t="str">
        <f t="shared" si="61"/>
        <v/>
      </c>
      <c r="M374" s="24">
        <f t="shared" si="62"/>
        <v>0</v>
      </c>
      <c r="N374" s="24">
        <f>IF(M374&lt;=0,0,IF($E$2-A374&lt;12,(M374-E374)*Dashboard!$B$18,IF($Q$2+A374&gt;=$R$2,MAX(0,M374-E374*POWER(1+$C$2,$E$2-A374))*MAX(Dashboard!$C$18,Dashboard!$B$18),IF($S$2&lt;$R$2,(M374-E374)*0.5*Dashboard!$B$18,(E374*POWER(1+$A$2,$R$2-($Q$2+A374))-E374)*0.5*Dashboard!$B$18+MAX(0,M374-E374*POWER(1+$A$2,$R$2-($Q$2+A374))*POWER(1+$C$2,$S$2-$R$2))*MAX(Dashboard!$C$18,Dashboard!$B$18)))))</f>
        <v>0</v>
      </c>
    </row>
    <row r="375" spans="1:14" x14ac:dyDescent="0.2">
      <c r="A375" s="22">
        <f t="shared" si="63"/>
        <v>370</v>
      </c>
      <c r="B375" s="23">
        <f t="shared" si="64"/>
        <v>48.888127853881556</v>
      </c>
      <c r="C375" t="str">
        <f t="shared" si="55"/>
        <v>48 y 10.66 m</v>
      </c>
      <c r="D375" s="24">
        <f>IF(A375&gt;=$E$2,IF(A375&lt;$E$2+$H$2,$P$2,0),IF(B375&lt;Dashboard!$I$6,0,IF(A375&gt;=$F$2,Dashboard!$C$23*POWER(1+$C$2,A375-$F$2),Dashboard!$C$23)))</f>
        <v>5092.3674515238745</v>
      </c>
      <c r="E375" s="24">
        <f>IF(A375&gt;=$F$2,0,IF(A375=0,Dashboard!$G$10,IF(B375&lt;Dashboard!$I$6,IF($J$2&lt;=Dashboard!$H$10,Dashboard!$H$10,MAX(Dashboard!$H$10,MIN($J$2,Dashboard!$H$10*POWER($J$2/Dashboard!$H$10,A375/$D$2)))),$I$2-D375-Dashboard!$I$10-Dashboard!$J$10-Dashboard!$F$10*$I$2)))</f>
        <v>1789.4325484761255</v>
      </c>
      <c r="F375" s="24">
        <f t="shared" si="56"/>
        <v>0</v>
      </c>
      <c r="G375" s="24">
        <f t="shared" si="57"/>
        <v>0</v>
      </c>
      <c r="H375" s="24">
        <f t="shared" si="58"/>
        <v>0</v>
      </c>
      <c r="I375" s="24">
        <f t="shared" si="59"/>
        <v>1789.4325484761255</v>
      </c>
      <c r="J375" s="25">
        <f t="shared" si="60"/>
        <v>7.9741404289037643E-3</v>
      </c>
      <c r="K375" s="24">
        <f t="shared" si="65"/>
        <v>4474985.9156470215</v>
      </c>
      <c r="L375" s="24" t="str">
        <f t="shared" si="61"/>
        <v/>
      </c>
      <c r="M375" s="24">
        <f t="shared" si="62"/>
        <v>0</v>
      </c>
      <c r="N375" s="24">
        <f>IF(M375&lt;=0,0,IF($E$2-A375&lt;12,(M375-E375)*Dashboard!$B$18,IF($Q$2+A375&gt;=$R$2,MAX(0,M375-E375*POWER(1+$C$2,$E$2-A375))*MAX(Dashboard!$C$18,Dashboard!$B$18),IF($S$2&lt;$R$2,(M375-E375)*0.5*Dashboard!$B$18,(E375*POWER(1+$A$2,$R$2-($Q$2+A375))-E375)*0.5*Dashboard!$B$18+MAX(0,M375-E375*POWER(1+$A$2,$R$2-($Q$2+A375))*POWER(1+$C$2,$S$2-$R$2))*MAX(Dashboard!$C$18,Dashboard!$B$18)))))</f>
        <v>0</v>
      </c>
    </row>
    <row r="376" spans="1:14" x14ac:dyDescent="0.2">
      <c r="A376" s="22">
        <f t="shared" si="63"/>
        <v>371</v>
      </c>
      <c r="B376" s="23">
        <f t="shared" si="64"/>
        <v>48.971461187214892</v>
      </c>
      <c r="C376" t="str">
        <f t="shared" si="55"/>
        <v>48 y 11.66 m</v>
      </c>
      <c r="D376" s="24">
        <f>IF(A376&gt;=$E$2,IF(A376&lt;$E$2+$H$2,$P$2,0),IF(B376&lt;Dashboard!$I$6,0,IF(A376&gt;=$F$2,Dashboard!$C$23*POWER(1+$C$2,A376-$F$2),Dashboard!$C$23)))</f>
        <v>5092.3674515238745</v>
      </c>
      <c r="E376" s="24">
        <f>IF(A376&gt;=$F$2,0,IF(A376=0,Dashboard!$G$10,IF(B376&lt;Dashboard!$I$6,IF($J$2&lt;=Dashboard!$H$10,Dashboard!$H$10,MAX(Dashboard!$H$10,MIN($J$2,Dashboard!$H$10*POWER($J$2/Dashboard!$H$10,A376/$D$2)))),$I$2-D376-Dashboard!$I$10-Dashboard!$J$10-Dashboard!$F$10*$I$2)))</f>
        <v>1789.4325484761255</v>
      </c>
      <c r="F376" s="24">
        <f t="shared" si="56"/>
        <v>0</v>
      </c>
      <c r="G376" s="24">
        <f t="shared" si="57"/>
        <v>0</v>
      </c>
      <c r="H376" s="24">
        <f t="shared" si="58"/>
        <v>0</v>
      </c>
      <c r="I376" s="24">
        <f t="shared" si="59"/>
        <v>1789.4325484761255</v>
      </c>
      <c r="J376" s="25">
        <f t="shared" si="60"/>
        <v>7.9741404289037643E-3</v>
      </c>
      <c r="K376" s="24">
        <f t="shared" si="65"/>
        <v>4512473.7834906634</v>
      </c>
      <c r="L376" s="24" t="str">
        <f t="shared" si="61"/>
        <v/>
      </c>
      <c r="M376" s="24">
        <f t="shared" si="62"/>
        <v>0</v>
      </c>
      <c r="N376" s="24">
        <f>IF(M376&lt;=0,0,IF($E$2-A376&lt;12,(M376-E376)*Dashboard!$B$18,IF($Q$2+A376&gt;=$R$2,MAX(0,M376-E376*POWER(1+$C$2,$E$2-A376))*MAX(Dashboard!$C$18,Dashboard!$B$18),IF($S$2&lt;$R$2,(M376-E376)*0.5*Dashboard!$B$18,(E376*POWER(1+$A$2,$R$2-($Q$2+A376))-E376)*0.5*Dashboard!$B$18+MAX(0,M376-E376*POWER(1+$A$2,$R$2-($Q$2+A376))*POWER(1+$C$2,$S$2-$R$2))*MAX(Dashboard!$C$18,Dashboard!$B$18)))))</f>
        <v>0</v>
      </c>
    </row>
    <row r="377" spans="1:14" x14ac:dyDescent="0.2">
      <c r="A377" s="22">
        <f t="shared" si="63"/>
        <v>372</v>
      </c>
      <c r="B377" s="23">
        <f t="shared" si="64"/>
        <v>49.054794520548228</v>
      </c>
      <c r="C377" t="str">
        <f t="shared" si="55"/>
        <v>49 y 0.66 m</v>
      </c>
      <c r="D377" s="24">
        <f>IF(A377&gt;=$E$2,IF(A377&lt;$E$2+$H$2,$P$2,0),IF(B377&lt;Dashboard!$I$6,0,IF(A377&gt;=$F$2,Dashboard!$C$23*POWER(1+$C$2,A377-$F$2),Dashboard!$C$23)))</f>
        <v>5092.3674515238745</v>
      </c>
      <c r="E377" s="24">
        <f>IF(A377&gt;=$F$2,0,IF(A377=0,Dashboard!$G$10,IF(B377&lt;Dashboard!$I$6,IF($J$2&lt;=Dashboard!$H$10,Dashboard!$H$10,MAX(Dashboard!$H$10,MIN($J$2,Dashboard!$H$10*POWER($J$2/Dashboard!$H$10,A377/$D$2)))),$I$2-D377-Dashboard!$I$10-Dashboard!$J$10-Dashboard!$F$10*$I$2)))</f>
        <v>1789.4325484761255</v>
      </c>
      <c r="F377" s="24">
        <f t="shared" si="56"/>
        <v>0</v>
      </c>
      <c r="G377" s="24">
        <f t="shared" si="57"/>
        <v>0</v>
      </c>
      <c r="H377" s="24">
        <f t="shared" si="58"/>
        <v>0</v>
      </c>
      <c r="I377" s="24">
        <f t="shared" si="59"/>
        <v>1789.4325484761255</v>
      </c>
      <c r="J377" s="25">
        <f t="shared" si="60"/>
        <v>7.9741404289037643E-3</v>
      </c>
      <c r="K377" s="24">
        <f t="shared" si="65"/>
        <v>4550260.5848568706</v>
      </c>
      <c r="L377" s="24" t="str">
        <f t="shared" si="61"/>
        <v/>
      </c>
      <c r="M377" s="24">
        <f t="shared" si="62"/>
        <v>0</v>
      </c>
      <c r="N377" s="24">
        <f>IF(M377&lt;=0,0,IF($E$2-A377&lt;12,(M377-E377)*Dashboard!$B$18,IF($Q$2+A377&gt;=$R$2,MAX(0,M377-E377*POWER(1+$C$2,$E$2-A377))*MAX(Dashboard!$C$18,Dashboard!$B$18),IF($S$2&lt;$R$2,(M377-E377)*0.5*Dashboard!$B$18,(E377*POWER(1+$A$2,$R$2-($Q$2+A377))-E377)*0.5*Dashboard!$B$18+MAX(0,M377-E377*POWER(1+$A$2,$R$2-($Q$2+A377))*POWER(1+$C$2,$S$2-$R$2))*MAX(Dashboard!$C$18,Dashboard!$B$18)))))</f>
        <v>0</v>
      </c>
    </row>
    <row r="378" spans="1:14" x14ac:dyDescent="0.2">
      <c r="A378" s="22">
        <f t="shared" si="63"/>
        <v>373</v>
      </c>
      <c r="B378" s="23">
        <f t="shared" si="64"/>
        <v>49.138127853881564</v>
      </c>
      <c r="C378" t="str">
        <f t="shared" si="55"/>
        <v>49 y 1.66 m</v>
      </c>
      <c r="D378" s="24">
        <f>IF(A378&gt;=$E$2,IF(A378&lt;$E$2+$H$2,$P$2,0),IF(B378&lt;Dashboard!$I$6,0,IF(A378&gt;=$F$2,Dashboard!$C$23*POWER(1+$C$2,A378-$F$2),Dashboard!$C$23)))</f>
        <v>5092.3674515238745</v>
      </c>
      <c r="E378" s="24">
        <f>IF(A378&gt;=$F$2,0,IF(A378=0,Dashboard!$G$10,IF(B378&lt;Dashboard!$I$6,IF($J$2&lt;=Dashboard!$H$10,Dashboard!$H$10,MAX(Dashboard!$H$10,MIN($J$2,Dashboard!$H$10*POWER($J$2/Dashboard!$H$10,A378/$D$2)))),$I$2-D378-Dashboard!$I$10-Dashboard!$J$10-Dashboard!$F$10*$I$2)))</f>
        <v>1789.4325484761255</v>
      </c>
      <c r="F378" s="24">
        <f t="shared" si="56"/>
        <v>0</v>
      </c>
      <c r="G378" s="24">
        <f t="shared" si="57"/>
        <v>0</v>
      </c>
      <c r="H378" s="24">
        <f t="shared" si="58"/>
        <v>0</v>
      </c>
      <c r="I378" s="24">
        <f t="shared" si="59"/>
        <v>1789.4325484761255</v>
      </c>
      <c r="J378" s="25">
        <f t="shared" si="60"/>
        <v>7.9741404289037643E-3</v>
      </c>
      <c r="K378" s="24">
        <f t="shared" si="65"/>
        <v>4588348.7034835313</v>
      </c>
      <c r="L378" s="24" t="str">
        <f t="shared" si="61"/>
        <v/>
      </c>
      <c r="M378" s="24">
        <f t="shared" si="62"/>
        <v>0</v>
      </c>
      <c r="N378" s="24">
        <f>IF(M378&lt;=0,0,IF($E$2-A378&lt;12,(M378-E378)*Dashboard!$B$18,IF($Q$2+A378&gt;=$R$2,MAX(0,M378-E378*POWER(1+$C$2,$E$2-A378))*MAX(Dashboard!$C$18,Dashboard!$B$18),IF($S$2&lt;$R$2,(M378-E378)*0.5*Dashboard!$B$18,(E378*POWER(1+$A$2,$R$2-($Q$2+A378))-E378)*0.5*Dashboard!$B$18+MAX(0,M378-E378*POWER(1+$A$2,$R$2-($Q$2+A378))*POWER(1+$C$2,$S$2-$R$2))*MAX(Dashboard!$C$18,Dashboard!$B$18)))))</f>
        <v>0</v>
      </c>
    </row>
    <row r="379" spans="1:14" x14ac:dyDescent="0.2">
      <c r="A379" s="22">
        <f t="shared" si="63"/>
        <v>374</v>
      </c>
      <c r="B379" s="23">
        <f t="shared" si="64"/>
        <v>49.221461187214899</v>
      </c>
      <c r="C379" t="str">
        <f t="shared" si="55"/>
        <v>49 y 2.66 m</v>
      </c>
      <c r="D379" s="24">
        <f>IF(A379&gt;=$E$2,IF(A379&lt;$E$2+$H$2,$P$2,0),IF(B379&lt;Dashboard!$I$6,0,IF(A379&gt;=$F$2,Dashboard!$C$23*POWER(1+$C$2,A379-$F$2),Dashboard!$C$23)))</f>
        <v>5092.3674515238745</v>
      </c>
      <c r="E379" s="24">
        <f>IF(A379&gt;=$F$2,0,IF(A379=0,Dashboard!$G$10,IF(B379&lt;Dashboard!$I$6,IF($J$2&lt;=Dashboard!$H$10,Dashboard!$H$10,MAX(Dashboard!$H$10,MIN($J$2,Dashboard!$H$10*POWER($J$2/Dashboard!$H$10,A379/$D$2)))),$I$2-D379-Dashboard!$I$10-Dashboard!$J$10-Dashboard!$F$10*$I$2)))</f>
        <v>1789.4325484761255</v>
      </c>
      <c r="F379" s="24">
        <f t="shared" si="56"/>
        <v>0</v>
      </c>
      <c r="G379" s="24">
        <f t="shared" si="57"/>
        <v>0</v>
      </c>
      <c r="H379" s="24">
        <f t="shared" si="58"/>
        <v>0</v>
      </c>
      <c r="I379" s="24">
        <f t="shared" si="59"/>
        <v>1789.4325484761255</v>
      </c>
      <c r="J379" s="25">
        <f t="shared" si="60"/>
        <v>7.9741404289037643E-3</v>
      </c>
      <c r="K379" s="24">
        <f t="shared" si="65"/>
        <v>4626740.5421167938</v>
      </c>
      <c r="L379" s="24" t="str">
        <f t="shared" si="61"/>
        <v/>
      </c>
      <c r="M379" s="24">
        <f t="shared" si="62"/>
        <v>0</v>
      </c>
      <c r="N379" s="24">
        <f>IF(M379&lt;=0,0,IF($E$2-A379&lt;12,(M379-E379)*Dashboard!$B$18,IF($Q$2+A379&gt;=$R$2,MAX(0,M379-E379*POWER(1+$C$2,$E$2-A379))*MAX(Dashboard!$C$18,Dashboard!$B$18),IF($S$2&lt;$R$2,(M379-E379)*0.5*Dashboard!$B$18,(E379*POWER(1+$A$2,$R$2-($Q$2+A379))-E379)*0.5*Dashboard!$B$18+MAX(0,M379-E379*POWER(1+$A$2,$R$2-($Q$2+A379))*POWER(1+$C$2,$S$2-$R$2))*MAX(Dashboard!$C$18,Dashboard!$B$18)))))</f>
        <v>0</v>
      </c>
    </row>
    <row r="380" spans="1:14" x14ac:dyDescent="0.2">
      <c r="A380" s="22">
        <f t="shared" si="63"/>
        <v>375</v>
      </c>
      <c r="B380" s="23">
        <f t="shared" si="64"/>
        <v>49.304794520548235</v>
      </c>
      <c r="C380" t="str">
        <f t="shared" si="55"/>
        <v>49 y 3.66 m</v>
      </c>
      <c r="D380" s="24">
        <f>IF(A380&gt;=$E$2,IF(A380&lt;$E$2+$H$2,$P$2,0),IF(B380&lt;Dashboard!$I$6,0,IF(A380&gt;=$F$2,Dashboard!$C$23*POWER(1+$C$2,A380-$F$2),Dashboard!$C$23)))</f>
        <v>5092.3674515238745</v>
      </c>
      <c r="E380" s="24">
        <f>IF(A380&gt;=$F$2,0,IF(A380=0,Dashboard!$G$10,IF(B380&lt;Dashboard!$I$6,IF($J$2&lt;=Dashboard!$H$10,Dashboard!$H$10,MAX(Dashboard!$H$10,MIN($J$2,Dashboard!$H$10*POWER($J$2/Dashboard!$H$10,A380/$D$2)))),$I$2-D380-Dashboard!$I$10-Dashboard!$J$10-Dashboard!$F$10*$I$2)))</f>
        <v>1789.4325484761255</v>
      </c>
      <c r="F380" s="24">
        <f t="shared" si="56"/>
        <v>0</v>
      </c>
      <c r="G380" s="24">
        <f t="shared" si="57"/>
        <v>0</v>
      </c>
      <c r="H380" s="24">
        <f t="shared" si="58"/>
        <v>0</v>
      </c>
      <c r="I380" s="24">
        <f t="shared" si="59"/>
        <v>1789.4325484761255</v>
      </c>
      <c r="J380" s="25">
        <f t="shared" si="60"/>
        <v>7.9741404289037643E-3</v>
      </c>
      <c r="K380" s="24">
        <f t="shared" si="65"/>
        <v>4665438.5226626415</v>
      </c>
      <c r="L380" s="24" t="str">
        <f t="shared" si="61"/>
        <v/>
      </c>
      <c r="M380" s="24">
        <f t="shared" si="62"/>
        <v>0</v>
      </c>
      <c r="N380" s="24">
        <f>IF(M380&lt;=0,0,IF($E$2-A380&lt;12,(M380-E380)*Dashboard!$B$18,IF($Q$2+A380&gt;=$R$2,MAX(0,M380-E380*POWER(1+$C$2,$E$2-A380))*MAX(Dashboard!$C$18,Dashboard!$B$18),IF($S$2&lt;$R$2,(M380-E380)*0.5*Dashboard!$B$18,(E380*POWER(1+$A$2,$R$2-($Q$2+A380))-E380)*0.5*Dashboard!$B$18+MAX(0,M380-E380*POWER(1+$A$2,$R$2-($Q$2+A380))*POWER(1+$C$2,$S$2-$R$2))*MAX(Dashboard!$C$18,Dashboard!$B$18)))))</f>
        <v>0</v>
      </c>
    </row>
    <row r="381" spans="1:14" x14ac:dyDescent="0.2">
      <c r="A381" s="22">
        <f t="shared" si="63"/>
        <v>376</v>
      </c>
      <c r="B381" s="23">
        <f t="shared" si="64"/>
        <v>49.388127853881571</v>
      </c>
      <c r="C381" t="str">
        <f t="shared" si="55"/>
        <v>49 y 4.66 m</v>
      </c>
      <c r="D381" s="24">
        <f>IF(A381&gt;=$E$2,IF(A381&lt;$E$2+$H$2,$P$2,0),IF(B381&lt;Dashboard!$I$6,0,IF(A381&gt;=$F$2,Dashboard!$C$23*POWER(1+$C$2,A381-$F$2),Dashboard!$C$23)))</f>
        <v>5092.3674515238745</v>
      </c>
      <c r="E381" s="24">
        <f>IF(A381&gt;=$F$2,0,IF(A381=0,Dashboard!$G$10,IF(B381&lt;Dashboard!$I$6,IF($J$2&lt;=Dashboard!$H$10,Dashboard!$H$10,MAX(Dashboard!$H$10,MIN($J$2,Dashboard!$H$10*POWER($J$2/Dashboard!$H$10,A381/$D$2)))),$I$2-D381-Dashboard!$I$10-Dashboard!$J$10-Dashboard!$F$10*$I$2)))</f>
        <v>1789.4325484761255</v>
      </c>
      <c r="F381" s="24">
        <f t="shared" si="56"/>
        <v>0</v>
      </c>
      <c r="G381" s="24">
        <f t="shared" si="57"/>
        <v>0</v>
      </c>
      <c r="H381" s="24">
        <f t="shared" si="58"/>
        <v>0</v>
      </c>
      <c r="I381" s="24">
        <f t="shared" si="59"/>
        <v>1789.4325484761255</v>
      </c>
      <c r="J381" s="25">
        <f t="shared" si="60"/>
        <v>7.9741404289037643E-3</v>
      </c>
      <c r="K381" s="24">
        <f t="shared" si="65"/>
        <v>4704445.0863396768</v>
      </c>
      <c r="L381" s="24" t="str">
        <f t="shared" si="61"/>
        <v/>
      </c>
      <c r="M381" s="24">
        <f t="shared" si="62"/>
        <v>0</v>
      </c>
      <c r="N381" s="24">
        <f>IF(M381&lt;=0,0,IF($E$2-A381&lt;12,(M381-E381)*Dashboard!$B$18,IF($Q$2+A381&gt;=$R$2,MAX(0,M381-E381*POWER(1+$C$2,$E$2-A381))*MAX(Dashboard!$C$18,Dashboard!$B$18),IF($S$2&lt;$R$2,(M381-E381)*0.5*Dashboard!$B$18,(E381*POWER(1+$A$2,$R$2-($Q$2+A381))-E381)*0.5*Dashboard!$B$18+MAX(0,M381-E381*POWER(1+$A$2,$R$2-($Q$2+A381))*POWER(1+$C$2,$S$2-$R$2))*MAX(Dashboard!$C$18,Dashboard!$B$18)))))</f>
        <v>0</v>
      </c>
    </row>
    <row r="382" spans="1:14" x14ac:dyDescent="0.2">
      <c r="A382" s="22">
        <f t="shared" si="63"/>
        <v>377</v>
      </c>
      <c r="B382" s="23">
        <f t="shared" si="64"/>
        <v>49.471461187214906</v>
      </c>
      <c r="C382" t="str">
        <f t="shared" si="55"/>
        <v>49 y 5.66 m</v>
      </c>
      <c r="D382" s="24">
        <f>IF(A382&gt;=$E$2,IF(A382&lt;$E$2+$H$2,$P$2,0),IF(B382&lt;Dashboard!$I$6,0,IF(A382&gt;=$F$2,Dashboard!$C$23*POWER(1+$C$2,A382-$F$2),Dashboard!$C$23)))</f>
        <v>5092.3674515238745</v>
      </c>
      <c r="E382" s="24">
        <f>IF(A382&gt;=$F$2,0,IF(A382=0,Dashboard!$G$10,IF(B382&lt;Dashboard!$I$6,IF($J$2&lt;=Dashboard!$H$10,Dashboard!$H$10,MAX(Dashboard!$H$10,MIN($J$2,Dashboard!$H$10*POWER($J$2/Dashboard!$H$10,A382/$D$2)))),$I$2-D382-Dashboard!$I$10-Dashboard!$J$10-Dashboard!$F$10*$I$2)))</f>
        <v>1789.4325484761255</v>
      </c>
      <c r="F382" s="24">
        <f t="shared" si="56"/>
        <v>0</v>
      </c>
      <c r="G382" s="24">
        <f t="shared" si="57"/>
        <v>0</v>
      </c>
      <c r="H382" s="24">
        <f t="shared" si="58"/>
        <v>0</v>
      </c>
      <c r="I382" s="24">
        <f t="shared" si="59"/>
        <v>1789.4325484761255</v>
      </c>
      <c r="J382" s="25">
        <f t="shared" si="60"/>
        <v>7.9741404289037643E-3</v>
      </c>
      <c r="K382" s="24">
        <f t="shared" si="65"/>
        <v>4743762.693833122</v>
      </c>
      <c r="L382" s="24" t="str">
        <f t="shared" si="61"/>
        <v/>
      </c>
      <c r="M382" s="24">
        <f t="shared" si="62"/>
        <v>0</v>
      </c>
      <c r="N382" s="24">
        <f>IF(M382&lt;=0,0,IF($E$2-A382&lt;12,(M382-E382)*Dashboard!$B$18,IF($Q$2+A382&gt;=$R$2,MAX(0,M382-E382*POWER(1+$C$2,$E$2-A382))*MAX(Dashboard!$C$18,Dashboard!$B$18),IF($S$2&lt;$R$2,(M382-E382)*0.5*Dashboard!$B$18,(E382*POWER(1+$A$2,$R$2-($Q$2+A382))-E382)*0.5*Dashboard!$B$18+MAX(0,M382-E382*POWER(1+$A$2,$R$2-($Q$2+A382))*POWER(1+$C$2,$S$2-$R$2))*MAX(Dashboard!$C$18,Dashboard!$B$18)))))</f>
        <v>0</v>
      </c>
    </row>
    <row r="383" spans="1:14" x14ac:dyDescent="0.2">
      <c r="A383" s="22">
        <f t="shared" si="63"/>
        <v>378</v>
      </c>
      <c r="B383" s="23">
        <f t="shared" si="64"/>
        <v>49.554794520548242</v>
      </c>
      <c r="C383" t="str">
        <f t="shared" si="55"/>
        <v>49 y 6.66 m</v>
      </c>
      <c r="D383" s="24">
        <f>IF(A383&gt;=$E$2,IF(A383&lt;$E$2+$H$2,$P$2,0),IF(B383&lt;Dashboard!$I$6,0,IF(A383&gt;=$F$2,Dashboard!$C$23*POWER(1+$C$2,A383-$F$2),Dashboard!$C$23)))</f>
        <v>5092.3674515238745</v>
      </c>
      <c r="E383" s="24">
        <f>IF(A383&gt;=$F$2,0,IF(A383=0,Dashboard!$G$10,IF(B383&lt;Dashboard!$I$6,IF($J$2&lt;=Dashboard!$H$10,Dashboard!$H$10,MAX(Dashboard!$H$10,MIN($J$2,Dashboard!$H$10*POWER($J$2/Dashboard!$H$10,A383/$D$2)))),$I$2-D383-Dashboard!$I$10-Dashboard!$J$10-Dashboard!$F$10*$I$2)))</f>
        <v>1789.4325484761255</v>
      </c>
      <c r="F383" s="24">
        <f t="shared" si="56"/>
        <v>0</v>
      </c>
      <c r="G383" s="24">
        <f t="shared" si="57"/>
        <v>0</v>
      </c>
      <c r="H383" s="24">
        <f t="shared" si="58"/>
        <v>0</v>
      </c>
      <c r="I383" s="24">
        <f t="shared" si="59"/>
        <v>1789.4325484761255</v>
      </c>
      <c r="J383" s="25">
        <f t="shared" si="60"/>
        <v>7.9741404289037643E-3</v>
      </c>
      <c r="K383" s="24">
        <f t="shared" si="65"/>
        <v>4783393.8254500479</v>
      </c>
      <c r="L383" s="24" t="str">
        <f t="shared" si="61"/>
        <v/>
      </c>
      <c r="M383" s="24">
        <f t="shared" si="62"/>
        <v>0</v>
      </c>
      <c r="N383" s="24">
        <f>IF(M383&lt;=0,0,IF($E$2-A383&lt;12,(M383-E383)*Dashboard!$B$18,IF($Q$2+A383&gt;=$R$2,MAX(0,M383-E383*POWER(1+$C$2,$E$2-A383))*MAX(Dashboard!$C$18,Dashboard!$B$18),IF($S$2&lt;$R$2,(M383-E383)*0.5*Dashboard!$B$18,(E383*POWER(1+$A$2,$R$2-($Q$2+A383))-E383)*0.5*Dashboard!$B$18+MAX(0,M383-E383*POWER(1+$A$2,$R$2-($Q$2+A383))*POWER(1+$C$2,$S$2-$R$2))*MAX(Dashboard!$C$18,Dashboard!$B$18)))))</f>
        <v>0</v>
      </c>
    </row>
    <row r="384" spans="1:14" x14ac:dyDescent="0.2">
      <c r="A384" s="22">
        <f t="shared" si="63"/>
        <v>379</v>
      </c>
      <c r="B384" s="23">
        <f t="shared" si="64"/>
        <v>49.638127853881578</v>
      </c>
      <c r="C384" t="str">
        <f t="shared" si="55"/>
        <v>49 y 7.66 m</v>
      </c>
      <c r="D384" s="24">
        <f>IF(A384&gt;=$E$2,IF(A384&lt;$E$2+$H$2,$P$2,0),IF(B384&lt;Dashboard!$I$6,0,IF(A384&gt;=$F$2,Dashboard!$C$23*POWER(1+$C$2,A384-$F$2),Dashboard!$C$23)))</f>
        <v>5092.3674515238745</v>
      </c>
      <c r="E384" s="24">
        <f>IF(A384&gt;=$F$2,0,IF(A384=0,Dashboard!$G$10,IF(B384&lt;Dashboard!$I$6,IF($J$2&lt;=Dashboard!$H$10,Dashboard!$H$10,MAX(Dashboard!$H$10,MIN($J$2,Dashboard!$H$10*POWER($J$2/Dashboard!$H$10,A384/$D$2)))),$I$2-D384-Dashboard!$I$10-Dashboard!$J$10-Dashboard!$F$10*$I$2)))</f>
        <v>1789.4325484761255</v>
      </c>
      <c r="F384" s="24">
        <f t="shared" si="56"/>
        <v>0</v>
      </c>
      <c r="G384" s="24">
        <f t="shared" si="57"/>
        <v>0</v>
      </c>
      <c r="H384" s="24">
        <f t="shared" si="58"/>
        <v>0</v>
      </c>
      <c r="I384" s="24">
        <f t="shared" si="59"/>
        <v>1789.4325484761255</v>
      </c>
      <c r="J384" s="25">
        <f t="shared" si="60"/>
        <v>7.9741404289037643E-3</v>
      </c>
      <c r="K384" s="24">
        <f t="shared" si="65"/>
        <v>4823340.9812758435</v>
      </c>
      <c r="L384" s="24" t="str">
        <f t="shared" si="61"/>
        <v/>
      </c>
      <c r="M384" s="24">
        <f t="shared" si="62"/>
        <v>0</v>
      </c>
      <c r="N384" s="24">
        <f>IF(M384&lt;=0,0,IF($E$2-A384&lt;12,(M384-E384)*Dashboard!$B$18,IF($Q$2+A384&gt;=$R$2,MAX(0,M384-E384*POWER(1+$C$2,$E$2-A384))*MAX(Dashboard!$C$18,Dashboard!$B$18),IF($S$2&lt;$R$2,(M384-E384)*0.5*Dashboard!$B$18,(E384*POWER(1+$A$2,$R$2-($Q$2+A384))-E384)*0.5*Dashboard!$B$18+MAX(0,M384-E384*POWER(1+$A$2,$R$2-($Q$2+A384))*POWER(1+$C$2,$S$2-$R$2))*MAX(Dashboard!$C$18,Dashboard!$B$18)))))</f>
        <v>0</v>
      </c>
    </row>
    <row r="385" spans="1:14" x14ac:dyDescent="0.2">
      <c r="A385" s="22">
        <f t="shared" si="63"/>
        <v>380</v>
      </c>
      <c r="B385" s="23">
        <f t="shared" si="64"/>
        <v>49.721461187214913</v>
      </c>
      <c r="C385" t="str">
        <f t="shared" si="55"/>
        <v>49 y 8.66 m</v>
      </c>
      <c r="D385" s="24">
        <f>IF(A385&gt;=$E$2,IF(A385&lt;$E$2+$H$2,$P$2,0),IF(B385&lt;Dashboard!$I$6,0,IF(A385&gt;=$F$2,Dashboard!$C$23*POWER(1+$C$2,A385-$F$2),Dashboard!$C$23)))</f>
        <v>5092.3674515238745</v>
      </c>
      <c r="E385" s="24">
        <f>IF(A385&gt;=$F$2,0,IF(A385=0,Dashboard!$G$10,IF(B385&lt;Dashboard!$I$6,IF($J$2&lt;=Dashboard!$H$10,Dashboard!$H$10,MAX(Dashboard!$H$10,MIN($J$2,Dashboard!$H$10*POWER($J$2/Dashboard!$H$10,A385/$D$2)))),$I$2-D385-Dashboard!$I$10-Dashboard!$J$10-Dashboard!$F$10*$I$2)))</f>
        <v>1789.4325484761255</v>
      </c>
      <c r="F385" s="24">
        <f t="shared" si="56"/>
        <v>0</v>
      </c>
      <c r="G385" s="24">
        <f t="shared" si="57"/>
        <v>0</v>
      </c>
      <c r="H385" s="24">
        <f t="shared" si="58"/>
        <v>0</v>
      </c>
      <c r="I385" s="24">
        <f t="shared" si="59"/>
        <v>1789.4325484761255</v>
      </c>
      <c r="J385" s="25">
        <f t="shared" si="60"/>
        <v>7.9741404289037643E-3</v>
      </c>
      <c r="K385" s="24">
        <f t="shared" si="65"/>
        <v>4863606.6813319298</v>
      </c>
      <c r="L385" s="24" t="str">
        <f t="shared" si="61"/>
        <v/>
      </c>
      <c r="M385" s="24">
        <f t="shared" si="62"/>
        <v>0</v>
      </c>
      <c r="N385" s="24">
        <f>IF(M385&lt;=0,0,IF($E$2-A385&lt;12,(M385-E385)*Dashboard!$B$18,IF($Q$2+A385&gt;=$R$2,MAX(0,M385-E385*POWER(1+$C$2,$E$2-A385))*MAX(Dashboard!$C$18,Dashboard!$B$18),IF($S$2&lt;$R$2,(M385-E385)*0.5*Dashboard!$B$18,(E385*POWER(1+$A$2,$R$2-($Q$2+A385))-E385)*0.5*Dashboard!$B$18+MAX(0,M385-E385*POWER(1+$A$2,$R$2-($Q$2+A385))*POWER(1+$C$2,$S$2-$R$2))*MAX(Dashboard!$C$18,Dashboard!$B$18)))))</f>
        <v>0</v>
      </c>
    </row>
    <row r="386" spans="1:14" x14ac:dyDescent="0.2">
      <c r="A386" s="22">
        <f t="shared" si="63"/>
        <v>381</v>
      </c>
      <c r="B386" s="23">
        <f t="shared" si="64"/>
        <v>49.804794520548249</v>
      </c>
      <c r="C386" t="str">
        <f t="shared" si="55"/>
        <v>49 y 9.66 m</v>
      </c>
      <c r="D386" s="24">
        <f>IF(A386&gt;=$E$2,IF(A386&lt;$E$2+$H$2,$P$2,0),IF(B386&lt;Dashboard!$I$6,0,IF(A386&gt;=$F$2,Dashboard!$C$23*POWER(1+$C$2,A386-$F$2),Dashboard!$C$23)))</f>
        <v>5092.3674515238745</v>
      </c>
      <c r="E386" s="24">
        <f>IF(A386&gt;=$F$2,0,IF(A386=0,Dashboard!$G$10,IF(B386&lt;Dashboard!$I$6,IF($J$2&lt;=Dashboard!$H$10,Dashboard!$H$10,MAX(Dashboard!$H$10,MIN($J$2,Dashboard!$H$10*POWER($J$2/Dashboard!$H$10,A386/$D$2)))),$I$2-D386-Dashboard!$I$10-Dashboard!$J$10-Dashboard!$F$10*$I$2)))</f>
        <v>1789.4325484761255</v>
      </c>
      <c r="F386" s="24">
        <f t="shared" si="56"/>
        <v>0</v>
      </c>
      <c r="G386" s="24">
        <f t="shared" si="57"/>
        <v>0</v>
      </c>
      <c r="H386" s="24">
        <f t="shared" si="58"/>
        <v>0</v>
      </c>
      <c r="I386" s="24">
        <f t="shared" si="59"/>
        <v>1789.4325484761255</v>
      </c>
      <c r="J386" s="25">
        <f t="shared" si="60"/>
        <v>7.9741404289037643E-3</v>
      </c>
      <c r="K386" s="24">
        <f t="shared" si="65"/>
        <v>4904193.4657347314</v>
      </c>
      <c r="L386" s="24" t="str">
        <f t="shared" si="61"/>
        <v/>
      </c>
      <c r="M386" s="24">
        <f t="shared" si="62"/>
        <v>0</v>
      </c>
      <c r="N386" s="24">
        <f>IF(M386&lt;=0,0,IF($E$2-A386&lt;12,(M386-E386)*Dashboard!$B$18,IF($Q$2+A386&gt;=$R$2,MAX(0,M386-E386*POWER(1+$C$2,$E$2-A386))*MAX(Dashboard!$C$18,Dashboard!$B$18),IF($S$2&lt;$R$2,(M386-E386)*0.5*Dashboard!$B$18,(E386*POWER(1+$A$2,$R$2-($Q$2+A386))-E386)*0.5*Dashboard!$B$18+MAX(0,M386-E386*POWER(1+$A$2,$R$2-($Q$2+A386))*POWER(1+$C$2,$S$2-$R$2))*MAX(Dashboard!$C$18,Dashboard!$B$18)))))</f>
        <v>0</v>
      </c>
    </row>
    <row r="387" spans="1:14" x14ac:dyDescent="0.2">
      <c r="A387" s="22">
        <f t="shared" si="63"/>
        <v>382</v>
      </c>
      <c r="B387" s="23">
        <f t="shared" si="64"/>
        <v>49.888127853881585</v>
      </c>
      <c r="C387" t="str">
        <f t="shared" si="55"/>
        <v>49 y 10.66 m</v>
      </c>
      <c r="D387" s="24">
        <f>IF(A387&gt;=$E$2,IF(A387&lt;$E$2+$H$2,$P$2,0),IF(B387&lt;Dashboard!$I$6,0,IF(A387&gt;=$F$2,Dashboard!$C$23*POWER(1+$C$2,A387-$F$2),Dashboard!$C$23)))</f>
        <v>5092.3674515238745</v>
      </c>
      <c r="E387" s="24">
        <f>IF(A387&gt;=$F$2,0,IF(A387=0,Dashboard!$G$10,IF(B387&lt;Dashboard!$I$6,IF($J$2&lt;=Dashboard!$H$10,Dashboard!$H$10,MAX(Dashboard!$H$10,MIN($J$2,Dashboard!$H$10*POWER($J$2/Dashboard!$H$10,A387/$D$2)))),$I$2-D387-Dashboard!$I$10-Dashboard!$J$10-Dashboard!$F$10*$I$2)))</f>
        <v>1789.4325484761255</v>
      </c>
      <c r="F387" s="24">
        <f t="shared" si="56"/>
        <v>0</v>
      </c>
      <c r="G387" s="24">
        <f t="shared" si="57"/>
        <v>0</v>
      </c>
      <c r="H387" s="24">
        <f t="shared" si="58"/>
        <v>0</v>
      </c>
      <c r="I387" s="24">
        <f t="shared" si="59"/>
        <v>1789.4325484761255</v>
      </c>
      <c r="J387" s="25">
        <f t="shared" si="60"/>
        <v>7.9741404289037643E-3</v>
      </c>
      <c r="K387" s="24">
        <f t="shared" si="65"/>
        <v>4945103.8948559184</v>
      </c>
      <c r="L387" s="24" t="str">
        <f t="shared" si="61"/>
        <v/>
      </c>
      <c r="M387" s="24">
        <f t="shared" si="62"/>
        <v>0</v>
      </c>
      <c r="N387" s="24">
        <f>IF(M387&lt;=0,0,IF($E$2-A387&lt;12,(M387-E387)*Dashboard!$B$18,IF($Q$2+A387&gt;=$R$2,MAX(0,M387-E387*POWER(1+$C$2,$E$2-A387))*MAX(Dashboard!$C$18,Dashboard!$B$18),IF($S$2&lt;$R$2,(M387-E387)*0.5*Dashboard!$B$18,(E387*POWER(1+$A$2,$R$2-($Q$2+A387))-E387)*0.5*Dashboard!$B$18+MAX(0,M387-E387*POWER(1+$A$2,$R$2-($Q$2+A387))*POWER(1+$C$2,$S$2-$R$2))*MAX(Dashboard!$C$18,Dashboard!$B$18)))))</f>
        <v>0</v>
      </c>
    </row>
    <row r="388" spans="1:14" x14ac:dyDescent="0.2">
      <c r="A388" s="22">
        <f t="shared" si="63"/>
        <v>383</v>
      </c>
      <c r="B388" s="23">
        <f t="shared" si="64"/>
        <v>49.971461187214921</v>
      </c>
      <c r="C388" t="str">
        <f t="shared" si="55"/>
        <v>49 y 11.66 m</v>
      </c>
      <c r="D388" s="24">
        <f>IF(A388&gt;=$E$2,IF(A388&lt;$E$2+$H$2,$P$2,0),IF(B388&lt;Dashboard!$I$6,0,IF(A388&gt;=$F$2,Dashboard!$C$23*POWER(1+$C$2,A388-$F$2),Dashboard!$C$23)))</f>
        <v>5092.3674515238745</v>
      </c>
      <c r="E388" s="24">
        <f>IF(A388&gt;=$F$2,0,IF(A388=0,Dashboard!$G$10,IF(B388&lt;Dashboard!$I$6,IF($J$2&lt;=Dashboard!$H$10,Dashboard!$H$10,MAX(Dashboard!$H$10,MIN($J$2,Dashboard!$H$10*POWER($J$2/Dashboard!$H$10,A388/$D$2)))),$I$2-D388-Dashboard!$I$10-Dashboard!$J$10-Dashboard!$F$10*$I$2)))</f>
        <v>0</v>
      </c>
      <c r="F388" s="24">
        <f t="shared" si="56"/>
        <v>11412.567451523875</v>
      </c>
      <c r="G388" s="24">
        <f t="shared" si="57"/>
        <v>15646.667912471758</v>
      </c>
      <c r="H388" s="24">
        <f t="shared" si="58"/>
        <v>0</v>
      </c>
      <c r="I388" s="24">
        <f t="shared" si="59"/>
        <v>-15646.667912471758</v>
      </c>
      <c r="J388" s="25">
        <f t="shared" si="60"/>
        <v>7.9741404289037643E-3</v>
      </c>
      <c r="K388" s="24">
        <f t="shared" si="65"/>
        <v>4968765.4111093683</v>
      </c>
      <c r="L388" s="24">
        <f t="shared" si="61"/>
        <v>4968765.4111093683</v>
      </c>
      <c r="M388" s="24">
        <f t="shared" si="62"/>
        <v>0</v>
      </c>
      <c r="N388" s="24">
        <f>IF(M388&lt;=0,0,IF($E$2-A388&lt;12,(M388-E388)*Dashboard!$B$18,IF($Q$2+A388&gt;=$R$2,MAX(0,M388-E388*POWER(1+$C$2,$E$2-A388))*MAX(Dashboard!$C$18,Dashboard!$B$18),IF($S$2&lt;$R$2,(M388-E388)*0.5*Dashboard!$B$18,(E388*POWER(1+$A$2,$R$2-($Q$2+A388))-E388)*0.5*Dashboard!$B$18+MAX(0,M388-E388*POWER(1+$A$2,$R$2-($Q$2+A388))*POWER(1+$C$2,$S$2-$R$2))*MAX(Dashboard!$C$18,Dashboard!$B$18)))))</f>
        <v>0</v>
      </c>
    </row>
    <row r="389" spans="1:14" x14ac:dyDescent="0.2">
      <c r="A389" s="22">
        <f t="shared" si="63"/>
        <v>384</v>
      </c>
      <c r="B389" s="23">
        <f t="shared" si="64"/>
        <v>50.054794520548256</v>
      </c>
      <c r="C389" t="str">
        <f t="shared" ref="C389:C452" si="66">INT(B389)&amp;" y "&amp;ROUND((B389-INT(B389))*12,2)&amp;" m"</f>
        <v>50 y 0.66 m</v>
      </c>
      <c r="D389" s="24">
        <f>IF(A389&gt;=$E$2,IF(A389&lt;$E$2+$H$2,$P$2,0),IF(B389&lt;Dashboard!$I$6,0,IF(A389&gt;=$F$2,Dashboard!$C$23*POWER(1+$C$2,A389-$F$2),Dashboard!$C$23)))</f>
        <v>5092.3674515238745</v>
      </c>
      <c r="E389" s="24">
        <f>IF(A389&gt;=$F$2,0,IF(A389=0,Dashboard!$G$10,IF(B389&lt;Dashboard!$I$6,IF($J$2&lt;=Dashboard!$H$10,Dashboard!$H$10,MAX(Dashboard!$H$10,MIN($J$2,Dashboard!$H$10*POWER($J$2/Dashboard!$H$10,A389/$D$2)))),$I$2-D389-Dashboard!$I$10-Dashboard!$J$10-Dashboard!$F$10*$I$2)))</f>
        <v>0</v>
      </c>
      <c r="F389" s="24">
        <f t="shared" ref="F389:F452" si="67">IF(A389&gt;=$F$2,$X$2*POWER(1+$C$2,A389-$F$2)+D389,0)</f>
        <v>11425.586028716534</v>
      </c>
      <c r="G389" s="24">
        <f t="shared" ref="G389:G452" si="68">IF(F389&lt;=0,0,IF(F389*12&lt;=18200,F389,IF(F389*12&lt;=40712,(18200+(F389*12-18200)/0.84)/12,IF(F389*12&lt;=103712,(45000+(F389*12-40712)/0.7)/12,IF(F389*12&lt;=138362,(135000+(F389*12-103712)/0.63)/12,(190000+(F389*12-138362)/0.55)/12)))))</f>
        <v>15667.332320714077</v>
      </c>
      <c r="H389" s="24">
        <f t="shared" ref="H389:H452" si="69">IF(A389=$E$2,$W$2,0)</f>
        <v>0</v>
      </c>
      <c r="I389" s="24">
        <f t="shared" ref="I389:I452" si="70">E389-G389-H389</f>
        <v>-15667.332320714077</v>
      </c>
      <c r="J389" s="25">
        <f t="shared" ref="J389:J452" si="71">IF(A389&gt;=$F$2,$B$2,$A$2)</f>
        <v>7.9741404289037643E-3</v>
      </c>
      <c r="K389" s="24">
        <f t="shared" si="65"/>
        <v>4992594.7784270477</v>
      </c>
      <c r="L389" s="24">
        <f t="shared" ref="L389:L452" si="72">IF(A389&gt;=$F$2,K389,"")</f>
        <v>4992594.7784270477</v>
      </c>
      <c r="M389" s="24">
        <f t="shared" ref="M389:M452" si="73">IF(AND(A389&lt;$E$2,E389&gt;0),E389*POWER(1+$A$2,$E$2-A389),0)</f>
        <v>0</v>
      </c>
      <c r="N389" s="24">
        <f>IF(M389&lt;=0,0,IF($E$2-A389&lt;12,(M389-E389)*Dashboard!$B$18,IF($Q$2+A389&gt;=$R$2,MAX(0,M389-E389*POWER(1+$C$2,$E$2-A389))*MAX(Dashboard!$C$18,Dashboard!$B$18),IF($S$2&lt;$R$2,(M389-E389)*0.5*Dashboard!$B$18,(E389*POWER(1+$A$2,$R$2-($Q$2+A389))-E389)*0.5*Dashboard!$B$18+MAX(0,M389-E389*POWER(1+$A$2,$R$2-($Q$2+A389))*POWER(1+$C$2,$S$2-$R$2))*MAX(Dashboard!$C$18,Dashboard!$B$18)))))</f>
        <v>0</v>
      </c>
    </row>
    <row r="390" spans="1:14" x14ac:dyDescent="0.2">
      <c r="A390" s="22">
        <f t="shared" ref="A390:A453" si="74">A389+1</f>
        <v>385</v>
      </c>
      <c r="B390" s="23">
        <f t="shared" ref="B390:B453" si="75">B389+1/12</f>
        <v>50.138127853881592</v>
      </c>
      <c r="C390" t="str">
        <f t="shared" si="66"/>
        <v>50 y 1.66 m</v>
      </c>
      <c r="D390" s="24">
        <f>IF(A390&gt;=$E$2,IF(A390&lt;$E$2+$H$2,$P$2,0),IF(B390&lt;Dashboard!$I$6,0,IF(A390&gt;=$F$2,Dashboard!$C$23*POWER(1+$C$2,A390-$F$2),Dashboard!$C$23)))</f>
        <v>5092.3674515238745</v>
      </c>
      <c r="E390" s="24">
        <f>IF(A390&gt;=$F$2,0,IF(A390=0,Dashboard!$G$10,IF(B390&lt;Dashboard!$I$6,IF($J$2&lt;=Dashboard!$H$10,Dashboard!$H$10,MAX(Dashboard!$H$10,MIN($J$2,Dashboard!$H$10*POWER($J$2/Dashboard!$H$10,A390/$D$2)))),$I$2-D390-Dashboard!$I$10-Dashboard!$J$10-Dashboard!$F$10*$I$2)))</f>
        <v>0</v>
      </c>
      <c r="F390" s="24">
        <f t="shared" si="67"/>
        <v>11438.631422046677</v>
      </c>
      <c r="G390" s="24">
        <f t="shared" si="68"/>
        <v>15688.039294253986</v>
      </c>
      <c r="H390" s="24">
        <f t="shared" si="69"/>
        <v>0</v>
      </c>
      <c r="I390" s="24">
        <f t="shared" si="70"/>
        <v>-15688.039294253986</v>
      </c>
      <c r="J390" s="25">
        <f t="shared" si="71"/>
        <v>7.9741404289037643E-3</v>
      </c>
      <c r="K390" s="24">
        <f t="shared" ref="K390:K453" si="76">(K389+I390)*(1+J390)</f>
        <v>5016593.292372196</v>
      </c>
      <c r="L390" s="24">
        <f t="shared" si="72"/>
        <v>5016593.292372196</v>
      </c>
      <c r="M390" s="24">
        <f t="shared" si="73"/>
        <v>0</v>
      </c>
      <c r="N390" s="24">
        <f>IF(M390&lt;=0,0,IF($E$2-A390&lt;12,(M390-E390)*Dashboard!$B$18,IF($Q$2+A390&gt;=$R$2,MAX(0,M390-E390*POWER(1+$C$2,$E$2-A390))*MAX(Dashboard!$C$18,Dashboard!$B$18),IF($S$2&lt;$R$2,(M390-E390)*0.5*Dashboard!$B$18,(E390*POWER(1+$A$2,$R$2-($Q$2+A390))-E390)*0.5*Dashboard!$B$18+MAX(0,M390-E390*POWER(1+$A$2,$R$2-($Q$2+A390))*POWER(1+$C$2,$S$2-$R$2))*MAX(Dashboard!$C$18,Dashboard!$B$18)))))</f>
        <v>0</v>
      </c>
    </row>
    <row r="391" spans="1:14" x14ac:dyDescent="0.2">
      <c r="A391" s="22">
        <f t="shared" si="74"/>
        <v>386</v>
      </c>
      <c r="B391" s="23">
        <f t="shared" si="75"/>
        <v>50.221461187214928</v>
      </c>
      <c r="C391" t="str">
        <f t="shared" si="66"/>
        <v>50 y 2.66 m</v>
      </c>
      <c r="D391" s="24">
        <f>IF(A391&gt;=$E$2,IF(A391&lt;$E$2+$H$2,$P$2,0),IF(B391&lt;Dashboard!$I$6,0,IF(A391&gt;=$F$2,Dashboard!$C$23*POWER(1+$C$2,A391-$F$2),Dashboard!$C$23)))</f>
        <v>5092.3674515238745</v>
      </c>
      <c r="E391" s="24">
        <f>IF(A391&gt;=$F$2,0,IF(A391=0,Dashboard!$G$10,IF(B391&lt;Dashboard!$I$6,IF($J$2&lt;=Dashboard!$H$10,Dashboard!$H$10,MAX(Dashboard!$H$10,MIN($J$2,Dashboard!$H$10*POWER($J$2/Dashboard!$H$10,A391/$D$2)))),$I$2-D391-Dashboard!$I$10-Dashboard!$J$10-Dashboard!$F$10*$I$2)))</f>
        <v>0</v>
      </c>
      <c r="F391" s="24">
        <f t="shared" si="67"/>
        <v>11451.703686751156</v>
      </c>
      <c r="G391" s="24">
        <f t="shared" si="68"/>
        <v>15708.788920769031</v>
      </c>
      <c r="H391" s="24">
        <f t="shared" si="69"/>
        <v>0</v>
      </c>
      <c r="I391" s="24">
        <f t="shared" si="70"/>
        <v>-15708.788920769031</v>
      </c>
      <c r="J391" s="25">
        <f t="shared" si="71"/>
        <v>7.9741404289037643E-3</v>
      </c>
      <c r="K391" s="24">
        <f t="shared" si="76"/>
        <v>5040762.2587506771</v>
      </c>
      <c r="L391" s="24">
        <f t="shared" si="72"/>
        <v>5040762.2587506771</v>
      </c>
      <c r="M391" s="24">
        <f t="shared" si="73"/>
        <v>0</v>
      </c>
      <c r="N391" s="24">
        <f>IF(M391&lt;=0,0,IF($E$2-A391&lt;12,(M391-E391)*Dashboard!$B$18,IF($Q$2+A391&gt;=$R$2,MAX(0,M391-E391*POWER(1+$C$2,$E$2-A391))*MAX(Dashboard!$C$18,Dashboard!$B$18),IF($S$2&lt;$R$2,(M391-E391)*0.5*Dashboard!$B$18,(E391*POWER(1+$A$2,$R$2-($Q$2+A391))-E391)*0.5*Dashboard!$B$18+MAX(0,M391-E391*POWER(1+$A$2,$R$2-($Q$2+A391))*POWER(1+$C$2,$S$2-$R$2))*MAX(Dashboard!$C$18,Dashboard!$B$18)))))</f>
        <v>0</v>
      </c>
    </row>
    <row r="392" spans="1:14" x14ac:dyDescent="0.2">
      <c r="A392" s="22">
        <f t="shared" si="74"/>
        <v>387</v>
      </c>
      <c r="B392" s="23">
        <f t="shared" si="75"/>
        <v>50.304794520548263</v>
      </c>
      <c r="C392" t="str">
        <f t="shared" si="66"/>
        <v>50 y 3.66 m</v>
      </c>
      <c r="D392" s="24">
        <f>IF(A392&gt;=$E$2,IF(A392&lt;$E$2+$H$2,$P$2,0),IF(B392&lt;Dashboard!$I$6,0,IF(A392&gt;=$F$2,Dashboard!$C$23*POWER(1+$C$2,A392-$F$2),Dashboard!$C$23)))</f>
        <v>5092.3674515238745</v>
      </c>
      <c r="E392" s="24">
        <f>IF(A392&gt;=$F$2,0,IF(A392=0,Dashboard!$G$10,IF(B392&lt;Dashboard!$I$6,IF($J$2&lt;=Dashboard!$H$10,Dashboard!$H$10,MAX(Dashboard!$H$10,MIN($J$2,Dashboard!$H$10*POWER($J$2/Dashboard!$H$10,A392/$D$2)))),$I$2-D392-Dashboard!$I$10-Dashboard!$J$10-Dashboard!$F$10*$I$2)))</f>
        <v>0</v>
      </c>
      <c r="F392" s="24">
        <f t="shared" si="67"/>
        <v>11464.802878180602</v>
      </c>
      <c r="G392" s="24">
        <f t="shared" si="68"/>
        <v>15729.581288117357</v>
      </c>
      <c r="H392" s="24">
        <f t="shared" si="69"/>
        <v>0</v>
      </c>
      <c r="I392" s="24">
        <f t="shared" si="70"/>
        <v>-15729.581288117357</v>
      </c>
      <c r="J392" s="25">
        <f t="shared" si="71"/>
        <v>7.9741404289037643E-3</v>
      </c>
      <c r="K392" s="24">
        <f t="shared" si="76"/>
        <v>5065102.9936924772</v>
      </c>
      <c r="L392" s="24">
        <f t="shared" si="72"/>
        <v>5065102.9936924772</v>
      </c>
      <c r="M392" s="24">
        <f t="shared" si="73"/>
        <v>0</v>
      </c>
      <c r="N392" s="24">
        <f>IF(M392&lt;=0,0,IF($E$2-A392&lt;12,(M392-E392)*Dashboard!$B$18,IF($Q$2+A392&gt;=$R$2,MAX(0,M392-E392*POWER(1+$C$2,$E$2-A392))*MAX(Dashboard!$C$18,Dashboard!$B$18),IF($S$2&lt;$R$2,(M392-E392)*0.5*Dashboard!$B$18,(E392*POWER(1+$A$2,$R$2-($Q$2+A392))-E392)*0.5*Dashboard!$B$18+MAX(0,M392-E392*POWER(1+$A$2,$R$2-($Q$2+A392))*POWER(1+$C$2,$S$2-$R$2))*MAX(Dashboard!$C$18,Dashboard!$B$18)))))</f>
        <v>0</v>
      </c>
    </row>
    <row r="393" spans="1:14" x14ac:dyDescent="0.2">
      <c r="A393" s="22">
        <f t="shared" si="74"/>
        <v>388</v>
      </c>
      <c r="B393" s="23">
        <f t="shared" si="75"/>
        <v>50.388127853881599</v>
      </c>
      <c r="C393" t="str">
        <f t="shared" si="66"/>
        <v>50 y 4.66 m</v>
      </c>
      <c r="D393" s="24">
        <f>IF(A393&gt;=$E$2,IF(A393&lt;$E$2+$H$2,$P$2,0),IF(B393&lt;Dashboard!$I$6,0,IF(A393&gt;=$F$2,Dashboard!$C$23*POWER(1+$C$2,A393-$F$2),Dashboard!$C$23)))</f>
        <v>5092.3674515238745</v>
      </c>
      <c r="E393" s="24">
        <f>IF(A393&gt;=$F$2,0,IF(A393=0,Dashboard!$G$10,IF(B393&lt;Dashboard!$I$6,IF($J$2&lt;=Dashboard!$H$10,Dashboard!$H$10,MAX(Dashboard!$H$10,MIN($J$2,Dashboard!$H$10*POWER($J$2/Dashboard!$H$10,A393/$D$2)))),$I$2-D393-Dashboard!$I$10-Dashboard!$J$10-Dashboard!$F$10*$I$2)))</f>
        <v>0</v>
      </c>
      <c r="F393" s="24">
        <f t="shared" si="67"/>
        <v>11477.929051799661</v>
      </c>
      <c r="G393" s="24">
        <f t="shared" si="68"/>
        <v>15750.416484338086</v>
      </c>
      <c r="H393" s="24">
        <f t="shared" si="69"/>
        <v>0</v>
      </c>
      <c r="I393" s="24">
        <f t="shared" si="70"/>
        <v>-15750.416484338086</v>
      </c>
      <c r="J393" s="25">
        <f t="shared" si="71"/>
        <v>7.9741404289037643E-3</v>
      </c>
      <c r="K393" s="24">
        <f t="shared" si="76"/>
        <v>5089616.8237338439</v>
      </c>
      <c r="L393" s="24">
        <f t="shared" si="72"/>
        <v>5089616.8237338439</v>
      </c>
      <c r="M393" s="24">
        <f t="shared" si="73"/>
        <v>0</v>
      </c>
      <c r="N393" s="24">
        <f>IF(M393&lt;=0,0,IF($E$2-A393&lt;12,(M393-E393)*Dashboard!$B$18,IF($Q$2+A393&gt;=$R$2,MAX(0,M393-E393*POWER(1+$C$2,$E$2-A393))*MAX(Dashboard!$C$18,Dashboard!$B$18),IF($S$2&lt;$R$2,(M393-E393)*0.5*Dashboard!$B$18,(E393*POWER(1+$A$2,$R$2-($Q$2+A393))-E393)*0.5*Dashboard!$B$18+MAX(0,M393-E393*POWER(1+$A$2,$R$2-($Q$2+A393))*POWER(1+$C$2,$S$2-$R$2))*MAX(Dashboard!$C$18,Dashboard!$B$18)))))</f>
        <v>0</v>
      </c>
    </row>
    <row r="394" spans="1:14" x14ac:dyDescent="0.2">
      <c r="A394" s="22">
        <f t="shared" si="74"/>
        <v>389</v>
      </c>
      <c r="B394" s="23">
        <f t="shared" si="75"/>
        <v>50.471461187214935</v>
      </c>
      <c r="C394" t="str">
        <f t="shared" si="66"/>
        <v>50 y 5.66 m</v>
      </c>
      <c r="D394" s="24">
        <f>IF(A394&gt;=$E$2,IF(A394&lt;$E$2+$H$2,$P$2,0),IF(B394&lt;Dashboard!$I$6,0,IF(A394&gt;=$F$2,Dashboard!$C$23*POWER(1+$C$2,A394-$F$2),Dashboard!$C$23)))</f>
        <v>5092.3674515238745</v>
      </c>
      <c r="E394" s="24">
        <f>IF(A394&gt;=$F$2,0,IF(A394=0,Dashboard!$G$10,IF(B394&lt;Dashboard!$I$6,IF($J$2&lt;=Dashboard!$H$10,Dashboard!$H$10,MAX(Dashboard!$H$10,MIN($J$2,Dashboard!$H$10*POWER($J$2/Dashboard!$H$10,A394/$D$2)))),$I$2-D394-Dashboard!$I$10-Dashboard!$J$10-Dashboard!$F$10*$I$2)))</f>
        <v>0</v>
      </c>
      <c r="F394" s="24">
        <f t="shared" si="67"/>
        <v>11491.082263187225</v>
      </c>
      <c r="G394" s="24">
        <f t="shared" si="68"/>
        <v>15771.294597651678</v>
      </c>
      <c r="H394" s="24">
        <f t="shared" si="69"/>
        <v>0</v>
      </c>
      <c r="I394" s="24">
        <f t="shared" si="70"/>
        <v>-15771.294597651678</v>
      </c>
      <c r="J394" s="25">
        <f t="shared" si="71"/>
        <v>7.9741404289037643E-3</v>
      </c>
      <c r="K394" s="24">
        <f t="shared" si="76"/>
        <v>5114305.0859000897</v>
      </c>
      <c r="L394" s="24">
        <f t="shared" si="72"/>
        <v>5114305.0859000897</v>
      </c>
      <c r="M394" s="24">
        <f t="shared" si="73"/>
        <v>0</v>
      </c>
      <c r="N394" s="24">
        <f>IF(M394&lt;=0,0,IF($E$2-A394&lt;12,(M394-E394)*Dashboard!$B$18,IF($Q$2+A394&gt;=$R$2,MAX(0,M394-E394*POWER(1+$C$2,$E$2-A394))*MAX(Dashboard!$C$18,Dashboard!$B$18),IF($S$2&lt;$R$2,(M394-E394)*0.5*Dashboard!$B$18,(E394*POWER(1+$A$2,$R$2-($Q$2+A394))-E394)*0.5*Dashboard!$B$18+MAX(0,M394-E394*POWER(1+$A$2,$R$2-($Q$2+A394))*POWER(1+$C$2,$S$2-$R$2))*MAX(Dashboard!$C$18,Dashboard!$B$18)))))</f>
        <v>0</v>
      </c>
    </row>
    <row r="395" spans="1:14" x14ac:dyDescent="0.2">
      <c r="A395" s="22">
        <f t="shared" si="74"/>
        <v>390</v>
      </c>
      <c r="B395" s="23">
        <f t="shared" si="75"/>
        <v>50.55479452054827</v>
      </c>
      <c r="C395" t="str">
        <f t="shared" si="66"/>
        <v>50 y 6.66 m</v>
      </c>
      <c r="D395" s="24">
        <f>IF(A395&gt;=$E$2,IF(A395&lt;$E$2+$H$2,$P$2,0),IF(B395&lt;Dashboard!$I$6,0,IF(A395&gt;=$F$2,Dashboard!$C$23*POWER(1+$C$2,A395-$F$2),Dashboard!$C$23)))</f>
        <v>5092.3674515238745</v>
      </c>
      <c r="E395" s="24">
        <f>IF(A395&gt;=$F$2,0,IF(A395=0,Dashboard!$G$10,IF(B395&lt;Dashboard!$I$6,IF($J$2&lt;=Dashboard!$H$10,Dashboard!$H$10,MAX(Dashboard!$H$10,MIN($J$2,Dashboard!$H$10*POWER($J$2/Dashboard!$H$10,A395/$D$2)))),$I$2-D395-Dashboard!$I$10-Dashboard!$J$10-Dashboard!$F$10*$I$2)))</f>
        <v>0</v>
      </c>
      <c r="F395" s="24">
        <f t="shared" si="67"/>
        <v>11504.262568036669</v>
      </c>
      <c r="G395" s="24">
        <f t="shared" si="68"/>
        <v>15792.215716460321</v>
      </c>
      <c r="H395" s="24">
        <f t="shared" si="69"/>
        <v>0</v>
      </c>
      <c r="I395" s="24">
        <f t="shared" si="70"/>
        <v>-15792.215716460321</v>
      </c>
      <c r="J395" s="25">
        <f t="shared" si="71"/>
        <v>7.9741404289037643E-3</v>
      </c>
      <c r="K395" s="24">
        <f t="shared" si="76"/>
        <v>5139169.1277890466</v>
      </c>
      <c r="L395" s="24">
        <f t="shared" si="72"/>
        <v>5139169.1277890466</v>
      </c>
      <c r="M395" s="24">
        <f t="shared" si="73"/>
        <v>0</v>
      </c>
      <c r="N395" s="24">
        <f>IF(M395&lt;=0,0,IF($E$2-A395&lt;12,(M395-E395)*Dashboard!$B$18,IF($Q$2+A395&gt;=$R$2,MAX(0,M395-E395*POWER(1+$C$2,$E$2-A395))*MAX(Dashboard!$C$18,Dashboard!$B$18),IF($S$2&lt;$R$2,(M395-E395)*0.5*Dashboard!$B$18,(E395*POWER(1+$A$2,$R$2-($Q$2+A395))-E395)*0.5*Dashboard!$B$18+MAX(0,M395-E395*POWER(1+$A$2,$R$2-($Q$2+A395))*POWER(1+$C$2,$S$2-$R$2))*MAX(Dashboard!$C$18,Dashboard!$B$18)))))</f>
        <v>0</v>
      </c>
    </row>
    <row r="396" spans="1:14" x14ac:dyDescent="0.2">
      <c r="A396" s="22">
        <f t="shared" si="74"/>
        <v>391</v>
      </c>
      <c r="B396" s="23">
        <f t="shared" si="75"/>
        <v>50.638127853881606</v>
      </c>
      <c r="C396" t="str">
        <f t="shared" si="66"/>
        <v>50 y 7.66 m</v>
      </c>
      <c r="D396" s="24">
        <f>IF(A396&gt;=$E$2,IF(A396&lt;$E$2+$H$2,$P$2,0),IF(B396&lt;Dashboard!$I$6,0,IF(A396&gt;=$F$2,Dashboard!$C$23*POWER(1+$C$2,A396-$F$2),Dashboard!$C$23)))</f>
        <v>5092.3674515238745</v>
      </c>
      <c r="E396" s="24">
        <f>IF(A396&gt;=$F$2,0,IF(A396=0,Dashboard!$G$10,IF(B396&lt;Dashboard!$I$6,IF($J$2&lt;=Dashboard!$H$10,Dashboard!$H$10,MAX(Dashboard!$H$10,MIN($J$2,Dashboard!$H$10*POWER($J$2/Dashboard!$H$10,A396/$D$2)))),$I$2-D396-Dashboard!$I$10-Dashboard!$J$10-Dashboard!$F$10*$I$2)))</f>
        <v>0</v>
      </c>
      <c r="F396" s="24">
        <f t="shared" si="67"/>
        <v>11517.470022156089</v>
      </c>
      <c r="G396" s="24">
        <f t="shared" si="68"/>
        <v>15813.179929348285</v>
      </c>
      <c r="H396" s="24">
        <f t="shared" si="69"/>
        <v>0</v>
      </c>
      <c r="I396" s="24">
        <f t="shared" si="70"/>
        <v>-15813.179929348285</v>
      </c>
      <c r="J396" s="25">
        <f t="shared" si="71"/>
        <v>7.9741404289037643E-3</v>
      </c>
      <c r="K396" s="24">
        <f t="shared" si="76"/>
        <v>5164210.3076551901</v>
      </c>
      <c r="L396" s="24">
        <f t="shared" si="72"/>
        <v>5164210.3076551901</v>
      </c>
      <c r="M396" s="24">
        <f t="shared" si="73"/>
        <v>0</v>
      </c>
      <c r="N396" s="24">
        <f>IF(M396&lt;=0,0,IF($E$2-A396&lt;12,(M396-E396)*Dashboard!$B$18,IF($Q$2+A396&gt;=$R$2,MAX(0,M396-E396*POWER(1+$C$2,$E$2-A396))*MAX(Dashboard!$C$18,Dashboard!$B$18),IF($S$2&lt;$R$2,(M396-E396)*0.5*Dashboard!$B$18,(E396*POWER(1+$A$2,$R$2-($Q$2+A396))-E396)*0.5*Dashboard!$B$18+MAX(0,M396-E396*POWER(1+$A$2,$R$2-($Q$2+A396))*POWER(1+$C$2,$S$2-$R$2))*MAX(Dashboard!$C$18,Dashboard!$B$18)))))</f>
        <v>0</v>
      </c>
    </row>
    <row r="397" spans="1:14" x14ac:dyDescent="0.2">
      <c r="A397" s="22">
        <f t="shared" si="74"/>
        <v>392</v>
      </c>
      <c r="B397" s="23">
        <f t="shared" si="75"/>
        <v>50.721461187214942</v>
      </c>
      <c r="C397" t="str">
        <f t="shared" si="66"/>
        <v>50 y 8.66 m</v>
      </c>
      <c r="D397" s="24">
        <f>IF(A397&gt;=$E$2,IF(A397&lt;$E$2+$H$2,$P$2,0),IF(B397&lt;Dashboard!$I$6,0,IF(A397&gt;=$F$2,Dashboard!$C$23*POWER(1+$C$2,A397-$F$2),Dashboard!$C$23)))</f>
        <v>5092.3674515238745</v>
      </c>
      <c r="E397" s="24">
        <f>IF(A397&gt;=$F$2,0,IF(A397=0,Dashboard!$G$10,IF(B397&lt;Dashboard!$I$6,IF($J$2&lt;=Dashboard!$H$10,Dashboard!$H$10,MAX(Dashboard!$H$10,MIN($J$2,Dashboard!$H$10*POWER($J$2/Dashboard!$H$10,A397/$D$2)))),$I$2-D397-Dashboard!$I$10-Dashboard!$J$10-Dashboard!$F$10*$I$2)))</f>
        <v>0</v>
      </c>
      <c r="F397" s="24">
        <f t="shared" si="67"/>
        <v>11530.704681468538</v>
      </c>
      <c r="G397" s="24">
        <f t="shared" si="68"/>
        <v>15834.31154206401</v>
      </c>
      <c r="H397" s="24">
        <f t="shared" si="69"/>
        <v>0</v>
      </c>
      <c r="I397" s="24">
        <f t="shared" si="70"/>
        <v>-15834.31154206401</v>
      </c>
      <c r="J397" s="25">
        <f t="shared" si="71"/>
        <v>7.9741404289037643E-3</v>
      </c>
      <c r="K397" s="24">
        <f t="shared" si="76"/>
        <v>5189429.8692869293</v>
      </c>
      <c r="L397" s="24">
        <f t="shared" si="72"/>
        <v>5189429.8692869293</v>
      </c>
      <c r="M397" s="24">
        <f t="shared" si="73"/>
        <v>0</v>
      </c>
      <c r="N397" s="24">
        <f>IF(M397&lt;=0,0,IF($E$2-A397&lt;12,(M397-E397)*Dashboard!$B$18,IF($Q$2+A397&gt;=$R$2,MAX(0,M397-E397*POWER(1+$C$2,$E$2-A397))*MAX(Dashboard!$C$18,Dashboard!$B$18),IF($S$2&lt;$R$2,(M397-E397)*0.5*Dashboard!$B$18,(E397*POWER(1+$A$2,$R$2-($Q$2+A397))-E397)*0.5*Dashboard!$B$18+MAX(0,M397-E397*POWER(1+$A$2,$R$2-($Q$2+A397))*POWER(1+$C$2,$S$2-$R$2))*MAX(Dashboard!$C$18,Dashboard!$B$18)))))</f>
        <v>0</v>
      </c>
    </row>
    <row r="398" spans="1:14" x14ac:dyDescent="0.2">
      <c r="A398" s="22">
        <f t="shared" si="74"/>
        <v>393</v>
      </c>
      <c r="B398" s="23">
        <f t="shared" si="75"/>
        <v>50.804794520548278</v>
      </c>
      <c r="C398" t="str">
        <f t="shared" si="66"/>
        <v>50 y 9.66 m</v>
      </c>
      <c r="D398" s="24">
        <f>IF(A398&gt;=$E$2,IF(A398&lt;$E$2+$H$2,$P$2,0),IF(B398&lt;Dashboard!$I$6,0,IF(A398&gt;=$F$2,Dashboard!$C$23*POWER(1+$C$2,A398-$F$2),Dashboard!$C$23)))</f>
        <v>5092.3674515238745</v>
      </c>
      <c r="E398" s="24">
        <f>IF(A398&gt;=$F$2,0,IF(A398=0,Dashboard!$G$10,IF(B398&lt;Dashboard!$I$6,IF($J$2&lt;=Dashboard!$H$10,Dashboard!$H$10,MAX(Dashboard!$H$10,MIN($J$2,Dashboard!$H$10*POWER($J$2/Dashboard!$H$10,A398/$D$2)))),$I$2-D398-Dashboard!$I$10-Dashboard!$J$10-Dashboard!$F$10*$I$2)))</f>
        <v>0</v>
      </c>
      <c r="F398" s="24">
        <f t="shared" si="67"/>
        <v>11543.966602012257</v>
      </c>
      <c r="G398" s="24">
        <f t="shared" si="68"/>
        <v>15858.424124870771</v>
      </c>
      <c r="H398" s="24">
        <f t="shared" si="69"/>
        <v>0</v>
      </c>
      <c r="I398" s="24">
        <f t="shared" si="70"/>
        <v>-15858.424124870771</v>
      </c>
      <c r="J398" s="25">
        <f t="shared" si="71"/>
        <v>7.9741404289037643E-3</v>
      </c>
      <c r="K398" s="24">
        <f t="shared" si="76"/>
        <v>5214826.2303847475</v>
      </c>
      <c r="L398" s="24">
        <f t="shared" si="72"/>
        <v>5214826.2303847475</v>
      </c>
      <c r="M398" s="24">
        <f t="shared" si="73"/>
        <v>0</v>
      </c>
      <c r="N398" s="24">
        <f>IF(M398&lt;=0,0,IF($E$2-A398&lt;12,(M398-E398)*Dashboard!$B$18,IF($Q$2+A398&gt;=$R$2,MAX(0,M398-E398*POWER(1+$C$2,$E$2-A398))*MAX(Dashboard!$C$18,Dashboard!$B$18),IF($S$2&lt;$R$2,(M398-E398)*0.5*Dashboard!$B$18,(E398*POWER(1+$A$2,$R$2-($Q$2+A398))-E398)*0.5*Dashboard!$B$18+MAX(0,M398-E398*POWER(1+$A$2,$R$2-($Q$2+A398))*POWER(1+$C$2,$S$2-$R$2))*MAX(Dashboard!$C$18,Dashboard!$B$18)))))</f>
        <v>0</v>
      </c>
    </row>
    <row r="399" spans="1:14" x14ac:dyDescent="0.2">
      <c r="A399" s="22">
        <f t="shared" si="74"/>
        <v>394</v>
      </c>
      <c r="B399" s="23">
        <f t="shared" si="75"/>
        <v>50.888127853881613</v>
      </c>
      <c r="C399" t="str">
        <f t="shared" si="66"/>
        <v>50 y 10.66 m</v>
      </c>
      <c r="D399" s="24">
        <f>IF(A399&gt;=$E$2,IF(A399&lt;$E$2+$H$2,$P$2,0),IF(B399&lt;Dashboard!$I$6,0,IF(A399&gt;=$F$2,Dashboard!$C$23*POWER(1+$C$2,A399-$F$2),Dashboard!$C$23)))</f>
        <v>5092.3674515238745</v>
      </c>
      <c r="E399" s="24">
        <f>IF(A399&gt;=$F$2,0,IF(A399=0,Dashboard!$G$10,IF(B399&lt;Dashboard!$I$6,IF($J$2&lt;=Dashboard!$H$10,Dashboard!$H$10,MAX(Dashboard!$H$10,MIN($J$2,Dashboard!$H$10*POWER($J$2/Dashboard!$H$10,A399/$D$2)))),$I$2-D399-Dashboard!$I$10-Dashboard!$J$10-Dashboard!$F$10*$I$2)))</f>
        <v>0</v>
      </c>
      <c r="F399" s="24">
        <f t="shared" si="67"/>
        <v>11557.255839940919</v>
      </c>
      <c r="G399" s="24">
        <f t="shared" si="68"/>
        <v>15882.586375650157</v>
      </c>
      <c r="H399" s="24">
        <f t="shared" si="69"/>
        <v>0</v>
      </c>
      <c r="I399" s="24">
        <f t="shared" si="70"/>
        <v>-15882.586375650157</v>
      </c>
      <c r="J399" s="25">
        <f t="shared" si="71"/>
        <v>7.9741404289037643E-3</v>
      </c>
      <c r="K399" s="24">
        <f t="shared" si="76"/>
        <v>5240400.7507083826</v>
      </c>
      <c r="L399" s="24">
        <f t="shared" si="72"/>
        <v>5240400.7507083826</v>
      </c>
      <c r="M399" s="24">
        <f t="shared" si="73"/>
        <v>0</v>
      </c>
      <c r="N399" s="24">
        <f>IF(M399&lt;=0,0,IF($E$2-A399&lt;12,(M399-E399)*Dashboard!$B$18,IF($Q$2+A399&gt;=$R$2,MAX(0,M399-E399*POWER(1+$C$2,$E$2-A399))*MAX(Dashboard!$C$18,Dashboard!$B$18),IF($S$2&lt;$R$2,(M399-E399)*0.5*Dashboard!$B$18,(E399*POWER(1+$A$2,$R$2-($Q$2+A399))-E399)*0.5*Dashboard!$B$18+MAX(0,M399-E399*POWER(1+$A$2,$R$2-($Q$2+A399))*POWER(1+$C$2,$S$2-$R$2))*MAX(Dashboard!$C$18,Dashboard!$B$18)))))</f>
        <v>0</v>
      </c>
    </row>
    <row r="400" spans="1:14" x14ac:dyDescent="0.2">
      <c r="A400" s="22">
        <f t="shared" si="74"/>
        <v>395</v>
      </c>
      <c r="B400" s="23">
        <f t="shared" si="75"/>
        <v>50.971461187214949</v>
      </c>
      <c r="C400" t="str">
        <f t="shared" si="66"/>
        <v>50 y 11.66 m</v>
      </c>
      <c r="D400" s="24">
        <f>IF(A400&gt;=$E$2,IF(A400&lt;$E$2+$H$2,$P$2,0),IF(B400&lt;Dashboard!$I$6,0,IF(A400&gt;=$F$2,Dashboard!$C$23*POWER(1+$C$2,A400-$F$2),Dashboard!$C$23)))</f>
        <v>5092.3674515238745</v>
      </c>
      <c r="E400" s="24">
        <f>IF(A400&gt;=$F$2,0,IF(A400=0,Dashboard!$G$10,IF(B400&lt;Dashboard!$I$6,IF($J$2&lt;=Dashboard!$H$10,Dashboard!$H$10,MAX(Dashboard!$H$10,MIN($J$2,Dashboard!$H$10*POWER($J$2/Dashboard!$H$10,A400/$D$2)))),$I$2-D400-Dashboard!$I$10-Dashboard!$J$10-Dashboard!$F$10*$I$2)))</f>
        <v>0</v>
      </c>
      <c r="F400" s="24">
        <f t="shared" si="67"/>
        <v>11570.572451523865</v>
      </c>
      <c r="G400" s="24">
        <f t="shared" si="68"/>
        <v>15906.798396710057</v>
      </c>
      <c r="H400" s="24">
        <f t="shared" si="69"/>
        <v>0</v>
      </c>
      <c r="I400" s="24">
        <f t="shared" si="70"/>
        <v>-15906.798396710057</v>
      </c>
      <c r="J400" s="25">
        <f t="shared" si="71"/>
        <v>7.9741404289037643E-3</v>
      </c>
      <c r="K400" s="24">
        <f t="shared" si="76"/>
        <v>5266154.8007573644</v>
      </c>
      <c r="L400" s="24">
        <f t="shared" si="72"/>
        <v>5266154.8007573644</v>
      </c>
      <c r="M400" s="24">
        <f t="shared" si="73"/>
        <v>0</v>
      </c>
      <c r="N400" s="24">
        <f>IF(M400&lt;=0,0,IF($E$2-A400&lt;12,(M400-E400)*Dashboard!$B$18,IF($Q$2+A400&gt;=$R$2,MAX(0,M400-E400*POWER(1+$C$2,$E$2-A400))*MAX(Dashboard!$C$18,Dashboard!$B$18),IF($S$2&lt;$R$2,(M400-E400)*0.5*Dashboard!$B$18,(E400*POWER(1+$A$2,$R$2-($Q$2+A400))-E400)*0.5*Dashboard!$B$18+MAX(0,M400-E400*POWER(1+$A$2,$R$2-($Q$2+A400))*POWER(1+$C$2,$S$2-$R$2))*MAX(Dashboard!$C$18,Dashboard!$B$18)))))</f>
        <v>0</v>
      </c>
    </row>
    <row r="401" spans="1:14" x14ac:dyDescent="0.2">
      <c r="A401" s="22">
        <f t="shared" si="74"/>
        <v>396</v>
      </c>
      <c r="B401" s="23">
        <f t="shared" si="75"/>
        <v>51.054794520548285</v>
      </c>
      <c r="C401" t="str">
        <f t="shared" si="66"/>
        <v>51 y 0.66 m</v>
      </c>
      <c r="D401" s="24">
        <f>IF(A401&gt;=$E$2,IF(A401&lt;$E$2+$H$2,$P$2,0),IF(B401&lt;Dashboard!$I$6,0,IF(A401&gt;=$F$2,Dashboard!$C$23*POWER(1+$C$2,A401-$F$2),Dashboard!$C$23)))</f>
        <v>5092.3674515238745</v>
      </c>
      <c r="E401" s="24">
        <f>IF(A401&gt;=$F$2,0,IF(A401=0,Dashboard!$G$10,IF(B401&lt;Dashboard!$I$6,IF($J$2&lt;=Dashboard!$H$10,Dashboard!$H$10,MAX(Dashboard!$H$10,MIN($J$2,Dashboard!$H$10*POWER($J$2/Dashboard!$H$10,A401/$D$2)))),$I$2-D401-Dashboard!$I$10-Dashboard!$J$10-Dashboard!$F$10*$I$2)))</f>
        <v>0</v>
      </c>
      <c r="F401" s="24">
        <f t="shared" si="67"/>
        <v>11583.916493146342</v>
      </c>
      <c r="G401" s="24">
        <f t="shared" si="68"/>
        <v>15931.060290569105</v>
      </c>
      <c r="H401" s="24">
        <f t="shared" si="69"/>
        <v>0</v>
      </c>
      <c r="I401" s="24">
        <f t="shared" si="70"/>
        <v>-15931.060290569105</v>
      </c>
      <c r="J401" s="25">
        <f t="shared" si="71"/>
        <v>7.9741404289037643E-3</v>
      </c>
      <c r="K401" s="24">
        <f t="shared" si="76"/>
        <v>5292089.7618564414</v>
      </c>
      <c r="L401" s="24">
        <f t="shared" si="72"/>
        <v>5292089.7618564414</v>
      </c>
      <c r="M401" s="24">
        <f t="shared" si="73"/>
        <v>0</v>
      </c>
      <c r="N401" s="24">
        <f>IF(M401&lt;=0,0,IF($E$2-A401&lt;12,(M401-E401)*Dashboard!$B$18,IF($Q$2+A401&gt;=$R$2,MAX(0,M401-E401*POWER(1+$C$2,$E$2-A401))*MAX(Dashboard!$C$18,Dashboard!$B$18),IF($S$2&lt;$R$2,(M401-E401)*0.5*Dashboard!$B$18,(E401*POWER(1+$A$2,$R$2-($Q$2+A401))-E401)*0.5*Dashboard!$B$18+MAX(0,M401-E401*POWER(1+$A$2,$R$2-($Q$2+A401))*POWER(1+$C$2,$S$2-$R$2))*MAX(Dashboard!$C$18,Dashboard!$B$18)))))</f>
        <v>0</v>
      </c>
    </row>
    <row r="402" spans="1:14" x14ac:dyDescent="0.2">
      <c r="A402" s="22">
        <f t="shared" si="74"/>
        <v>397</v>
      </c>
      <c r="B402" s="23">
        <f t="shared" si="75"/>
        <v>51.13812785388162</v>
      </c>
      <c r="C402" t="str">
        <f t="shared" si="66"/>
        <v>51 y 1.66 m</v>
      </c>
      <c r="D402" s="24">
        <f>IF(A402&gt;=$E$2,IF(A402&lt;$E$2+$H$2,$P$2,0),IF(B402&lt;Dashboard!$I$6,0,IF(A402&gt;=$F$2,Dashboard!$C$23*POWER(1+$C$2,A402-$F$2),Dashboard!$C$23)))</f>
        <v>5092.3674515238745</v>
      </c>
      <c r="E402" s="24">
        <f>IF(A402&gt;=$F$2,0,IF(A402=0,Dashboard!$G$10,IF(B402&lt;Dashboard!$I$6,IF($J$2&lt;=Dashboard!$H$10,Dashboard!$H$10,MAX(Dashboard!$H$10,MIN($J$2,Dashboard!$H$10*POWER($J$2/Dashboard!$H$10,A402/$D$2)))),$I$2-D402-Dashboard!$I$10-Dashboard!$J$10-Dashboard!$F$10*$I$2)))</f>
        <v>0</v>
      </c>
      <c r="F402" s="24">
        <f t="shared" si="67"/>
        <v>11597.288021309738</v>
      </c>
      <c r="G402" s="24">
        <f t="shared" si="68"/>
        <v>15955.3721599571</v>
      </c>
      <c r="H402" s="24">
        <f t="shared" si="69"/>
        <v>0</v>
      </c>
      <c r="I402" s="24">
        <f t="shared" si="70"/>
        <v>-15955.3721599571</v>
      </c>
      <c r="J402" s="25">
        <f t="shared" si="71"/>
        <v>7.9741404289037643E-3</v>
      </c>
      <c r="K402" s="24">
        <f t="shared" si="76"/>
        <v>5318207.0262416927</v>
      </c>
      <c r="L402" s="24">
        <f t="shared" si="72"/>
        <v>5318207.0262416927</v>
      </c>
      <c r="M402" s="24">
        <f t="shared" si="73"/>
        <v>0</v>
      </c>
      <c r="N402" s="24">
        <f>IF(M402&lt;=0,0,IF($E$2-A402&lt;12,(M402-E402)*Dashboard!$B$18,IF($Q$2+A402&gt;=$R$2,MAX(0,M402-E402*POWER(1+$C$2,$E$2-A402))*MAX(Dashboard!$C$18,Dashboard!$B$18),IF($S$2&lt;$R$2,(M402-E402)*0.5*Dashboard!$B$18,(E402*POWER(1+$A$2,$R$2-($Q$2+A402))-E402)*0.5*Dashboard!$B$18+MAX(0,M402-E402*POWER(1+$A$2,$R$2-($Q$2+A402))*POWER(1+$C$2,$S$2-$R$2))*MAX(Dashboard!$C$18,Dashboard!$B$18)))))</f>
        <v>0</v>
      </c>
    </row>
    <row r="403" spans="1:14" x14ac:dyDescent="0.2">
      <c r="A403" s="22">
        <f t="shared" si="74"/>
        <v>398</v>
      </c>
      <c r="B403" s="23">
        <f t="shared" si="75"/>
        <v>51.221461187214956</v>
      </c>
      <c r="C403" t="str">
        <f t="shared" si="66"/>
        <v>51 y 2.66 m</v>
      </c>
      <c r="D403" s="24">
        <f>IF(A403&gt;=$E$2,IF(A403&lt;$E$2+$H$2,$P$2,0),IF(B403&lt;Dashboard!$I$6,0,IF(A403&gt;=$F$2,Dashboard!$C$23*POWER(1+$C$2,A403-$F$2),Dashboard!$C$23)))</f>
        <v>5092.3674515238745</v>
      </c>
      <c r="E403" s="24">
        <f>IF(A403&gt;=$F$2,0,IF(A403=0,Dashboard!$G$10,IF(B403&lt;Dashboard!$I$6,IF($J$2&lt;=Dashboard!$H$10,Dashboard!$H$10,MAX(Dashboard!$H$10,MIN($J$2,Dashboard!$H$10*POWER($J$2/Dashboard!$H$10,A403/$D$2)))),$I$2-D403-Dashboard!$I$10-Dashboard!$J$10-Dashboard!$F$10*$I$2)))</f>
        <v>0</v>
      </c>
      <c r="F403" s="24">
        <f t="shared" si="67"/>
        <v>11610.68709263183</v>
      </c>
      <c r="G403" s="24">
        <f t="shared" si="68"/>
        <v>15979.734107815448</v>
      </c>
      <c r="H403" s="24">
        <f t="shared" si="69"/>
        <v>0</v>
      </c>
      <c r="I403" s="24">
        <f t="shared" si="70"/>
        <v>-15979.734107815448</v>
      </c>
      <c r="J403" s="25">
        <f t="shared" si="71"/>
        <v>7.9741404289037643E-3</v>
      </c>
      <c r="K403" s="24">
        <f t="shared" si="76"/>
        <v>5344507.9971473189</v>
      </c>
      <c r="L403" s="24">
        <f t="shared" si="72"/>
        <v>5344507.9971473189</v>
      </c>
      <c r="M403" s="24">
        <f t="shared" si="73"/>
        <v>0</v>
      </c>
      <c r="N403" s="24">
        <f>IF(M403&lt;=0,0,IF($E$2-A403&lt;12,(M403-E403)*Dashboard!$B$18,IF($Q$2+A403&gt;=$R$2,MAX(0,M403-E403*POWER(1+$C$2,$E$2-A403))*MAX(Dashboard!$C$18,Dashboard!$B$18),IF($S$2&lt;$R$2,(M403-E403)*0.5*Dashboard!$B$18,(E403*POWER(1+$A$2,$R$2-($Q$2+A403))-E403)*0.5*Dashboard!$B$18+MAX(0,M403-E403*POWER(1+$A$2,$R$2-($Q$2+A403))*POWER(1+$C$2,$S$2-$R$2))*MAX(Dashboard!$C$18,Dashboard!$B$18)))))</f>
        <v>0</v>
      </c>
    </row>
    <row r="404" spans="1:14" x14ac:dyDescent="0.2">
      <c r="A404" s="22">
        <f t="shared" si="74"/>
        <v>399</v>
      </c>
      <c r="B404" s="23">
        <f t="shared" si="75"/>
        <v>51.304794520548292</v>
      </c>
      <c r="C404" t="str">
        <f t="shared" si="66"/>
        <v>51 y 3.66 m</v>
      </c>
      <c r="D404" s="24">
        <f>IF(A404&gt;=$E$2,IF(A404&lt;$E$2+$H$2,$P$2,0),IF(B404&lt;Dashboard!$I$6,0,IF(A404&gt;=$F$2,Dashboard!$C$23*POWER(1+$C$2,A404-$F$2),Dashboard!$C$23)))</f>
        <v>5092.3674515238745</v>
      </c>
      <c r="E404" s="24">
        <f>IF(A404&gt;=$F$2,0,IF(A404=0,Dashboard!$G$10,IF(B404&lt;Dashboard!$I$6,IF($J$2&lt;=Dashboard!$H$10,Dashboard!$H$10,MAX(Dashboard!$H$10,MIN($J$2,Dashboard!$H$10*POWER($J$2/Dashboard!$H$10,A404/$D$2)))),$I$2-D404-Dashboard!$I$10-Dashboard!$J$10-Dashboard!$F$10*$I$2)))</f>
        <v>0</v>
      </c>
      <c r="F404" s="24">
        <f t="shared" si="67"/>
        <v>11624.113763847012</v>
      </c>
      <c r="G404" s="24">
        <f t="shared" si="68"/>
        <v>16004.146237297597</v>
      </c>
      <c r="H404" s="24">
        <f t="shared" si="69"/>
        <v>0</v>
      </c>
      <c r="I404" s="24">
        <f t="shared" si="70"/>
        <v>-16004.146237297597</v>
      </c>
      <c r="J404" s="25">
        <f t="shared" si="71"/>
        <v>7.9741404289037643E-3</v>
      </c>
      <c r="K404" s="24">
        <f t="shared" si="76"/>
        <v>5370994.0888931323</v>
      </c>
      <c r="L404" s="24">
        <f t="shared" si="72"/>
        <v>5370994.0888931323</v>
      </c>
      <c r="M404" s="24">
        <f t="shared" si="73"/>
        <v>0</v>
      </c>
      <c r="N404" s="24">
        <f>IF(M404&lt;=0,0,IF($E$2-A404&lt;12,(M404-E404)*Dashboard!$B$18,IF($Q$2+A404&gt;=$R$2,MAX(0,M404-E404*POWER(1+$C$2,$E$2-A404))*MAX(Dashboard!$C$18,Dashboard!$B$18),IF($S$2&lt;$R$2,(M404-E404)*0.5*Dashboard!$B$18,(E404*POWER(1+$A$2,$R$2-($Q$2+A404))-E404)*0.5*Dashboard!$B$18+MAX(0,M404-E404*POWER(1+$A$2,$R$2-($Q$2+A404))*POWER(1+$C$2,$S$2-$R$2))*MAX(Dashboard!$C$18,Dashboard!$B$18)))))</f>
        <v>0</v>
      </c>
    </row>
    <row r="405" spans="1:14" x14ac:dyDescent="0.2">
      <c r="A405" s="22">
        <f t="shared" si="74"/>
        <v>400</v>
      </c>
      <c r="B405" s="23">
        <f t="shared" si="75"/>
        <v>51.388127853881628</v>
      </c>
      <c r="C405" t="str">
        <f t="shared" si="66"/>
        <v>51 y 4.66 m</v>
      </c>
      <c r="D405" s="24">
        <f>IF(A405&gt;=$E$2,IF(A405&lt;$E$2+$H$2,$P$2,0),IF(B405&lt;Dashboard!$I$6,0,IF(A405&gt;=$F$2,Dashboard!$C$23*POWER(1+$C$2,A405-$F$2),Dashboard!$C$23)))</f>
        <v>5092.3674515238745</v>
      </c>
      <c r="E405" s="24">
        <f>IF(A405&gt;=$F$2,0,IF(A405=0,Dashboard!$G$10,IF(B405&lt;Dashboard!$I$6,IF($J$2&lt;=Dashboard!$H$10,Dashboard!$H$10,MAX(Dashboard!$H$10,MIN($J$2,Dashboard!$H$10*POWER($J$2/Dashboard!$H$10,A405/$D$2)))),$I$2-D405-Dashboard!$I$10-Dashboard!$J$10-Dashboard!$F$10*$I$2)))</f>
        <v>0</v>
      </c>
      <c r="F405" s="24">
        <f t="shared" si="67"/>
        <v>11637.568091806548</v>
      </c>
      <c r="G405" s="24">
        <f t="shared" si="68"/>
        <v>16028.60865176948</v>
      </c>
      <c r="H405" s="24">
        <f t="shared" si="69"/>
        <v>0</v>
      </c>
      <c r="I405" s="24">
        <f t="shared" si="70"/>
        <v>-16028.60865176948</v>
      </c>
      <c r="J405" s="25">
        <f t="shared" si="71"/>
        <v>7.9741404289037643E-3</v>
      </c>
      <c r="K405" s="24">
        <f t="shared" si="76"/>
        <v>5397666.7269727392</v>
      </c>
      <c r="L405" s="24">
        <f t="shared" si="72"/>
        <v>5397666.7269727392</v>
      </c>
      <c r="M405" s="24">
        <f t="shared" si="73"/>
        <v>0</v>
      </c>
      <c r="N405" s="24">
        <f>IF(M405&lt;=0,0,IF($E$2-A405&lt;12,(M405-E405)*Dashboard!$B$18,IF($Q$2+A405&gt;=$R$2,MAX(0,M405-E405*POWER(1+$C$2,$E$2-A405))*MAX(Dashboard!$C$18,Dashboard!$B$18),IF($S$2&lt;$R$2,(M405-E405)*0.5*Dashboard!$B$18,(E405*POWER(1+$A$2,$R$2-($Q$2+A405))-E405)*0.5*Dashboard!$B$18+MAX(0,M405-E405*POWER(1+$A$2,$R$2-($Q$2+A405))*POWER(1+$C$2,$S$2-$R$2))*MAX(Dashboard!$C$18,Dashboard!$B$18)))))</f>
        <v>0</v>
      </c>
    </row>
    <row r="406" spans="1:14" x14ac:dyDescent="0.2">
      <c r="A406" s="22">
        <f t="shared" si="74"/>
        <v>401</v>
      </c>
      <c r="B406" s="23">
        <f t="shared" si="75"/>
        <v>51.471461187214963</v>
      </c>
      <c r="C406" t="str">
        <f t="shared" si="66"/>
        <v>51 y 5.66 m</v>
      </c>
      <c r="D406" s="24">
        <f>IF(A406&gt;=$E$2,IF(A406&lt;$E$2+$H$2,$P$2,0),IF(B406&lt;Dashboard!$I$6,0,IF(A406&gt;=$F$2,Dashboard!$C$23*POWER(1+$C$2,A406-$F$2),Dashboard!$C$23)))</f>
        <v>5092.3674515238745</v>
      </c>
      <c r="E406" s="24">
        <f>IF(A406&gt;=$F$2,0,IF(A406=0,Dashboard!$G$10,IF(B406&lt;Dashboard!$I$6,IF($J$2&lt;=Dashboard!$H$10,Dashboard!$H$10,MAX(Dashboard!$H$10,MIN($J$2,Dashboard!$H$10*POWER($J$2/Dashboard!$H$10,A406/$D$2)))),$I$2-D406-Dashboard!$I$10-Dashboard!$J$10-Dashboard!$F$10*$I$2)))</f>
        <v>0</v>
      </c>
      <c r="F406" s="24">
        <f t="shared" si="67"/>
        <v>11651.050133478799</v>
      </c>
      <c r="G406" s="24">
        <f t="shared" si="68"/>
        <v>16053.121454809938</v>
      </c>
      <c r="H406" s="24">
        <f t="shared" si="69"/>
        <v>0</v>
      </c>
      <c r="I406" s="24">
        <f t="shared" si="70"/>
        <v>-16053.121454809938</v>
      </c>
      <c r="J406" s="25">
        <f t="shared" si="71"/>
        <v>7.9741404289037643E-3</v>
      </c>
      <c r="K406" s="24">
        <f t="shared" si="76"/>
        <v>5424527.3481424283</v>
      </c>
      <c r="L406" s="24">
        <f t="shared" si="72"/>
        <v>5424527.3481424283</v>
      </c>
      <c r="M406" s="24">
        <f t="shared" si="73"/>
        <v>0</v>
      </c>
      <c r="N406" s="24">
        <f>IF(M406&lt;=0,0,IF($E$2-A406&lt;12,(M406-E406)*Dashboard!$B$18,IF($Q$2+A406&gt;=$R$2,MAX(0,M406-E406*POWER(1+$C$2,$E$2-A406))*MAX(Dashboard!$C$18,Dashboard!$B$18),IF($S$2&lt;$R$2,(M406-E406)*0.5*Dashboard!$B$18,(E406*POWER(1+$A$2,$R$2-($Q$2+A406))-E406)*0.5*Dashboard!$B$18+MAX(0,M406-E406*POWER(1+$A$2,$R$2-($Q$2+A406))*POWER(1+$C$2,$S$2-$R$2))*MAX(Dashboard!$C$18,Dashboard!$B$18)))))</f>
        <v>0</v>
      </c>
    </row>
    <row r="407" spans="1:14" x14ac:dyDescent="0.2">
      <c r="A407" s="22">
        <f t="shared" si="74"/>
        <v>402</v>
      </c>
      <c r="B407" s="23">
        <f t="shared" si="75"/>
        <v>51.554794520548299</v>
      </c>
      <c r="C407" t="str">
        <f t="shared" si="66"/>
        <v>51 y 6.66 m</v>
      </c>
      <c r="D407" s="24">
        <f>IF(A407&gt;=$E$2,IF(A407&lt;$E$2+$H$2,$P$2,0),IF(B407&lt;Dashboard!$I$6,0,IF(A407&gt;=$F$2,Dashboard!$C$23*POWER(1+$C$2,A407-$F$2),Dashboard!$C$23)))</f>
        <v>5092.3674515238745</v>
      </c>
      <c r="E407" s="24">
        <f>IF(A407&gt;=$F$2,0,IF(A407=0,Dashboard!$G$10,IF(B407&lt;Dashboard!$I$6,IF($J$2&lt;=Dashboard!$H$10,Dashboard!$H$10,MAX(Dashboard!$H$10,MIN($J$2,Dashboard!$H$10*POWER($J$2/Dashboard!$H$10,A407/$D$2)))),$I$2-D407-Dashboard!$I$10-Dashboard!$J$10-Dashboard!$F$10*$I$2)))</f>
        <v>0</v>
      </c>
      <c r="F407" s="24">
        <f t="shared" si="67"/>
        <v>11664.559945949479</v>
      </c>
      <c r="G407" s="24">
        <f t="shared" si="68"/>
        <v>16077.684750211176</v>
      </c>
      <c r="H407" s="24">
        <f t="shared" si="69"/>
        <v>0</v>
      </c>
      <c r="I407" s="24">
        <f t="shared" si="70"/>
        <v>-16077.684750211176</v>
      </c>
      <c r="J407" s="25">
        <f t="shared" si="71"/>
        <v>7.9741404289037643E-3</v>
      </c>
      <c r="K407" s="24">
        <f t="shared" si="76"/>
        <v>5451577.4005107637</v>
      </c>
      <c r="L407" s="24">
        <f t="shared" si="72"/>
        <v>5451577.4005107637</v>
      </c>
      <c r="M407" s="24">
        <f t="shared" si="73"/>
        <v>0</v>
      </c>
      <c r="N407" s="24">
        <f>IF(M407&lt;=0,0,IF($E$2-A407&lt;12,(M407-E407)*Dashboard!$B$18,IF($Q$2+A407&gt;=$R$2,MAX(0,M407-E407*POWER(1+$C$2,$E$2-A407))*MAX(Dashboard!$C$18,Dashboard!$B$18),IF($S$2&lt;$R$2,(M407-E407)*0.5*Dashboard!$B$18,(E407*POWER(1+$A$2,$R$2-($Q$2+A407))-E407)*0.5*Dashboard!$B$18+MAX(0,M407-E407*POWER(1+$A$2,$R$2-($Q$2+A407))*POWER(1+$C$2,$S$2-$R$2))*MAX(Dashboard!$C$18,Dashboard!$B$18)))))</f>
        <v>0</v>
      </c>
    </row>
    <row r="408" spans="1:14" x14ac:dyDescent="0.2">
      <c r="A408" s="22">
        <f t="shared" si="74"/>
        <v>403</v>
      </c>
      <c r="B408" s="23">
        <f t="shared" si="75"/>
        <v>51.638127853881635</v>
      </c>
      <c r="C408" t="str">
        <f t="shared" si="66"/>
        <v>51 y 7.66 m</v>
      </c>
      <c r="D408" s="24">
        <f>IF(A408&gt;=$E$2,IF(A408&lt;$E$2+$H$2,$P$2,0),IF(B408&lt;Dashboard!$I$6,0,IF(A408&gt;=$F$2,Dashboard!$C$23*POWER(1+$C$2,A408-$F$2),Dashboard!$C$23)))</f>
        <v>5092.3674515238745</v>
      </c>
      <c r="E408" s="24">
        <f>IF(A408&gt;=$F$2,0,IF(A408=0,Dashboard!$G$10,IF(B408&lt;Dashboard!$I$6,IF($J$2&lt;=Dashboard!$H$10,Dashboard!$H$10,MAX(Dashboard!$H$10,MIN($J$2,Dashboard!$H$10*POWER($J$2/Dashboard!$H$10,A408/$D$2)))),$I$2-D408-Dashboard!$I$10-Dashboard!$J$10-Dashboard!$F$10*$I$2)))</f>
        <v>0</v>
      </c>
      <c r="F408" s="24">
        <f t="shared" si="67"/>
        <v>11678.097586421885</v>
      </c>
      <c r="G408" s="24">
        <f t="shared" si="68"/>
        <v>16102.298641979185</v>
      </c>
      <c r="H408" s="24">
        <f t="shared" si="69"/>
        <v>0</v>
      </c>
      <c r="I408" s="24">
        <f t="shared" si="70"/>
        <v>-16102.298641979185</v>
      </c>
      <c r="J408" s="25">
        <f t="shared" si="71"/>
        <v>7.9741404289037643E-3</v>
      </c>
      <c r="K408" s="24">
        <f t="shared" si="76"/>
        <v>5478818.3436288964</v>
      </c>
      <c r="L408" s="24">
        <f t="shared" si="72"/>
        <v>5478818.3436288964</v>
      </c>
      <c r="M408" s="24">
        <f t="shared" si="73"/>
        <v>0</v>
      </c>
      <c r="N408" s="24">
        <f>IF(M408&lt;=0,0,IF($E$2-A408&lt;12,(M408-E408)*Dashboard!$B$18,IF($Q$2+A408&gt;=$R$2,MAX(0,M408-E408*POWER(1+$C$2,$E$2-A408))*MAX(Dashboard!$C$18,Dashboard!$B$18),IF($S$2&lt;$R$2,(M408-E408)*0.5*Dashboard!$B$18,(E408*POWER(1+$A$2,$R$2-($Q$2+A408))-E408)*0.5*Dashboard!$B$18+MAX(0,M408-E408*POWER(1+$A$2,$R$2-($Q$2+A408))*POWER(1+$C$2,$S$2-$R$2))*MAX(Dashboard!$C$18,Dashboard!$B$18)))))</f>
        <v>0</v>
      </c>
    </row>
    <row r="409" spans="1:14" x14ac:dyDescent="0.2">
      <c r="A409" s="22">
        <f t="shared" si="74"/>
        <v>404</v>
      </c>
      <c r="B409" s="23">
        <f t="shared" si="75"/>
        <v>51.72146118721497</v>
      </c>
      <c r="C409" t="str">
        <f t="shared" si="66"/>
        <v>51 y 8.66 m</v>
      </c>
      <c r="D409" s="24">
        <f>IF(A409&gt;=$E$2,IF(A409&lt;$E$2+$H$2,$P$2,0),IF(B409&lt;Dashboard!$I$6,0,IF(A409&gt;=$F$2,Dashboard!$C$23*POWER(1+$C$2,A409-$F$2),Dashboard!$C$23)))</f>
        <v>5092.3674515238745</v>
      </c>
      <c r="E409" s="24">
        <f>IF(A409&gt;=$F$2,0,IF(A409=0,Dashboard!$G$10,IF(B409&lt;Dashboard!$I$6,IF($J$2&lt;=Dashboard!$H$10,Dashboard!$H$10,MAX(Dashboard!$H$10,MIN($J$2,Dashboard!$H$10*POWER($J$2/Dashboard!$H$10,A409/$D$2)))),$I$2-D409-Dashboard!$I$10-Dashboard!$J$10-Dashboard!$F$10*$I$2)))</f>
        <v>0</v>
      </c>
      <c r="F409" s="24">
        <f t="shared" si="67"/>
        <v>11691.663112217144</v>
      </c>
      <c r="G409" s="24">
        <f t="shared" si="68"/>
        <v>16126.9632343342</v>
      </c>
      <c r="H409" s="24">
        <f t="shared" si="69"/>
        <v>0</v>
      </c>
      <c r="I409" s="24">
        <f t="shared" si="70"/>
        <v>-16126.9632343342</v>
      </c>
      <c r="J409" s="25">
        <f t="shared" si="71"/>
        <v>7.9741404289037643E-3</v>
      </c>
      <c r="K409" s="24">
        <f t="shared" si="76"/>
        <v>5506251.6485815905</v>
      </c>
      <c r="L409" s="24">
        <f t="shared" si="72"/>
        <v>5506251.6485815905</v>
      </c>
      <c r="M409" s="24">
        <f t="shared" si="73"/>
        <v>0</v>
      </c>
      <c r="N409" s="24">
        <f>IF(M409&lt;=0,0,IF($E$2-A409&lt;12,(M409-E409)*Dashboard!$B$18,IF($Q$2+A409&gt;=$R$2,MAX(0,M409-E409*POWER(1+$C$2,$E$2-A409))*MAX(Dashboard!$C$18,Dashboard!$B$18),IF($S$2&lt;$R$2,(M409-E409)*0.5*Dashboard!$B$18,(E409*POWER(1+$A$2,$R$2-($Q$2+A409))-E409)*0.5*Dashboard!$B$18+MAX(0,M409-E409*POWER(1+$A$2,$R$2-($Q$2+A409))*POWER(1+$C$2,$S$2-$R$2))*MAX(Dashboard!$C$18,Dashboard!$B$18)))))</f>
        <v>0</v>
      </c>
    </row>
    <row r="410" spans="1:14" x14ac:dyDescent="0.2">
      <c r="A410" s="22">
        <f t="shared" si="74"/>
        <v>405</v>
      </c>
      <c r="B410" s="23">
        <f t="shared" si="75"/>
        <v>51.804794520548306</v>
      </c>
      <c r="C410" t="str">
        <f t="shared" si="66"/>
        <v>51 y 9.66 m</v>
      </c>
      <c r="D410" s="24">
        <f>IF(A410&gt;=$E$2,IF(A410&lt;$E$2+$H$2,$P$2,0),IF(B410&lt;Dashboard!$I$6,0,IF(A410&gt;=$F$2,Dashboard!$C$23*POWER(1+$C$2,A410-$F$2),Dashboard!$C$23)))</f>
        <v>5092.3674515238745</v>
      </c>
      <c r="E410" s="24">
        <f>IF(A410&gt;=$F$2,0,IF(A410=0,Dashboard!$G$10,IF(B410&lt;Dashboard!$I$6,IF($J$2&lt;=Dashboard!$H$10,Dashboard!$H$10,MAX(Dashboard!$H$10,MIN($J$2,Dashboard!$H$10*POWER($J$2/Dashboard!$H$10,A410/$D$2)))),$I$2-D410-Dashboard!$I$10-Dashboard!$J$10-Dashboard!$F$10*$I$2)))</f>
        <v>0</v>
      </c>
      <c r="F410" s="24">
        <f t="shared" si="67"/>
        <v>11705.256580774456</v>
      </c>
      <c r="G410" s="24">
        <f t="shared" si="68"/>
        <v>16151.678631711133</v>
      </c>
      <c r="H410" s="24">
        <f t="shared" si="69"/>
        <v>0</v>
      </c>
      <c r="I410" s="24">
        <f t="shared" si="70"/>
        <v>-16151.678631711133</v>
      </c>
      <c r="J410" s="25">
        <f t="shared" si="71"/>
        <v>7.9741404289037643E-3</v>
      </c>
      <c r="K410" s="24">
        <f t="shared" si="76"/>
        <v>5533878.7980789803</v>
      </c>
      <c r="L410" s="24">
        <f t="shared" si="72"/>
        <v>5533878.7980789803</v>
      </c>
      <c r="M410" s="24">
        <f t="shared" si="73"/>
        <v>0</v>
      </c>
      <c r="N410" s="24">
        <f>IF(M410&lt;=0,0,IF($E$2-A410&lt;12,(M410-E410)*Dashboard!$B$18,IF($Q$2+A410&gt;=$R$2,MAX(0,M410-E410*POWER(1+$C$2,$E$2-A410))*MAX(Dashboard!$C$18,Dashboard!$B$18),IF($S$2&lt;$R$2,(M410-E410)*0.5*Dashboard!$B$18,(E410*POWER(1+$A$2,$R$2-($Q$2+A410))-E410)*0.5*Dashboard!$B$18+MAX(0,M410-E410*POWER(1+$A$2,$R$2-($Q$2+A410))*POWER(1+$C$2,$S$2-$R$2))*MAX(Dashboard!$C$18,Dashboard!$B$18)))))</f>
        <v>0</v>
      </c>
    </row>
    <row r="411" spans="1:14" x14ac:dyDescent="0.2">
      <c r="A411" s="22">
        <f t="shared" si="74"/>
        <v>406</v>
      </c>
      <c r="B411" s="23">
        <f t="shared" si="75"/>
        <v>51.888127853881642</v>
      </c>
      <c r="C411" t="str">
        <f t="shared" si="66"/>
        <v>51 y 10.66 m</v>
      </c>
      <c r="D411" s="24">
        <f>IF(A411&gt;=$E$2,IF(A411&lt;$E$2+$H$2,$P$2,0),IF(B411&lt;Dashboard!$I$6,0,IF(A411&gt;=$F$2,Dashboard!$C$23*POWER(1+$C$2,A411-$F$2),Dashboard!$C$23)))</f>
        <v>5092.3674515238745</v>
      </c>
      <c r="E411" s="24">
        <f>IF(A411&gt;=$F$2,0,IF(A411=0,Dashboard!$G$10,IF(B411&lt;Dashboard!$I$6,IF($J$2&lt;=Dashboard!$H$10,Dashboard!$H$10,MAX(Dashboard!$H$10,MIN($J$2,Dashboard!$H$10*POWER($J$2/Dashboard!$H$10,A411/$D$2)))),$I$2-D411-Dashboard!$I$10-Dashboard!$J$10-Dashboard!$F$10*$I$2)))</f>
        <v>0</v>
      </c>
      <c r="F411" s="24">
        <f t="shared" si="67"/>
        <v>11718.878049651335</v>
      </c>
      <c r="G411" s="24">
        <f t="shared" si="68"/>
        <v>16176.444938760003</v>
      </c>
      <c r="H411" s="24">
        <f t="shared" si="69"/>
        <v>0</v>
      </c>
      <c r="I411" s="24">
        <f t="shared" si="70"/>
        <v>-16176.444938760003</v>
      </c>
      <c r="J411" s="25">
        <f t="shared" si="71"/>
        <v>7.9741404289037643E-3</v>
      </c>
      <c r="K411" s="24">
        <f t="shared" si="76"/>
        <v>5561701.2865490532</v>
      </c>
      <c r="L411" s="24">
        <f t="shared" si="72"/>
        <v>5561701.2865490532</v>
      </c>
      <c r="M411" s="24">
        <f t="shared" si="73"/>
        <v>0</v>
      </c>
      <c r="N411" s="24">
        <f>IF(M411&lt;=0,0,IF($E$2-A411&lt;12,(M411-E411)*Dashboard!$B$18,IF($Q$2+A411&gt;=$R$2,MAX(0,M411-E411*POWER(1+$C$2,$E$2-A411))*MAX(Dashboard!$C$18,Dashboard!$B$18),IF($S$2&lt;$R$2,(M411-E411)*0.5*Dashboard!$B$18,(E411*POWER(1+$A$2,$R$2-($Q$2+A411))-E411)*0.5*Dashboard!$B$18+MAX(0,M411-E411*POWER(1+$A$2,$R$2-($Q$2+A411))*POWER(1+$C$2,$S$2-$R$2))*MAX(Dashboard!$C$18,Dashboard!$B$18)))))</f>
        <v>0</v>
      </c>
    </row>
    <row r="412" spans="1:14" x14ac:dyDescent="0.2">
      <c r="A412" s="22">
        <f t="shared" si="74"/>
        <v>407</v>
      </c>
      <c r="B412" s="23">
        <f t="shared" si="75"/>
        <v>51.971461187214977</v>
      </c>
      <c r="C412" t="str">
        <f t="shared" si="66"/>
        <v>51 y 11.66 m</v>
      </c>
      <c r="D412" s="24">
        <f>IF(A412&gt;=$E$2,IF(A412&lt;$E$2+$H$2,$P$2,0),IF(B412&lt;Dashboard!$I$6,0,IF(A412&gt;=$F$2,Dashboard!$C$23*POWER(1+$C$2,A412-$F$2),Dashboard!$C$23)))</f>
        <v>5092.3674515238745</v>
      </c>
      <c r="E412" s="24">
        <f>IF(A412&gt;=$F$2,0,IF(A412=0,Dashboard!$G$10,IF(B412&lt;Dashboard!$I$6,IF($J$2&lt;=Dashboard!$H$10,Dashboard!$H$10,MAX(Dashboard!$H$10,MIN($J$2,Dashboard!$H$10*POWER($J$2/Dashboard!$H$10,A412/$D$2)))),$I$2-D412-Dashboard!$I$10-Dashboard!$J$10-Dashboard!$F$10*$I$2)))</f>
        <v>0</v>
      </c>
      <c r="F412" s="24">
        <f t="shared" si="67"/>
        <v>11732.527576523855</v>
      </c>
      <c r="G412" s="24">
        <f t="shared" si="68"/>
        <v>16201.262260346402</v>
      </c>
      <c r="H412" s="24">
        <f t="shared" si="69"/>
        <v>0</v>
      </c>
      <c r="I412" s="24">
        <f t="shared" si="70"/>
        <v>-16201.262260346402</v>
      </c>
      <c r="J412" s="25">
        <f t="shared" si="71"/>
        <v>7.9741404289037643E-3</v>
      </c>
      <c r="K412" s="24">
        <f t="shared" si="76"/>
        <v>5589720.620230874</v>
      </c>
      <c r="L412" s="24">
        <f t="shared" si="72"/>
        <v>5589720.620230874</v>
      </c>
      <c r="M412" s="24">
        <f t="shared" si="73"/>
        <v>0</v>
      </c>
      <c r="N412" s="24">
        <f>IF(M412&lt;=0,0,IF($E$2-A412&lt;12,(M412-E412)*Dashboard!$B$18,IF($Q$2+A412&gt;=$R$2,MAX(0,M412-E412*POWER(1+$C$2,$E$2-A412))*MAX(Dashboard!$C$18,Dashboard!$B$18),IF($S$2&lt;$R$2,(M412-E412)*0.5*Dashboard!$B$18,(E412*POWER(1+$A$2,$R$2-($Q$2+A412))-E412)*0.5*Dashboard!$B$18+MAX(0,M412-E412*POWER(1+$A$2,$R$2-($Q$2+A412))*POWER(1+$C$2,$S$2-$R$2))*MAX(Dashboard!$C$18,Dashboard!$B$18)))))</f>
        <v>0</v>
      </c>
    </row>
    <row r="413" spans="1:14" x14ac:dyDescent="0.2">
      <c r="A413" s="22">
        <f t="shared" si="74"/>
        <v>408</v>
      </c>
      <c r="B413" s="23">
        <f t="shared" si="75"/>
        <v>52.054794520548313</v>
      </c>
      <c r="C413" t="str">
        <f t="shared" si="66"/>
        <v>52 y 0.66 m</v>
      </c>
      <c r="D413" s="24">
        <f>IF(A413&gt;=$E$2,IF(A413&lt;$E$2+$H$2,$P$2,0),IF(B413&lt;Dashboard!$I$6,0,IF(A413&gt;=$F$2,Dashboard!$C$23*POWER(1+$C$2,A413-$F$2),Dashboard!$C$23)))</f>
        <v>5092.3674515238745</v>
      </c>
      <c r="E413" s="24">
        <f>IF(A413&gt;=$F$2,0,IF(A413=0,Dashboard!$G$10,IF(B413&lt;Dashboard!$I$6,IF($J$2&lt;=Dashboard!$H$10,Dashboard!$H$10,MAX(Dashboard!$H$10,MIN($J$2,Dashboard!$H$10*POWER($J$2/Dashboard!$H$10,A413/$D$2)))),$I$2-D413-Dashboard!$I$10-Dashboard!$J$10-Dashboard!$F$10*$I$2)))</f>
        <v>0</v>
      </c>
      <c r="F413" s="24">
        <f t="shared" si="67"/>
        <v>11746.205219186895</v>
      </c>
      <c r="G413" s="24">
        <f t="shared" si="68"/>
        <v>16226.130701551932</v>
      </c>
      <c r="H413" s="24">
        <f t="shared" si="69"/>
        <v>0</v>
      </c>
      <c r="I413" s="24">
        <f t="shared" si="70"/>
        <v>-16226.130701551932</v>
      </c>
      <c r="J413" s="25">
        <f t="shared" si="71"/>
        <v>7.9741404289037643E-3</v>
      </c>
      <c r="K413" s="24">
        <f t="shared" si="76"/>
        <v>5617938.3172685504</v>
      </c>
      <c r="L413" s="24">
        <f t="shared" si="72"/>
        <v>5617938.3172685504</v>
      </c>
      <c r="M413" s="24">
        <f t="shared" si="73"/>
        <v>0</v>
      </c>
      <c r="N413" s="24">
        <f>IF(M413&lt;=0,0,IF($E$2-A413&lt;12,(M413-E413)*Dashboard!$B$18,IF($Q$2+A413&gt;=$R$2,MAX(0,M413-E413*POWER(1+$C$2,$E$2-A413))*MAX(Dashboard!$C$18,Dashboard!$B$18),IF($S$2&lt;$R$2,(M413-E413)*0.5*Dashboard!$B$18,(E413*POWER(1+$A$2,$R$2-($Q$2+A413))-E413)*0.5*Dashboard!$B$18+MAX(0,M413-E413*POWER(1+$A$2,$R$2-($Q$2+A413))*POWER(1+$C$2,$S$2-$R$2))*MAX(Dashboard!$C$18,Dashboard!$B$18)))))</f>
        <v>0</v>
      </c>
    </row>
    <row r="414" spans="1:14" x14ac:dyDescent="0.2">
      <c r="A414" s="22">
        <f t="shared" si="74"/>
        <v>409</v>
      </c>
      <c r="B414" s="23">
        <f t="shared" si="75"/>
        <v>52.138127853881649</v>
      </c>
      <c r="C414" t="str">
        <f t="shared" si="66"/>
        <v>52 y 1.66 m</v>
      </c>
      <c r="D414" s="24">
        <f>IF(A414&gt;=$E$2,IF(A414&lt;$E$2+$H$2,$P$2,0),IF(B414&lt;Dashboard!$I$6,0,IF(A414&gt;=$F$2,Dashboard!$C$23*POWER(1+$C$2,A414-$F$2),Dashboard!$C$23)))</f>
        <v>5092.3674515238745</v>
      </c>
      <c r="E414" s="24">
        <f>IF(A414&gt;=$F$2,0,IF(A414=0,Dashboard!$G$10,IF(B414&lt;Dashboard!$I$6,IF($J$2&lt;=Dashboard!$H$10,Dashboard!$H$10,MAX(Dashboard!$H$10,MIN($J$2,Dashboard!$H$10*POWER($J$2/Dashboard!$H$10,A414/$D$2)))),$I$2-D414-Dashboard!$I$10-Dashboard!$J$10-Dashboard!$F$10*$I$2)))</f>
        <v>0</v>
      </c>
      <c r="F414" s="24">
        <f t="shared" si="67"/>
        <v>11759.911035554376</v>
      </c>
      <c r="G414" s="24">
        <f t="shared" si="68"/>
        <v>16251.050367674625</v>
      </c>
      <c r="H414" s="24">
        <f t="shared" si="69"/>
        <v>0</v>
      </c>
      <c r="I414" s="24">
        <f t="shared" si="70"/>
        <v>-16251.050367674625</v>
      </c>
      <c r="J414" s="25">
        <f t="shared" si="71"/>
        <v>7.9741404289037643E-3</v>
      </c>
      <c r="K414" s="24">
        <f t="shared" si="76"/>
        <v>5646355.9078059457</v>
      </c>
      <c r="L414" s="24">
        <f t="shared" si="72"/>
        <v>5646355.9078059457</v>
      </c>
      <c r="M414" s="24">
        <f t="shared" si="73"/>
        <v>0</v>
      </c>
      <c r="N414" s="24">
        <f>IF(M414&lt;=0,0,IF($E$2-A414&lt;12,(M414-E414)*Dashboard!$B$18,IF($Q$2+A414&gt;=$R$2,MAX(0,M414-E414*POWER(1+$C$2,$E$2-A414))*MAX(Dashboard!$C$18,Dashboard!$B$18),IF($S$2&lt;$R$2,(M414-E414)*0.5*Dashboard!$B$18,(E414*POWER(1+$A$2,$R$2-($Q$2+A414))-E414)*0.5*Dashboard!$B$18+MAX(0,M414-E414*POWER(1+$A$2,$R$2-($Q$2+A414))*POWER(1+$C$2,$S$2-$R$2))*MAX(Dashboard!$C$18,Dashboard!$B$18)))))</f>
        <v>0</v>
      </c>
    </row>
    <row r="415" spans="1:14" x14ac:dyDescent="0.2">
      <c r="A415" s="22">
        <f t="shared" si="74"/>
        <v>410</v>
      </c>
      <c r="B415" s="23">
        <f t="shared" si="75"/>
        <v>52.221461187214985</v>
      </c>
      <c r="C415" t="str">
        <f t="shared" si="66"/>
        <v>52 y 2.66 m</v>
      </c>
      <c r="D415" s="24">
        <f>IF(A415&gt;=$E$2,IF(A415&lt;$E$2+$H$2,$P$2,0),IF(B415&lt;Dashboard!$I$6,0,IF(A415&gt;=$F$2,Dashboard!$C$23*POWER(1+$C$2,A415-$F$2),Dashboard!$C$23)))</f>
        <v>5092.3674515238745</v>
      </c>
      <c r="E415" s="24">
        <f>IF(A415&gt;=$F$2,0,IF(A415=0,Dashboard!$G$10,IF(B415&lt;Dashboard!$I$6,IF($J$2&lt;=Dashboard!$H$10,Dashboard!$H$10,MAX(Dashboard!$H$10,MIN($J$2,Dashboard!$H$10*POWER($J$2/Dashboard!$H$10,A415/$D$2)))),$I$2-D415-Dashboard!$I$10-Dashboard!$J$10-Dashboard!$F$10*$I$2)))</f>
        <v>0</v>
      </c>
      <c r="F415" s="24">
        <f t="shared" si="67"/>
        <v>11773.64508365952</v>
      </c>
      <c r="G415" s="24">
        <f t="shared" si="68"/>
        <v>16276.021364229431</v>
      </c>
      <c r="H415" s="24">
        <f t="shared" si="69"/>
        <v>0</v>
      </c>
      <c r="I415" s="24">
        <f t="shared" si="70"/>
        <v>-16276.021364229431</v>
      </c>
      <c r="J415" s="25">
        <f t="shared" si="71"/>
        <v>7.9741404289037643E-3</v>
      </c>
      <c r="K415" s="24">
        <f t="shared" si="76"/>
        <v>5674974.9340821486</v>
      </c>
      <c r="L415" s="24">
        <f t="shared" si="72"/>
        <v>5674974.9340821486</v>
      </c>
      <c r="M415" s="24">
        <f t="shared" si="73"/>
        <v>0</v>
      </c>
      <c r="N415" s="24">
        <f>IF(M415&lt;=0,0,IF($E$2-A415&lt;12,(M415-E415)*Dashboard!$B$18,IF($Q$2+A415&gt;=$R$2,MAX(0,M415-E415*POWER(1+$C$2,$E$2-A415))*MAX(Dashboard!$C$18,Dashboard!$B$18),IF($S$2&lt;$R$2,(M415-E415)*0.5*Dashboard!$B$18,(E415*POWER(1+$A$2,$R$2-($Q$2+A415))-E415)*0.5*Dashboard!$B$18+MAX(0,M415-E415*POWER(1+$A$2,$R$2-($Q$2+A415))*POWER(1+$C$2,$S$2-$R$2))*MAX(Dashboard!$C$18,Dashboard!$B$18)))))</f>
        <v>0</v>
      </c>
    </row>
    <row r="416" spans="1:14" x14ac:dyDescent="0.2">
      <c r="A416" s="22">
        <f t="shared" si="74"/>
        <v>411</v>
      </c>
      <c r="B416" s="23">
        <f t="shared" si="75"/>
        <v>52.30479452054832</v>
      </c>
      <c r="C416" t="str">
        <f t="shared" si="66"/>
        <v>52 y 3.66 m</v>
      </c>
      <c r="D416" s="24">
        <f>IF(A416&gt;=$E$2,IF(A416&lt;$E$2+$H$2,$P$2,0),IF(B416&lt;Dashboard!$I$6,0,IF(A416&gt;=$F$2,Dashboard!$C$23*POWER(1+$C$2,A416-$F$2),Dashboard!$C$23)))</f>
        <v>5092.3674515238745</v>
      </c>
      <c r="E416" s="24">
        <f>IF(A416&gt;=$F$2,0,IF(A416=0,Dashboard!$G$10,IF(B416&lt;Dashboard!$I$6,IF($J$2&lt;=Dashboard!$H$10,Dashboard!$H$10,MAX(Dashboard!$H$10,MIN($J$2,Dashboard!$H$10*POWER($J$2/Dashboard!$H$10,A416/$D$2)))),$I$2-D416-Dashboard!$I$10-Dashboard!$J$10-Dashboard!$F$10*$I$2)))</f>
        <v>0</v>
      </c>
      <c r="F416" s="24">
        <f t="shared" si="67"/>
        <v>11787.407421655082</v>
      </c>
      <c r="G416" s="24">
        <f t="shared" si="68"/>
        <v>16301.043796948636</v>
      </c>
      <c r="H416" s="24">
        <f t="shared" si="69"/>
        <v>0</v>
      </c>
      <c r="I416" s="24">
        <f t="shared" si="70"/>
        <v>-16301.043796948636</v>
      </c>
      <c r="J416" s="25">
        <f t="shared" si="71"/>
        <v>7.9741404289037643E-3</v>
      </c>
      <c r="K416" s="24">
        <f t="shared" si="76"/>
        <v>5703796.9505277053</v>
      </c>
      <c r="L416" s="24">
        <f t="shared" si="72"/>
        <v>5703796.9505277053</v>
      </c>
      <c r="M416" s="24">
        <f t="shared" si="73"/>
        <v>0</v>
      </c>
      <c r="N416" s="24">
        <f>IF(M416&lt;=0,0,IF($E$2-A416&lt;12,(M416-E416)*Dashboard!$B$18,IF($Q$2+A416&gt;=$R$2,MAX(0,M416-E416*POWER(1+$C$2,$E$2-A416))*MAX(Dashboard!$C$18,Dashboard!$B$18),IF($S$2&lt;$R$2,(M416-E416)*0.5*Dashboard!$B$18,(E416*POWER(1+$A$2,$R$2-($Q$2+A416))-E416)*0.5*Dashboard!$B$18+MAX(0,M416-E416*POWER(1+$A$2,$R$2-($Q$2+A416))*POWER(1+$C$2,$S$2-$R$2))*MAX(Dashboard!$C$18,Dashboard!$B$18)))))</f>
        <v>0</v>
      </c>
    </row>
    <row r="417" spans="1:14" x14ac:dyDescent="0.2">
      <c r="A417" s="22">
        <f t="shared" si="74"/>
        <v>412</v>
      </c>
      <c r="B417" s="23">
        <f t="shared" si="75"/>
        <v>52.388127853881656</v>
      </c>
      <c r="C417" t="str">
        <f t="shared" si="66"/>
        <v>52 y 4.66 m</v>
      </c>
      <c r="D417" s="24">
        <f>IF(A417&gt;=$E$2,IF(A417&lt;$E$2+$H$2,$P$2,0),IF(B417&lt;Dashboard!$I$6,0,IF(A417&gt;=$F$2,Dashboard!$C$23*POWER(1+$C$2,A417-$F$2),Dashboard!$C$23)))</f>
        <v>5092.3674515238745</v>
      </c>
      <c r="E417" s="24">
        <f>IF(A417&gt;=$F$2,0,IF(A417=0,Dashboard!$G$10,IF(B417&lt;Dashboard!$I$6,IF($J$2&lt;=Dashboard!$H$10,Dashboard!$H$10,MAX(Dashboard!$H$10,MIN($J$2,Dashboard!$H$10*POWER($J$2/Dashboard!$H$10,A417/$D$2)))),$I$2-D417-Dashboard!$I$10-Dashboard!$J$10-Dashboard!$F$10*$I$2)))</f>
        <v>0</v>
      </c>
      <c r="F417" s="24">
        <f t="shared" si="67"/>
        <v>11801.198107813605</v>
      </c>
      <c r="G417" s="24">
        <f t="shared" si="68"/>
        <v>16326.117771782314</v>
      </c>
      <c r="H417" s="24">
        <f t="shared" si="69"/>
        <v>0</v>
      </c>
      <c r="I417" s="24">
        <f t="shared" si="70"/>
        <v>-16326.117771782314</v>
      </c>
      <c r="J417" s="25">
        <f t="shared" si="71"/>
        <v>7.9741404289037643E-3</v>
      </c>
      <c r="K417" s="24">
        <f t="shared" si="76"/>
        <v>5732823.5238616131</v>
      </c>
      <c r="L417" s="24">
        <f t="shared" si="72"/>
        <v>5732823.5238616131</v>
      </c>
      <c r="M417" s="24">
        <f t="shared" si="73"/>
        <v>0</v>
      </c>
      <c r="N417" s="24">
        <f>IF(M417&lt;=0,0,IF($E$2-A417&lt;12,(M417-E417)*Dashboard!$B$18,IF($Q$2+A417&gt;=$R$2,MAX(0,M417-E417*POWER(1+$C$2,$E$2-A417))*MAX(Dashboard!$C$18,Dashboard!$B$18),IF($S$2&lt;$R$2,(M417-E417)*0.5*Dashboard!$B$18,(E417*POWER(1+$A$2,$R$2-($Q$2+A417))-E417)*0.5*Dashboard!$B$18+MAX(0,M417-E417*POWER(1+$A$2,$R$2-($Q$2+A417))*POWER(1+$C$2,$S$2-$R$2))*MAX(Dashboard!$C$18,Dashboard!$B$18)))))</f>
        <v>0</v>
      </c>
    </row>
    <row r="418" spans="1:14" x14ac:dyDescent="0.2">
      <c r="A418" s="22">
        <f t="shared" si="74"/>
        <v>413</v>
      </c>
      <c r="B418" s="23">
        <f t="shared" si="75"/>
        <v>52.471461187214992</v>
      </c>
      <c r="C418" t="str">
        <f t="shared" si="66"/>
        <v>52 y 5.66 m</v>
      </c>
      <c r="D418" s="24">
        <f>IF(A418&gt;=$E$2,IF(A418&lt;$E$2+$H$2,$P$2,0),IF(B418&lt;Dashboard!$I$6,0,IF(A418&gt;=$F$2,Dashboard!$C$23*POWER(1+$C$2,A418-$F$2),Dashboard!$C$23)))</f>
        <v>5092.3674515238745</v>
      </c>
      <c r="E418" s="24">
        <f>IF(A418&gt;=$F$2,0,IF(A418=0,Dashboard!$G$10,IF(B418&lt;Dashboard!$I$6,IF($J$2&lt;=Dashboard!$H$10,Dashboard!$H$10,MAX(Dashboard!$H$10,MIN($J$2,Dashboard!$H$10*POWER($J$2/Dashboard!$H$10,A418/$D$2)))),$I$2-D418-Dashboard!$I$10-Dashboard!$J$10-Dashboard!$F$10*$I$2)))</f>
        <v>0</v>
      </c>
      <c r="F418" s="24">
        <f t="shared" si="67"/>
        <v>11815.017200527662</v>
      </c>
      <c r="G418" s="24">
        <f t="shared" si="68"/>
        <v>16351.24339489878</v>
      </c>
      <c r="H418" s="24">
        <f t="shared" si="69"/>
        <v>0</v>
      </c>
      <c r="I418" s="24">
        <f t="shared" si="70"/>
        <v>-16351.24339489878</v>
      </c>
      <c r="J418" s="25">
        <f t="shared" si="71"/>
        <v>7.9741404289037643E-3</v>
      </c>
      <c r="K418" s="24">
        <f t="shared" si="76"/>
        <v>5762056.2331890911</v>
      </c>
      <c r="L418" s="24">
        <f t="shared" si="72"/>
        <v>5762056.2331890911</v>
      </c>
      <c r="M418" s="24">
        <f t="shared" si="73"/>
        <v>0</v>
      </c>
      <c r="N418" s="24">
        <f>IF(M418&lt;=0,0,IF($E$2-A418&lt;12,(M418-E418)*Dashboard!$B$18,IF($Q$2+A418&gt;=$R$2,MAX(0,M418-E418*POWER(1+$C$2,$E$2-A418))*MAX(Dashboard!$C$18,Dashboard!$B$18),IF($S$2&lt;$R$2,(M418-E418)*0.5*Dashboard!$B$18,(E418*POWER(1+$A$2,$R$2-($Q$2+A418))-E418)*0.5*Dashboard!$B$18+MAX(0,M418-E418*POWER(1+$A$2,$R$2-($Q$2+A418))*POWER(1+$C$2,$S$2-$R$2))*MAX(Dashboard!$C$18,Dashboard!$B$18)))))</f>
        <v>0</v>
      </c>
    </row>
    <row r="419" spans="1:14" x14ac:dyDescent="0.2">
      <c r="A419" s="22">
        <f t="shared" si="74"/>
        <v>414</v>
      </c>
      <c r="B419" s="23">
        <f t="shared" si="75"/>
        <v>52.554794520548327</v>
      </c>
      <c r="C419" t="str">
        <f t="shared" si="66"/>
        <v>52 y 6.66 m</v>
      </c>
      <c r="D419" s="24">
        <f>IF(A419&gt;=$E$2,IF(A419&lt;$E$2+$H$2,$P$2,0),IF(B419&lt;Dashboard!$I$6,0,IF(A419&gt;=$F$2,Dashboard!$C$23*POWER(1+$C$2,A419-$F$2),Dashboard!$C$23)))</f>
        <v>5092.3674515238745</v>
      </c>
      <c r="E419" s="24">
        <f>IF(A419&gt;=$F$2,0,IF(A419=0,Dashboard!$G$10,IF(B419&lt;Dashboard!$I$6,IF($J$2&lt;=Dashboard!$H$10,Dashboard!$H$10,MAX(Dashboard!$H$10,MIN($J$2,Dashboard!$H$10*POWER($J$2/Dashboard!$H$10,A419/$D$2)))),$I$2-D419-Dashboard!$I$10-Dashboard!$J$10-Dashboard!$F$10*$I$2)))</f>
        <v>0</v>
      </c>
      <c r="F419" s="24">
        <f t="shared" si="67"/>
        <v>11828.86475831011</v>
      </c>
      <c r="G419" s="24">
        <f t="shared" si="68"/>
        <v>16376.420772685049</v>
      </c>
      <c r="H419" s="24">
        <f t="shared" si="69"/>
        <v>0</v>
      </c>
      <c r="I419" s="24">
        <f t="shared" si="70"/>
        <v>-16376.420772685049</v>
      </c>
      <c r="J419" s="25">
        <f t="shared" si="71"/>
        <v>7.9741404289037643E-3</v>
      </c>
      <c r="K419" s="24">
        <f t="shared" si="76"/>
        <v>5791496.670100132</v>
      </c>
      <c r="L419" s="24">
        <f t="shared" si="72"/>
        <v>5791496.670100132</v>
      </c>
      <c r="M419" s="24">
        <f t="shared" si="73"/>
        <v>0</v>
      </c>
      <c r="N419" s="24">
        <f>IF(M419&lt;=0,0,IF($E$2-A419&lt;12,(M419-E419)*Dashboard!$B$18,IF($Q$2+A419&gt;=$R$2,MAX(0,M419-E419*POWER(1+$C$2,$E$2-A419))*MAX(Dashboard!$C$18,Dashboard!$B$18),IF($S$2&lt;$R$2,(M419-E419)*0.5*Dashboard!$B$18,(E419*POWER(1+$A$2,$R$2-($Q$2+A419))-E419)*0.5*Dashboard!$B$18+MAX(0,M419-E419*POWER(1+$A$2,$R$2-($Q$2+A419))*POWER(1+$C$2,$S$2-$R$2))*MAX(Dashboard!$C$18,Dashboard!$B$18)))))</f>
        <v>0</v>
      </c>
    </row>
    <row r="420" spans="1:14" x14ac:dyDescent="0.2">
      <c r="A420" s="22">
        <f t="shared" si="74"/>
        <v>415</v>
      </c>
      <c r="B420" s="23">
        <f t="shared" si="75"/>
        <v>52.638127853881663</v>
      </c>
      <c r="C420" t="str">
        <f t="shared" si="66"/>
        <v>52 y 7.66 m</v>
      </c>
      <c r="D420" s="24">
        <f>IF(A420&gt;=$E$2,IF(A420&lt;$E$2+$H$2,$P$2,0),IF(B420&lt;Dashboard!$I$6,0,IF(A420&gt;=$F$2,Dashboard!$C$23*POWER(1+$C$2,A420-$F$2),Dashboard!$C$23)))</f>
        <v>5092.3674515238745</v>
      </c>
      <c r="E420" s="24">
        <f>IF(A420&gt;=$F$2,0,IF(A420=0,Dashboard!$G$10,IF(B420&lt;Dashboard!$I$6,IF($J$2&lt;=Dashboard!$H$10,Dashboard!$H$10,MAX(Dashboard!$H$10,MIN($J$2,Dashboard!$H$10*POWER($J$2/Dashboard!$H$10,A420/$D$2)))),$I$2-D420-Dashboard!$I$10-Dashboard!$J$10-Dashboard!$F$10*$I$2)))</f>
        <v>0</v>
      </c>
      <c r="F420" s="24">
        <f t="shared" si="67"/>
        <v>11842.740839794325</v>
      </c>
      <c r="G420" s="24">
        <f t="shared" si="68"/>
        <v>16401.650011747261</v>
      </c>
      <c r="H420" s="24">
        <f t="shared" si="69"/>
        <v>0</v>
      </c>
      <c r="I420" s="24">
        <f t="shared" si="70"/>
        <v>-16401.650011747261</v>
      </c>
      <c r="J420" s="25">
        <f t="shared" si="71"/>
        <v>7.9741404289037643E-3</v>
      </c>
      <c r="K420" s="24">
        <f t="shared" si="76"/>
        <v>5821146.438768832</v>
      </c>
      <c r="L420" s="24">
        <f t="shared" si="72"/>
        <v>5821146.438768832</v>
      </c>
      <c r="M420" s="24">
        <f t="shared" si="73"/>
        <v>0</v>
      </c>
      <c r="N420" s="24">
        <f>IF(M420&lt;=0,0,IF($E$2-A420&lt;12,(M420-E420)*Dashboard!$B$18,IF($Q$2+A420&gt;=$R$2,MAX(0,M420-E420*POWER(1+$C$2,$E$2-A420))*MAX(Dashboard!$C$18,Dashboard!$B$18),IF($S$2&lt;$R$2,(M420-E420)*0.5*Dashboard!$B$18,(E420*POWER(1+$A$2,$R$2-($Q$2+A420))-E420)*0.5*Dashboard!$B$18+MAX(0,M420-E420*POWER(1+$A$2,$R$2-($Q$2+A420))*POWER(1+$C$2,$S$2-$R$2))*MAX(Dashboard!$C$18,Dashboard!$B$18)))))</f>
        <v>0</v>
      </c>
    </row>
    <row r="421" spans="1:14" x14ac:dyDescent="0.2">
      <c r="A421" s="22">
        <f t="shared" si="74"/>
        <v>416</v>
      </c>
      <c r="B421" s="23">
        <f t="shared" si="75"/>
        <v>52.721461187214999</v>
      </c>
      <c r="C421" t="str">
        <f t="shared" si="66"/>
        <v>52 y 8.66 m</v>
      </c>
      <c r="D421" s="24">
        <f>IF(A421&gt;=$E$2,IF(A421&lt;$E$2+$H$2,$P$2,0),IF(B421&lt;Dashboard!$I$6,0,IF(A421&gt;=$F$2,Dashboard!$C$23*POWER(1+$C$2,A421-$F$2),Dashboard!$C$23)))</f>
        <v>5092.3674515238745</v>
      </c>
      <c r="E421" s="24">
        <f>IF(A421&gt;=$F$2,0,IF(A421=0,Dashboard!$G$10,IF(B421&lt;Dashboard!$I$6,IF($J$2&lt;=Dashboard!$H$10,Dashboard!$H$10,MAX(Dashboard!$H$10,MIN($J$2,Dashboard!$H$10*POWER($J$2/Dashboard!$H$10,A421/$D$2)))),$I$2-D421-Dashboard!$I$10-Dashboard!$J$10-Dashboard!$F$10*$I$2)))</f>
        <v>0</v>
      </c>
      <c r="F421" s="24">
        <f t="shared" si="67"/>
        <v>11856.645503734466</v>
      </c>
      <c r="G421" s="24">
        <f t="shared" si="68"/>
        <v>16426.931218911152</v>
      </c>
      <c r="H421" s="24">
        <f t="shared" si="69"/>
        <v>0</v>
      </c>
      <c r="I421" s="24">
        <f t="shared" si="70"/>
        <v>-16426.931218911152</v>
      </c>
      <c r="J421" s="25">
        <f t="shared" si="71"/>
        <v>7.9741404289037643E-3</v>
      </c>
      <c r="K421" s="24">
        <f t="shared" si="76"/>
        <v>5851007.1560535217</v>
      </c>
      <c r="L421" s="24">
        <f t="shared" si="72"/>
        <v>5851007.1560535217</v>
      </c>
      <c r="M421" s="24">
        <f t="shared" si="73"/>
        <v>0</v>
      </c>
      <c r="N421" s="24">
        <f>IF(M421&lt;=0,0,IF($E$2-A421&lt;12,(M421-E421)*Dashboard!$B$18,IF($Q$2+A421&gt;=$R$2,MAX(0,M421-E421*POWER(1+$C$2,$E$2-A421))*MAX(Dashboard!$C$18,Dashboard!$B$18),IF($S$2&lt;$R$2,(M421-E421)*0.5*Dashboard!$B$18,(E421*POWER(1+$A$2,$R$2-($Q$2+A421))-E421)*0.5*Dashboard!$B$18+MAX(0,M421-E421*POWER(1+$A$2,$R$2-($Q$2+A421))*POWER(1+$C$2,$S$2-$R$2))*MAX(Dashboard!$C$18,Dashboard!$B$18)))))</f>
        <v>0</v>
      </c>
    </row>
    <row r="422" spans="1:14" x14ac:dyDescent="0.2">
      <c r="A422" s="22">
        <f t="shared" si="74"/>
        <v>417</v>
      </c>
      <c r="B422" s="23">
        <f t="shared" si="75"/>
        <v>52.804794520548334</v>
      </c>
      <c r="C422" t="str">
        <f t="shared" si="66"/>
        <v>52 y 9.66 m</v>
      </c>
      <c r="D422" s="24">
        <f>IF(A422&gt;=$E$2,IF(A422&lt;$E$2+$H$2,$P$2,0),IF(B422&lt;Dashboard!$I$6,0,IF(A422&gt;=$F$2,Dashboard!$C$23*POWER(1+$C$2,A422-$F$2),Dashboard!$C$23)))</f>
        <v>5092.3674515238745</v>
      </c>
      <c r="E422" s="24">
        <f>IF(A422&gt;=$F$2,0,IF(A422=0,Dashboard!$G$10,IF(B422&lt;Dashboard!$I$6,IF($J$2&lt;=Dashboard!$H$10,Dashboard!$H$10,MAX(Dashboard!$H$10,MIN($J$2,Dashboard!$H$10*POWER($J$2/Dashboard!$H$10,A422/$D$2)))),$I$2-D422-Dashboard!$I$10-Dashboard!$J$10-Dashboard!$F$10*$I$2)))</f>
        <v>0</v>
      </c>
      <c r="F422" s="24">
        <f t="shared" si="67"/>
        <v>11870.57880900571</v>
      </c>
      <c r="G422" s="24">
        <f t="shared" si="68"/>
        <v>16452.264501222504</v>
      </c>
      <c r="H422" s="24">
        <f t="shared" si="69"/>
        <v>0</v>
      </c>
      <c r="I422" s="24">
        <f t="shared" si="70"/>
        <v>-16452.264501222504</v>
      </c>
      <c r="J422" s="25">
        <f t="shared" si="71"/>
        <v>7.9741404289037643E-3</v>
      </c>
      <c r="K422" s="24">
        <f t="shared" si="76"/>
        <v>5881080.451597685</v>
      </c>
      <c r="L422" s="24">
        <f t="shared" si="72"/>
        <v>5881080.451597685</v>
      </c>
      <c r="M422" s="24">
        <f t="shared" si="73"/>
        <v>0</v>
      </c>
      <c r="N422" s="24">
        <f>IF(M422&lt;=0,0,IF($E$2-A422&lt;12,(M422-E422)*Dashboard!$B$18,IF($Q$2+A422&gt;=$R$2,MAX(0,M422-E422*POWER(1+$C$2,$E$2-A422))*MAX(Dashboard!$C$18,Dashboard!$B$18),IF($S$2&lt;$R$2,(M422-E422)*0.5*Dashboard!$B$18,(E422*POWER(1+$A$2,$R$2-($Q$2+A422))-E422)*0.5*Dashboard!$B$18+MAX(0,M422-E422*POWER(1+$A$2,$R$2-($Q$2+A422))*POWER(1+$C$2,$S$2-$R$2))*MAX(Dashboard!$C$18,Dashboard!$B$18)))))</f>
        <v>0</v>
      </c>
    </row>
    <row r="423" spans="1:14" x14ac:dyDescent="0.2">
      <c r="A423" s="22">
        <f t="shared" si="74"/>
        <v>418</v>
      </c>
      <c r="B423" s="23">
        <f t="shared" si="75"/>
        <v>52.88812785388167</v>
      </c>
      <c r="C423" t="str">
        <f t="shared" si="66"/>
        <v>52 y 10.66 m</v>
      </c>
      <c r="D423" s="24">
        <f>IF(A423&gt;=$E$2,IF(A423&lt;$E$2+$H$2,$P$2,0),IF(B423&lt;Dashboard!$I$6,0,IF(A423&gt;=$F$2,Dashboard!$C$23*POWER(1+$C$2,A423-$F$2),Dashboard!$C$23)))</f>
        <v>5092.3674515238745</v>
      </c>
      <c r="E423" s="24">
        <f>IF(A423&gt;=$F$2,0,IF(A423=0,Dashboard!$G$10,IF(B423&lt;Dashboard!$I$6,IF($J$2&lt;=Dashboard!$H$10,Dashboard!$H$10,MAX(Dashboard!$H$10,MIN($J$2,Dashboard!$H$10*POWER($J$2/Dashboard!$H$10,A423/$D$2)))),$I$2-D423-Dashboard!$I$10-Dashboard!$J$10-Dashboard!$F$10*$I$2)))</f>
        <v>0</v>
      </c>
      <c r="F423" s="24">
        <f t="shared" si="67"/>
        <v>11884.540814604512</v>
      </c>
      <c r="G423" s="24">
        <f t="shared" si="68"/>
        <v>16477.649965947599</v>
      </c>
      <c r="H423" s="24">
        <f t="shared" si="69"/>
        <v>0</v>
      </c>
      <c r="I423" s="24">
        <f t="shared" si="70"/>
        <v>-16477.649965947599</v>
      </c>
      <c r="J423" s="25">
        <f t="shared" si="71"/>
        <v>7.9741404289037643E-3</v>
      </c>
      <c r="K423" s="24">
        <f t="shared" si="76"/>
        <v>5911367.9679316916</v>
      </c>
      <c r="L423" s="24">
        <f t="shared" si="72"/>
        <v>5911367.9679316916</v>
      </c>
      <c r="M423" s="24">
        <f t="shared" si="73"/>
        <v>0</v>
      </c>
      <c r="N423" s="24">
        <f>IF(M423&lt;=0,0,IF($E$2-A423&lt;12,(M423-E423)*Dashboard!$B$18,IF($Q$2+A423&gt;=$R$2,MAX(0,M423-E423*POWER(1+$C$2,$E$2-A423))*MAX(Dashboard!$C$18,Dashboard!$B$18),IF($S$2&lt;$R$2,(M423-E423)*0.5*Dashboard!$B$18,(E423*POWER(1+$A$2,$R$2-($Q$2+A423))-E423)*0.5*Dashboard!$B$18+MAX(0,M423-E423*POWER(1+$A$2,$R$2-($Q$2+A423))*POWER(1+$C$2,$S$2-$R$2))*MAX(Dashboard!$C$18,Dashboard!$B$18)))))</f>
        <v>0</v>
      </c>
    </row>
    <row r="424" spans="1:14" x14ac:dyDescent="0.2">
      <c r="A424" s="22">
        <f t="shared" si="74"/>
        <v>419</v>
      </c>
      <c r="B424" s="23">
        <f t="shared" si="75"/>
        <v>52.971461187215006</v>
      </c>
      <c r="C424" t="str">
        <f t="shared" si="66"/>
        <v>52 y 11.66 m</v>
      </c>
      <c r="D424" s="24">
        <f>IF(A424&gt;=$E$2,IF(A424&lt;$E$2+$H$2,$P$2,0),IF(B424&lt;Dashboard!$I$6,0,IF(A424&gt;=$F$2,Dashboard!$C$23*POWER(1+$C$2,A424-$F$2),Dashboard!$C$23)))</f>
        <v>5092.3674515238745</v>
      </c>
      <c r="E424" s="24">
        <f>IF(A424&gt;=$F$2,0,IF(A424=0,Dashboard!$G$10,IF(B424&lt;Dashboard!$I$6,IF($J$2&lt;=Dashboard!$H$10,Dashboard!$H$10,MAX(Dashboard!$H$10,MIN($J$2,Dashboard!$H$10*POWER($J$2/Dashboard!$H$10,A424/$D$2)))),$I$2-D424-Dashboard!$I$10-Dashboard!$J$10-Dashboard!$F$10*$I$2)))</f>
        <v>0</v>
      </c>
      <c r="F424" s="24">
        <f t="shared" si="67"/>
        <v>11898.531579648847</v>
      </c>
      <c r="G424" s="24">
        <f t="shared" si="68"/>
        <v>16503.087720573665</v>
      </c>
      <c r="H424" s="24">
        <f t="shared" si="69"/>
        <v>0</v>
      </c>
      <c r="I424" s="24">
        <f t="shared" si="70"/>
        <v>-16503.087720573665</v>
      </c>
      <c r="J424" s="25">
        <f t="shared" si="71"/>
        <v>7.9741404289037643E-3</v>
      </c>
      <c r="K424" s="24">
        <f t="shared" si="76"/>
        <v>5941871.3605753342</v>
      </c>
      <c r="L424" s="24">
        <f t="shared" si="72"/>
        <v>5941871.3605753342</v>
      </c>
      <c r="M424" s="24">
        <f t="shared" si="73"/>
        <v>0</v>
      </c>
      <c r="N424" s="24">
        <f>IF(M424&lt;=0,0,IF($E$2-A424&lt;12,(M424-E424)*Dashboard!$B$18,IF($Q$2+A424&gt;=$R$2,MAX(0,M424-E424*POWER(1+$C$2,$E$2-A424))*MAX(Dashboard!$C$18,Dashboard!$B$18),IF($S$2&lt;$R$2,(M424-E424)*0.5*Dashboard!$B$18,(E424*POWER(1+$A$2,$R$2-($Q$2+A424))-E424)*0.5*Dashboard!$B$18+MAX(0,M424-E424*POWER(1+$A$2,$R$2-($Q$2+A424))*POWER(1+$C$2,$S$2-$R$2))*MAX(Dashboard!$C$18,Dashboard!$B$18)))))</f>
        <v>0</v>
      </c>
    </row>
    <row r="425" spans="1:14" x14ac:dyDescent="0.2">
      <c r="A425" s="22">
        <f t="shared" si="74"/>
        <v>420</v>
      </c>
      <c r="B425" s="23">
        <f t="shared" si="75"/>
        <v>53.054794520548342</v>
      </c>
      <c r="C425" t="str">
        <f t="shared" si="66"/>
        <v>53 y 0.66 m</v>
      </c>
      <c r="D425" s="24">
        <f>IF(A425&gt;=$E$2,IF(A425&lt;$E$2+$H$2,$P$2,0),IF(B425&lt;Dashboard!$I$6,0,IF(A425&gt;=$F$2,Dashboard!$C$23*POWER(1+$C$2,A425-$F$2),Dashboard!$C$23)))</f>
        <v>5092.3674515238745</v>
      </c>
      <c r="E425" s="24">
        <f>IF(A425&gt;=$F$2,0,IF(A425=0,Dashboard!$G$10,IF(B425&lt;Dashboard!$I$6,IF($J$2&lt;=Dashboard!$H$10,Dashboard!$H$10,MAX(Dashboard!$H$10,MIN($J$2,Dashboard!$H$10*POWER($J$2/Dashboard!$H$10,A425/$D$2)))),$I$2-D425-Dashboard!$I$10-Dashboard!$J$10-Dashboard!$F$10*$I$2)))</f>
        <v>0</v>
      </c>
      <c r="F425" s="24">
        <f t="shared" si="67"/>
        <v>11912.551163378459</v>
      </c>
      <c r="G425" s="24">
        <f t="shared" si="68"/>
        <v>16528.577872809317</v>
      </c>
      <c r="H425" s="24">
        <f t="shared" si="69"/>
        <v>0</v>
      </c>
      <c r="I425" s="24">
        <f t="shared" si="70"/>
        <v>-16528.577872809317</v>
      </c>
      <c r="J425" s="25">
        <f t="shared" si="71"/>
        <v>7.9741404289037643E-3</v>
      </c>
      <c r="K425" s="24">
        <f t="shared" si="76"/>
        <v>5972592.2981411861</v>
      </c>
      <c r="L425" s="24">
        <f t="shared" si="72"/>
        <v>5972592.2981411861</v>
      </c>
      <c r="M425" s="24">
        <f t="shared" si="73"/>
        <v>0</v>
      </c>
      <c r="N425" s="24">
        <f>IF(M425&lt;=0,0,IF($E$2-A425&lt;12,(M425-E425)*Dashboard!$B$18,IF($Q$2+A425&gt;=$R$2,MAX(0,M425-E425*POWER(1+$C$2,$E$2-A425))*MAX(Dashboard!$C$18,Dashboard!$B$18),IF($S$2&lt;$R$2,(M425-E425)*0.5*Dashboard!$B$18,(E425*POWER(1+$A$2,$R$2-($Q$2+A425))-E425)*0.5*Dashboard!$B$18+MAX(0,M425-E425*POWER(1+$A$2,$R$2-($Q$2+A425))*POWER(1+$C$2,$S$2-$R$2))*MAX(Dashboard!$C$18,Dashboard!$B$18)))))</f>
        <v>0</v>
      </c>
    </row>
    <row r="426" spans="1:14" x14ac:dyDescent="0.2">
      <c r="A426" s="22">
        <f t="shared" si="74"/>
        <v>421</v>
      </c>
      <c r="B426" s="23">
        <f t="shared" si="75"/>
        <v>53.138127853881677</v>
      </c>
      <c r="C426" t="str">
        <f t="shared" si="66"/>
        <v>53 y 1.66 m</v>
      </c>
      <c r="D426" s="24">
        <f>IF(A426&gt;=$E$2,IF(A426&lt;$E$2+$H$2,$P$2,0),IF(B426&lt;Dashboard!$I$6,0,IF(A426&gt;=$F$2,Dashboard!$C$23*POWER(1+$C$2,A426-$F$2),Dashboard!$C$23)))</f>
        <v>5092.3674515238745</v>
      </c>
      <c r="E426" s="24">
        <f>IF(A426&gt;=$F$2,0,IF(A426=0,Dashboard!$G$10,IF(B426&lt;Dashboard!$I$6,IF($J$2&lt;=Dashboard!$H$10,Dashboard!$H$10,MAX(Dashboard!$H$10,MIN($J$2,Dashboard!$H$10*POWER($J$2/Dashboard!$H$10,A426/$D$2)))),$I$2-D426-Dashboard!$I$10-Dashboard!$J$10-Dashboard!$F$10*$I$2)))</f>
        <v>0</v>
      </c>
      <c r="F426" s="24">
        <f t="shared" si="67"/>
        <v>11926.599625155128</v>
      </c>
      <c r="G426" s="24">
        <f t="shared" si="68"/>
        <v>16554.120530585082</v>
      </c>
      <c r="H426" s="24">
        <f t="shared" si="69"/>
        <v>0</v>
      </c>
      <c r="I426" s="24">
        <f t="shared" si="70"/>
        <v>-16554.120530585082</v>
      </c>
      <c r="J426" s="25">
        <f t="shared" si="71"/>
        <v>7.9741404289037643E-3</v>
      </c>
      <c r="K426" s="24">
        <f t="shared" si="76"/>
        <v>6003532.4624387799</v>
      </c>
      <c r="L426" s="24">
        <f t="shared" si="72"/>
        <v>6003532.4624387799</v>
      </c>
      <c r="M426" s="24">
        <f t="shared" si="73"/>
        <v>0</v>
      </c>
      <c r="N426" s="24">
        <f>IF(M426&lt;=0,0,IF($E$2-A426&lt;12,(M426-E426)*Dashboard!$B$18,IF($Q$2+A426&gt;=$R$2,MAX(0,M426-E426*POWER(1+$C$2,$E$2-A426))*MAX(Dashboard!$C$18,Dashboard!$B$18),IF($S$2&lt;$R$2,(M426-E426)*0.5*Dashboard!$B$18,(E426*POWER(1+$A$2,$R$2-($Q$2+A426))-E426)*0.5*Dashboard!$B$18+MAX(0,M426-E426*POWER(1+$A$2,$R$2-($Q$2+A426))*POWER(1+$C$2,$S$2-$R$2))*MAX(Dashboard!$C$18,Dashboard!$B$18)))))</f>
        <v>0</v>
      </c>
    </row>
    <row r="427" spans="1:14" x14ac:dyDescent="0.2">
      <c r="A427" s="22">
        <f t="shared" si="74"/>
        <v>422</v>
      </c>
      <c r="B427" s="23">
        <f t="shared" si="75"/>
        <v>53.221461187215013</v>
      </c>
      <c r="C427" t="str">
        <f t="shared" si="66"/>
        <v>53 y 2.66 m</v>
      </c>
      <c r="D427" s="24">
        <f>IF(A427&gt;=$E$2,IF(A427&lt;$E$2+$H$2,$P$2,0),IF(B427&lt;Dashboard!$I$6,0,IF(A427&gt;=$F$2,Dashboard!$C$23*POWER(1+$C$2,A427-$F$2),Dashboard!$C$23)))</f>
        <v>5092.3674515238745</v>
      </c>
      <c r="E427" s="24">
        <f>IF(A427&gt;=$F$2,0,IF(A427=0,Dashboard!$G$10,IF(B427&lt;Dashboard!$I$6,IF($J$2&lt;=Dashboard!$H$10,Dashboard!$H$10,MAX(Dashboard!$H$10,MIN($J$2,Dashboard!$H$10*POWER($J$2/Dashboard!$H$10,A427/$D$2)))),$I$2-D427-Dashboard!$I$10-Dashboard!$J$10-Dashboard!$F$10*$I$2)))</f>
        <v>0</v>
      </c>
      <c r="F427" s="24">
        <f t="shared" si="67"/>
        <v>11940.677024462901</v>
      </c>
      <c r="G427" s="24">
        <f t="shared" si="68"/>
        <v>16579.715802053757</v>
      </c>
      <c r="H427" s="24">
        <f t="shared" si="69"/>
        <v>0</v>
      </c>
      <c r="I427" s="24">
        <f t="shared" si="70"/>
        <v>-16579.715802053757</v>
      </c>
      <c r="J427" s="25">
        <f t="shared" si="71"/>
        <v>7.9741404289037643E-3</v>
      </c>
      <c r="K427" s="24">
        <f t="shared" si="76"/>
        <v>6034693.5485796183</v>
      </c>
      <c r="L427" s="24">
        <f t="shared" si="72"/>
        <v>6034693.5485796183</v>
      </c>
      <c r="M427" s="24">
        <f t="shared" si="73"/>
        <v>0</v>
      </c>
      <c r="N427" s="24">
        <f>IF(M427&lt;=0,0,IF($E$2-A427&lt;12,(M427-E427)*Dashboard!$B$18,IF($Q$2+A427&gt;=$R$2,MAX(0,M427-E427*POWER(1+$C$2,$E$2-A427))*MAX(Dashboard!$C$18,Dashboard!$B$18),IF($S$2&lt;$R$2,(M427-E427)*0.5*Dashboard!$B$18,(E427*POWER(1+$A$2,$R$2-($Q$2+A427))-E427)*0.5*Dashboard!$B$18+MAX(0,M427-E427*POWER(1+$A$2,$R$2-($Q$2+A427))*POWER(1+$C$2,$S$2-$R$2))*MAX(Dashboard!$C$18,Dashboard!$B$18)))))</f>
        <v>0</v>
      </c>
    </row>
    <row r="428" spans="1:14" x14ac:dyDescent="0.2">
      <c r="A428" s="22">
        <f t="shared" si="74"/>
        <v>423</v>
      </c>
      <c r="B428" s="23">
        <f t="shared" si="75"/>
        <v>53.304794520548349</v>
      </c>
      <c r="C428" t="str">
        <f t="shared" si="66"/>
        <v>53 y 3.66 m</v>
      </c>
      <c r="D428" s="24">
        <f>IF(A428&gt;=$E$2,IF(A428&lt;$E$2+$H$2,$P$2,0),IF(B428&lt;Dashboard!$I$6,0,IF(A428&gt;=$F$2,Dashboard!$C$23*POWER(1+$C$2,A428-$F$2),Dashboard!$C$23)))</f>
        <v>5092.3674515238745</v>
      </c>
      <c r="E428" s="24">
        <f>IF(A428&gt;=$F$2,0,IF(A428=0,Dashboard!$G$10,IF(B428&lt;Dashboard!$I$6,IF($J$2&lt;=Dashboard!$H$10,Dashboard!$H$10,MAX(Dashboard!$H$10,MIN($J$2,Dashboard!$H$10*POWER($J$2/Dashboard!$H$10,A428/$D$2)))),$I$2-D428-Dashboard!$I$10-Dashboard!$J$10-Dashboard!$F$10*$I$2)))</f>
        <v>0</v>
      </c>
      <c r="F428" s="24">
        <f t="shared" si="67"/>
        <v>11954.783420908352</v>
      </c>
      <c r="G428" s="24">
        <f t="shared" si="68"/>
        <v>16605.363795590943</v>
      </c>
      <c r="H428" s="24">
        <f t="shared" si="69"/>
        <v>0</v>
      </c>
      <c r="I428" s="24">
        <f t="shared" si="70"/>
        <v>-16605.363795590943</v>
      </c>
      <c r="J428" s="25">
        <f t="shared" si="71"/>
        <v>7.9741404289037643E-3</v>
      </c>
      <c r="K428" s="24">
        <f t="shared" si="76"/>
        <v>6066077.2650830224</v>
      </c>
      <c r="L428" s="24">
        <f t="shared" si="72"/>
        <v>6066077.2650830224</v>
      </c>
      <c r="M428" s="24">
        <f t="shared" si="73"/>
        <v>0</v>
      </c>
      <c r="N428" s="24">
        <f>IF(M428&lt;=0,0,IF($E$2-A428&lt;12,(M428-E428)*Dashboard!$B$18,IF($Q$2+A428&gt;=$R$2,MAX(0,M428-E428*POWER(1+$C$2,$E$2-A428))*MAX(Dashboard!$C$18,Dashboard!$B$18),IF($S$2&lt;$R$2,(M428-E428)*0.5*Dashboard!$B$18,(E428*POWER(1+$A$2,$R$2-($Q$2+A428))-E428)*0.5*Dashboard!$B$18+MAX(0,M428-E428*POWER(1+$A$2,$R$2-($Q$2+A428))*POWER(1+$C$2,$S$2-$R$2))*MAX(Dashboard!$C$18,Dashboard!$B$18)))))</f>
        <v>0</v>
      </c>
    </row>
    <row r="429" spans="1:14" x14ac:dyDescent="0.2">
      <c r="A429" s="22">
        <f t="shared" si="74"/>
        <v>424</v>
      </c>
      <c r="B429" s="23">
        <f t="shared" si="75"/>
        <v>53.388127853881684</v>
      </c>
      <c r="C429" t="str">
        <f t="shared" si="66"/>
        <v>53 y 4.66 m</v>
      </c>
      <c r="D429" s="24">
        <f>IF(A429&gt;=$E$2,IF(A429&lt;$E$2+$H$2,$P$2,0),IF(B429&lt;Dashboard!$I$6,0,IF(A429&gt;=$F$2,Dashboard!$C$23*POWER(1+$C$2,A429-$F$2),Dashboard!$C$23)))</f>
        <v>5092.3674515238745</v>
      </c>
      <c r="E429" s="24">
        <f>IF(A429&gt;=$F$2,0,IF(A429=0,Dashboard!$G$10,IF(B429&lt;Dashboard!$I$6,IF($J$2&lt;=Dashboard!$H$10,Dashboard!$H$10,MAX(Dashboard!$H$10,MIN($J$2,Dashboard!$H$10*POWER($J$2/Dashboard!$H$10,A429/$D$2)))),$I$2-D429-Dashboard!$I$10-Dashboard!$J$10-Dashboard!$F$10*$I$2)))</f>
        <v>0</v>
      </c>
      <c r="F429" s="24">
        <f t="shared" si="67"/>
        <v>11968.918874220839</v>
      </c>
      <c r="G429" s="24">
        <f t="shared" si="68"/>
        <v>16631.064619795467</v>
      </c>
      <c r="H429" s="24">
        <f t="shared" si="69"/>
        <v>0</v>
      </c>
      <c r="I429" s="24">
        <f t="shared" si="70"/>
        <v>-16631.064619795467</v>
      </c>
      <c r="J429" s="25">
        <f t="shared" si="71"/>
        <v>7.9741404289037643E-3</v>
      </c>
      <c r="K429" s="24">
        <f t="shared" si="76"/>
        <v>6097685.3339828188</v>
      </c>
      <c r="L429" s="24">
        <f t="shared" si="72"/>
        <v>6097685.3339828188</v>
      </c>
      <c r="M429" s="24">
        <f t="shared" si="73"/>
        <v>0</v>
      </c>
      <c r="N429" s="24">
        <f>IF(M429&lt;=0,0,IF($E$2-A429&lt;12,(M429-E429)*Dashboard!$B$18,IF($Q$2+A429&gt;=$R$2,MAX(0,M429-E429*POWER(1+$C$2,$E$2-A429))*MAX(Dashboard!$C$18,Dashboard!$B$18),IF($S$2&lt;$R$2,(M429-E429)*0.5*Dashboard!$B$18,(E429*POWER(1+$A$2,$R$2-($Q$2+A429))-E429)*0.5*Dashboard!$B$18+MAX(0,M429-E429*POWER(1+$A$2,$R$2-($Q$2+A429))*POWER(1+$C$2,$S$2-$R$2))*MAX(Dashboard!$C$18,Dashboard!$B$18)))))</f>
        <v>0</v>
      </c>
    </row>
    <row r="430" spans="1:14" x14ac:dyDescent="0.2">
      <c r="A430" s="22">
        <f t="shared" si="74"/>
        <v>425</v>
      </c>
      <c r="B430" s="23">
        <f t="shared" si="75"/>
        <v>53.47146118721502</v>
      </c>
      <c r="C430" t="str">
        <f t="shared" si="66"/>
        <v>53 y 5.66 m</v>
      </c>
      <c r="D430" s="24">
        <f>IF(A430&gt;=$E$2,IF(A430&lt;$E$2+$H$2,$P$2,0),IF(B430&lt;Dashboard!$I$6,0,IF(A430&gt;=$F$2,Dashboard!$C$23*POWER(1+$C$2,A430-$F$2),Dashboard!$C$23)))</f>
        <v>5092.3674515238745</v>
      </c>
      <c r="E430" s="24">
        <f>IF(A430&gt;=$F$2,0,IF(A430=0,Dashboard!$G$10,IF(B430&lt;Dashboard!$I$6,IF($J$2&lt;=Dashboard!$H$10,Dashboard!$H$10,MAX(Dashboard!$H$10,MIN($J$2,Dashboard!$H$10*POWER($J$2/Dashboard!$H$10,A430/$D$2)))),$I$2-D430-Dashboard!$I$10-Dashboard!$J$10-Dashboard!$F$10*$I$2)))</f>
        <v>0</v>
      </c>
      <c r="F430" s="24">
        <f t="shared" si="67"/>
        <v>11983.083444252748</v>
      </c>
      <c r="G430" s="24">
        <f t="shared" si="68"/>
        <v>16656.818383489845</v>
      </c>
      <c r="H430" s="24">
        <f t="shared" si="69"/>
        <v>0</v>
      </c>
      <c r="I430" s="24">
        <f t="shared" si="70"/>
        <v>-16656.818383489845</v>
      </c>
      <c r="J430" s="25">
        <f t="shared" si="71"/>
        <v>7.9741404289037643E-3</v>
      </c>
      <c r="K430" s="24">
        <f t="shared" si="76"/>
        <v>6129519.490934886</v>
      </c>
      <c r="L430" s="24">
        <f t="shared" si="72"/>
        <v>6129519.490934886</v>
      </c>
      <c r="M430" s="24">
        <f t="shared" si="73"/>
        <v>0</v>
      </c>
      <c r="N430" s="24">
        <f>IF(M430&lt;=0,0,IF($E$2-A430&lt;12,(M430-E430)*Dashboard!$B$18,IF($Q$2+A430&gt;=$R$2,MAX(0,M430-E430*POWER(1+$C$2,$E$2-A430))*MAX(Dashboard!$C$18,Dashboard!$B$18),IF($S$2&lt;$R$2,(M430-E430)*0.5*Dashboard!$B$18,(E430*POWER(1+$A$2,$R$2-($Q$2+A430))-E430)*0.5*Dashboard!$B$18+MAX(0,M430-E430*POWER(1+$A$2,$R$2-($Q$2+A430))*POWER(1+$C$2,$S$2-$R$2))*MAX(Dashboard!$C$18,Dashboard!$B$18)))))</f>
        <v>0</v>
      </c>
    </row>
    <row r="431" spans="1:14" x14ac:dyDescent="0.2">
      <c r="A431" s="22">
        <f t="shared" si="74"/>
        <v>426</v>
      </c>
      <c r="B431" s="23">
        <f t="shared" si="75"/>
        <v>53.554794520548356</v>
      </c>
      <c r="C431" t="str">
        <f t="shared" si="66"/>
        <v>53 y 6.66 m</v>
      </c>
      <c r="D431" s="24">
        <f>IF(A431&gt;=$E$2,IF(A431&lt;$E$2+$H$2,$P$2,0),IF(B431&lt;Dashboard!$I$6,0,IF(A431&gt;=$F$2,Dashboard!$C$23*POWER(1+$C$2,A431-$F$2),Dashboard!$C$23)))</f>
        <v>5092.3674515238745</v>
      </c>
      <c r="E431" s="24">
        <f>IF(A431&gt;=$F$2,0,IF(A431=0,Dashboard!$G$10,IF(B431&lt;Dashboard!$I$6,IF($J$2&lt;=Dashboard!$H$10,Dashboard!$H$10,MAX(Dashboard!$H$10,MIN($J$2,Dashboard!$H$10*POWER($J$2/Dashboard!$H$10,A431/$D$2)))),$I$2-D431-Dashboard!$I$10-Dashboard!$J$10-Dashboard!$F$10*$I$2)))</f>
        <v>0</v>
      </c>
      <c r="F431" s="24">
        <f t="shared" si="67"/>
        <v>11997.277190979756</v>
      </c>
      <c r="G431" s="24">
        <f t="shared" si="68"/>
        <v>16682.625195720768</v>
      </c>
      <c r="H431" s="24">
        <f t="shared" si="69"/>
        <v>0</v>
      </c>
      <c r="I431" s="24">
        <f t="shared" si="70"/>
        <v>-16682.625195720768</v>
      </c>
      <c r="J431" s="25">
        <f t="shared" si="71"/>
        <v>7.9741404289037643E-3</v>
      </c>
      <c r="K431" s="24">
        <f t="shared" si="76"/>
        <v>6161581.4853255488</v>
      </c>
      <c r="L431" s="24">
        <f t="shared" si="72"/>
        <v>6161581.4853255488</v>
      </c>
      <c r="M431" s="24">
        <f t="shared" si="73"/>
        <v>0</v>
      </c>
      <c r="N431" s="24">
        <f>IF(M431&lt;=0,0,IF($E$2-A431&lt;12,(M431-E431)*Dashboard!$B$18,IF($Q$2+A431&gt;=$R$2,MAX(0,M431-E431*POWER(1+$C$2,$E$2-A431))*MAX(Dashboard!$C$18,Dashboard!$B$18),IF($S$2&lt;$R$2,(M431-E431)*0.5*Dashboard!$B$18,(E431*POWER(1+$A$2,$R$2-($Q$2+A431))-E431)*0.5*Dashboard!$B$18+MAX(0,M431-E431*POWER(1+$A$2,$R$2-($Q$2+A431))*POWER(1+$C$2,$S$2-$R$2))*MAX(Dashboard!$C$18,Dashboard!$B$18)))))</f>
        <v>0</v>
      </c>
    </row>
    <row r="432" spans="1:14" x14ac:dyDescent="0.2">
      <c r="A432" s="22">
        <f t="shared" si="74"/>
        <v>427</v>
      </c>
      <c r="B432" s="23">
        <f t="shared" si="75"/>
        <v>53.638127853881691</v>
      </c>
      <c r="C432" t="str">
        <f t="shared" si="66"/>
        <v>53 y 7.66 m</v>
      </c>
      <c r="D432" s="24">
        <f>IF(A432&gt;=$E$2,IF(A432&lt;$E$2+$H$2,$P$2,0),IF(B432&lt;Dashboard!$I$6,0,IF(A432&gt;=$F$2,Dashboard!$C$23*POWER(1+$C$2,A432-$F$2),Dashboard!$C$23)))</f>
        <v>5092.3674515238745</v>
      </c>
      <c r="E432" s="24">
        <f>IF(A432&gt;=$F$2,0,IF(A432=0,Dashboard!$G$10,IF(B432&lt;Dashboard!$I$6,IF($J$2&lt;=Dashboard!$H$10,Dashboard!$H$10,MAX(Dashboard!$H$10,MIN($J$2,Dashboard!$H$10*POWER($J$2/Dashboard!$H$10,A432/$D$2)))),$I$2-D432-Dashboard!$I$10-Dashboard!$J$10-Dashboard!$F$10*$I$2)))</f>
        <v>0</v>
      </c>
      <c r="F432" s="24">
        <f t="shared" si="67"/>
        <v>12011.500174501078</v>
      </c>
      <c r="G432" s="24">
        <f t="shared" si="68"/>
        <v>16708.485165759532</v>
      </c>
      <c r="H432" s="24">
        <f t="shared" si="69"/>
        <v>0</v>
      </c>
      <c r="I432" s="24">
        <f t="shared" si="70"/>
        <v>-16708.485165759532</v>
      </c>
      <c r="J432" s="25">
        <f t="shared" si="71"/>
        <v>7.9741404289037643E-3</v>
      </c>
      <c r="K432" s="24">
        <f t="shared" si="76"/>
        <v>6193873.0803808421</v>
      </c>
      <c r="L432" s="24">
        <f t="shared" si="72"/>
        <v>6193873.0803808421</v>
      </c>
      <c r="M432" s="24">
        <f t="shared" si="73"/>
        <v>0</v>
      </c>
      <c r="N432" s="24">
        <f>IF(M432&lt;=0,0,IF($E$2-A432&lt;12,(M432-E432)*Dashboard!$B$18,IF($Q$2+A432&gt;=$R$2,MAX(0,M432-E432*POWER(1+$C$2,$E$2-A432))*MAX(Dashboard!$C$18,Dashboard!$B$18),IF($S$2&lt;$R$2,(M432-E432)*0.5*Dashboard!$B$18,(E432*POWER(1+$A$2,$R$2-($Q$2+A432))-E432)*0.5*Dashboard!$B$18+MAX(0,M432-E432*POWER(1+$A$2,$R$2-($Q$2+A432))*POWER(1+$C$2,$S$2-$R$2))*MAX(Dashboard!$C$18,Dashboard!$B$18)))))</f>
        <v>0</v>
      </c>
    </row>
    <row r="433" spans="1:14" x14ac:dyDescent="0.2">
      <c r="A433" s="22">
        <f t="shared" si="74"/>
        <v>428</v>
      </c>
      <c r="B433" s="23">
        <f t="shared" si="75"/>
        <v>53.721461187215027</v>
      </c>
      <c r="C433" t="str">
        <f t="shared" si="66"/>
        <v>53 y 8.66 m</v>
      </c>
      <c r="D433" s="24">
        <f>IF(A433&gt;=$E$2,IF(A433&lt;$E$2+$H$2,$P$2,0),IF(B433&lt;Dashboard!$I$6,0,IF(A433&gt;=$F$2,Dashboard!$C$23*POWER(1+$C$2,A433-$F$2),Dashboard!$C$23)))</f>
        <v>5092.3674515238745</v>
      </c>
      <c r="E433" s="24">
        <f>IF(A433&gt;=$F$2,0,IF(A433=0,Dashboard!$G$10,IF(B433&lt;Dashboard!$I$6,IF($J$2&lt;=Dashboard!$H$10,Dashboard!$H$10,MAX(Dashboard!$H$10,MIN($J$2,Dashboard!$H$10*POWER($J$2/Dashboard!$H$10,A433/$D$2)))),$I$2-D433-Dashboard!$I$10-Dashboard!$J$10-Dashboard!$F$10*$I$2)))</f>
        <v>0</v>
      </c>
      <c r="F433" s="24">
        <f t="shared" si="67"/>
        <v>12025.752455039721</v>
      </c>
      <c r="G433" s="24">
        <f t="shared" si="68"/>
        <v>16734.398403102521</v>
      </c>
      <c r="H433" s="24">
        <f t="shared" si="69"/>
        <v>0</v>
      </c>
      <c r="I433" s="24">
        <f t="shared" si="70"/>
        <v>-16734.398403102521</v>
      </c>
      <c r="J433" s="25">
        <f t="shared" si="71"/>
        <v>7.9741404289037643E-3</v>
      </c>
      <c r="K433" s="24">
        <f t="shared" si="76"/>
        <v>6226396.0532766432</v>
      </c>
      <c r="L433" s="24">
        <f t="shared" si="72"/>
        <v>6226396.0532766432</v>
      </c>
      <c r="M433" s="24">
        <f t="shared" si="73"/>
        <v>0</v>
      </c>
      <c r="N433" s="24">
        <f>IF(M433&lt;=0,0,IF($E$2-A433&lt;12,(M433-E433)*Dashboard!$B$18,IF($Q$2+A433&gt;=$R$2,MAX(0,M433-E433*POWER(1+$C$2,$E$2-A433))*MAX(Dashboard!$C$18,Dashboard!$B$18),IF($S$2&lt;$R$2,(M433-E433)*0.5*Dashboard!$B$18,(E433*POWER(1+$A$2,$R$2-($Q$2+A433))-E433)*0.5*Dashboard!$B$18+MAX(0,M433-E433*POWER(1+$A$2,$R$2-($Q$2+A433))*POWER(1+$C$2,$S$2-$R$2))*MAX(Dashboard!$C$18,Dashboard!$B$18)))))</f>
        <v>0</v>
      </c>
    </row>
    <row r="434" spans="1:14" x14ac:dyDescent="0.2">
      <c r="A434" s="22">
        <f t="shared" si="74"/>
        <v>429</v>
      </c>
      <c r="B434" s="23">
        <f t="shared" si="75"/>
        <v>53.804794520548363</v>
      </c>
      <c r="C434" t="str">
        <f t="shared" si="66"/>
        <v>53 y 9.66 m</v>
      </c>
      <c r="D434" s="24">
        <f>IF(A434&gt;=$E$2,IF(A434&lt;$E$2+$H$2,$P$2,0),IF(B434&lt;Dashboard!$I$6,0,IF(A434&gt;=$F$2,Dashboard!$C$23*POWER(1+$C$2,A434-$F$2),Dashboard!$C$23)))</f>
        <v>5092.3674515238745</v>
      </c>
      <c r="E434" s="24">
        <f>IF(A434&gt;=$F$2,0,IF(A434=0,Dashboard!$G$10,IF(B434&lt;Dashboard!$I$6,IF($J$2&lt;=Dashboard!$H$10,Dashboard!$H$10,MAX(Dashboard!$H$10,MIN($J$2,Dashboard!$H$10*POWER($J$2/Dashboard!$H$10,A434/$D$2)))),$I$2-D434-Dashboard!$I$10-Dashboard!$J$10-Dashboard!$F$10*$I$2)))</f>
        <v>0</v>
      </c>
      <c r="F434" s="24">
        <f t="shared" si="67"/>
        <v>12040.034092942748</v>
      </c>
      <c r="G434" s="24">
        <f t="shared" si="68"/>
        <v>16760.365017471664</v>
      </c>
      <c r="H434" s="24">
        <f t="shared" si="69"/>
        <v>0</v>
      </c>
      <c r="I434" s="24">
        <f t="shared" si="70"/>
        <v>-16760.365017471664</v>
      </c>
      <c r="J434" s="25">
        <f t="shared" si="71"/>
        <v>7.9741404289037643E-3</v>
      </c>
      <c r="K434" s="24">
        <f t="shared" si="76"/>
        <v>6259152.1952496823</v>
      </c>
      <c r="L434" s="24">
        <f t="shared" si="72"/>
        <v>6259152.1952496823</v>
      </c>
      <c r="M434" s="24">
        <f t="shared" si="73"/>
        <v>0</v>
      </c>
      <c r="N434" s="24">
        <f>IF(M434&lt;=0,0,IF($E$2-A434&lt;12,(M434-E434)*Dashboard!$B$18,IF($Q$2+A434&gt;=$R$2,MAX(0,M434-E434*POWER(1+$C$2,$E$2-A434))*MAX(Dashboard!$C$18,Dashboard!$B$18),IF($S$2&lt;$R$2,(M434-E434)*0.5*Dashboard!$B$18,(E434*POWER(1+$A$2,$R$2-($Q$2+A434))-E434)*0.5*Dashboard!$B$18+MAX(0,M434-E434*POWER(1+$A$2,$R$2-($Q$2+A434))*POWER(1+$C$2,$S$2-$R$2))*MAX(Dashboard!$C$18,Dashboard!$B$18)))))</f>
        <v>0</v>
      </c>
    </row>
    <row r="435" spans="1:14" x14ac:dyDescent="0.2">
      <c r="A435" s="22">
        <f t="shared" si="74"/>
        <v>430</v>
      </c>
      <c r="B435" s="23">
        <f t="shared" si="75"/>
        <v>53.888127853881699</v>
      </c>
      <c r="C435" t="str">
        <f t="shared" si="66"/>
        <v>53 y 10.66 m</v>
      </c>
      <c r="D435" s="24">
        <f>IF(A435&gt;=$E$2,IF(A435&lt;$E$2+$H$2,$P$2,0),IF(B435&lt;Dashboard!$I$6,0,IF(A435&gt;=$F$2,Dashboard!$C$23*POWER(1+$C$2,A435-$F$2),Dashboard!$C$23)))</f>
        <v>5092.3674515238745</v>
      </c>
      <c r="E435" s="24">
        <f>IF(A435&gt;=$F$2,0,IF(A435=0,Dashboard!$G$10,IF(B435&lt;Dashboard!$I$6,IF($J$2&lt;=Dashboard!$H$10,Dashboard!$H$10,MAX(Dashboard!$H$10,MIN($J$2,Dashboard!$H$10*POWER($J$2/Dashboard!$H$10,A435/$D$2)))),$I$2-D435-Dashboard!$I$10-Dashboard!$J$10-Dashboard!$F$10*$I$2)))</f>
        <v>0</v>
      </c>
      <c r="F435" s="24">
        <f t="shared" si="67"/>
        <v>12054.345148681517</v>
      </c>
      <c r="G435" s="24">
        <f t="shared" si="68"/>
        <v>16786.38511881488</v>
      </c>
      <c r="H435" s="24">
        <f t="shared" si="69"/>
        <v>0</v>
      </c>
      <c r="I435" s="24">
        <f t="shared" si="70"/>
        <v>-16786.38511881488</v>
      </c>
      <c r="J435" s="25">
        <f t="shared" si="71"/>
        <v>7.9741404289037643E-3</v>
      </c>
      <c r="K435" s="24">
        <f t="shared" si="76"/>
        <v>6292143.3117094385</v>
      </c>
      <c r="L435" s="24">
        <f t="shared" si="72"/>
        <v>6292143.3117094385</v>
      </c>
      <c r="M435" s="24">
        <f t="shared" si="73"/>
        <v>0</v>
      </c>
      <c r="N435" s="24">
        <f>IF(M435&lt;=0,0,IF($E$2-A435&lt;12,(M435-E435)*Dashboard!$B$18,IF($Q$2+A435&gt;=$R$2,MAX(0,M435-E435*POWER(1+$C$2,$E$2-A435))*MAX(Dashboard!$C$18,Dashboard!$B$18),IF($S$2&lt;$R$2,(M435-E435)*0.5*Dashboard!$B$18,(E435*POWER(1+$A$2,$R$2-($Q$2+A435))-E435)*0.5*Dashboard!$B$18+MAX(0,M435-E435*POWER(1+$A$2,$R$2-($Q$2+A435))*POWER(1+$C$2,$S$2-$R$2))*MAX(Dashboard!$C$18,Dashboard!$B$18)))))</f>
        <v>0</v>
      </c>
    </row>
    <row r="436" spans="1:14" x14ac:dyDescent="0.2">
      <c r="A436" s="22">
        <f t="shared" si="74"/>
        <v>431</v>
      </c>
      <c r="B436" s="23">
        <f t="shared" si="75"/>
        <v>53.971461187215034</v>
      </c>
      <c r="C436" t="str">
        <f t="shared" si="66"/>
        <v>53 y 11.66 m</v>
      </c>
      <c r="D436" s="24">
        <f>IF(A436&gt;=$E$2,IF(A436&lt;$E$2+$H$2,$P$2,0),IF(B436&lt;Dashboard!$I$6,0,IF(A436&gt;=$F$2,Dashboard!$C$23*POWER(1+$C$2,A436-$F$2),Dashboard!$C$23)))</f>
        <v>5092.3674515238745</v>
      </c>
      <c r="E436" s="24">
        <f>IF(A436&gt;=$F$2,0,IF(A436=0,Dashboard!$G$10,IF(B436&lt;Dashboard!$I$6,IF($J$2&lt;=Dashboard!$H$10,Dashboard!$H$10,MAX(Dashboard!$H$10,MIN($J$2,Dashboard!$H$10*POWER($J$2/Dashboard!$H$10,A436/$D$2)))),$I$2-D436-Dashboard!$I$10-Dashboard!$J$10-Dashboard!$F$10*$I$2)))</f>
        <v>0</v>
      </c>
      <c r="F436" s="24">
        <f t="shared" si="67"/>
        <v>12068.685682851959</v>
      </c>
      <c r="G436" s="24">
        <f t="shared" si="68"/>
        <v>16812.458817306593</v>
      </c>
      <c r="H436" s="24">
        <f t="shared" si="69"/>
        <v>0</v>
      </c>
      <c r="I436" s="24">
        <f t="shared" si="70"/>
        <v>-16812.458817306593</v>
      </c>
      <c r="J436" s="25">
        <f t="shared" si="71"/>
        <v>7.9741404289037643E-3</v>
      </c>
      <c r="K436" s="24">
        <f t="shared" si="76"/>
        <v>6325371.2223509261</v>
      </c>
      <c r="L436" s="24">
        <f t="shared" si="72"/>
        <v>6325371.2223509261</v>
      </c>
      <c r="M436" s="24">
        <f t="shared" si="73"/>
        <v>0</v>
      </c>
      <c r="N436" s="24">
        <f>IF(M436&lt;=0,0,IF($E$2-A436&lt;12,(M436-E436)*Dashboard!$B$18,IF($Q$2+A436&gt;=$R$2,MAX(0,M436-E436*POWER(1+$C$2,$E$2-A436))*MAX(Dashboard!$C$18,Dashboard!$B$18),IF($S$2&lt;$R$2,(M436-E436)*0.5*Dashboard!$B$18,(E436*POWER(1+$A$2,$R$2-($Q$2+A436))-E436)*0.5*Dashboard!$B$18+MAX(0,M436-E436*POWER(1+$A$2,$R$2-($Q$2+A436))*POWER(1+$C$2,$S$2-$R$2))*MAX(Dashboard!$C$18,Dashboard!$B$18)))))</f>
        <v>0</v>
      </c>
    </row>
    <row r="437" spans="1:14" x14ac:dyDescent="0.2">
      <c r="A437" s="22">
        <f t="shared" si="74"/>
        <v>432</v>
      </c>
      <c r="B437" s="23">
        <f t="shared" si="75"/>
        <v>54.05479452054837</v>
      </c>
      <c r="C437" t="str">
        <f t="shared" si="66"/>
        <v>54 y 0.66 m</v>
      </c>
      <c r="D437" s="24">
        <f>IF(A437&gt;=$E$2,IF(A437&lt;$E$2+$H$2,$P$2,0),IF(B437&lt;Dashboard!$I$6,0,IF(A437&gt;=$F$2,Dashboard!$C$23*POWER(1+$C$2,A437-$F$2),Dashboard!$C$23)))</f>
        <v>5092.3674515238745</v>
      </c>
      <c r="E437" s="24">
        <f>IF(A437&gt;=$F$2,0,IF(A437=0,Dashboard!$G$10,IF(B437&lt;Dashboard!$I$6,IF($J$2&lt;=Dashboard!$H$10,Dashboard!$H$10,MAX(Dashboard!$H$10,MIN($J$2,Dashboard!$H$10*POWER($J$2/Dashboard!$H$10,A437/$D$2)))),$I$2-D437-Dashboard!$I$10-Dashboard!$J$10-Dashboard!$F$10*$I$2)))</f>
        <v>0</v>
      </c>
      <c r="F437" s="24">
        <f t="shared" si="67"/>
        <v>12083.055756174814</v>
      </c>
      <c r="G437" s="24">
        <f t="shared" si="68"/>
        <v>16838.586223348146</v>
      </c>
      <c r="H437" s="24">
        <f t="shared" si="69"/>
        <v>0</v>
      </c>
      <c r="I437" s="24">
        <f t="shared" si="70"/>
        <v>-16838.586223348146</v>
      </c>
      <c r="J437" s="25">
        <f t="shared" si="71"/>
        <v>7.9741404289037643E-3</v>
      </c>
      <c r="K437" s="24">
        <f t="shared" si="76"/>
        <v>6358837.761268382</v>
      </c>
      <c r="L437" s="24">
        <f t="shared" si="72"/>
        <v>6358837.761268382</v>
      </c>
      <c r="M437" s="24">
        <f t="shared" si="73"/>
        <v>0</v>
      </c>
      <c r="N437" s="24">
        <f>IF(M437&lt;=0,0,IF($E$2-A437&lt;12,(M437-E437)*Dashboard!$B$18,IF($Q$2+A437&gt;=$R$2,MAX(0,M437-E437*POWER(1+$C$2,$E$2-A437))*MAX(Dashboard!$C$18,Dashboard!$B$18),IF($S$2&lt;$R$2,(M437-E437)*0.5*Dashboard!$B$18,(E437*POWER(1+$A$2,$R$2-($Q$2+A437))-E437)*0.5*Dashboard!$B$18+MAX(0,M437-E437*POWER(1+$A$2,$R$2-($Q$2+A437))*POWER(1+$C$2,$S$2-$R$2))*MAX(Dashboard!$C$18,Dashboard!$B$18)))))</f>
        <v>0</v>
      </c>
    </row>
    <row r="438" spans="1:14" x14ac:dyDescent="0.2">
      <c r="A438" s="22">
        <f t="shared" si="74"/>
        <v>433</v>
      </c>
      <c r="B438" s="23">
        <f t="shared" si="75"/>
        <v>54.138127853881706</v>
      </c>
      <c r="C438" t="str">
        <f t="shared" si="66"/>
        <v>54 y 1.66 m</v>
      </c>
      <c r="D438" s="24">
        <f>IF(A438&gt;=$E$2,IF(A438&lt;$E$2+$H$2,$P$2,0),IF(B438&lt;Dashboard!$I$6,0,IF(A438&gt;=$F$2,Dashboard!$C$23*POWER(1+$C$2,A438-$F$2),Dashboard!$C$23)))</f>
        <v>5092.3674515238745</v>
      </c>
      <c r="E438" s="24">
        <f>IF(A438&gt;=$F$2,0,IF(A438=0,Dashboard!$G$10,IF(B438&lt;Dashboard!$I$6,IF($J$2&lt;=Dashboard!$H$10,Dashboard!$H$10,MAX(Dashboard!$H$10,MIN($J$2,Dashboard!$H$10*POWER($J$2/Dashboard!$H$10,A438/$D$2)))),$I$2-D438-Dashboard!$I$10-Dashboard!$J$10-Dashboard!$F$10*$I$2)))</f>
        <v>0</v>
      </c>
      <c r="F438" s="24">
        <f t="shared" si="67"/>
        <v>12097.455429495902</v>
      </c>
      <c r="G438" s="24">
        <f t="shared" si="68"/>
        <v>16864.767447568305</v>
      </c>
      <c r="H438" s="24">
        <f t="shared" si="69"/>
        <v>0</v>
      </c>
      <c r="I438" s="24">
        <f t="shared" si="70"/>
        <v>-16864.767447568305</v>
      </c>
      <c r="J438" s="25">
        <f t="shared" si="71"/>
        <v>7.9741404289037643E-3</v>
      </c>
      <c r="K438" s="24">
        <f t="shared" si="76"/>
        <v>6392544.7770698555</v>
      </c>
      <c r="L438" s="24">
        <f t="shared" si="72"/>
        <v>6392544.7770698555</v>
      </c>
      <c r="M438" s="24">
        <f t="shared" si="73"/>
        <v>0</v>
      </c>
      <c r="N438" s="24">
        <f>IF(M438&lt;=0,0,IF($E$2-A438&lt;12,(M438-E438)*Dashboard!$B$18,IF($Q$2+A438&gt;=$R$2,MAX(0,M438-E438*POWER(1+$C$2,$E$2-A438))*MAX(Dashboard!$C$18,Dashboard!$B$18),IF($S$2&lt;$R$2,(M438-E438)*0.5*Dashboard!$B$18,(E438*POWER(1+$A$2,$R$2-($Q$2+A438))-E438)*0.5*Dashboard!$B$18+MAX(0,M438-E438*POWER(1+$A$2,$R$2-($Q$2+A438))*POWER(1+$C$2,$S$2-$R$2))*MAX(Dashboard!$C$18,Dashboard!$B$18)))))</f>
        <v>0</v>
      </c>
    </row>
    <row r="439" spans="1:14" x14ac:dyDescent="0.2">
      <c r="A439" s="22">
        <f t="shared" si="74"/>
        <v>434</v>
      </c>
      <c r="B439" s="23">
        <f t="shared" si="75"/>
        <v>54.221461187215041</v>
      </c>
      <c r="C439" t="str">
        <f t="shared" si="66"/>
        <v>54 y 2.66 m</v>
      </c>
      <c r="D439" s="24">
        <f>IF(A439&gt;=$E$2,IF(A439&lt;$E$2+$H$2,$P$2,0),IF(B439&lt;Dashboard!$I$6,0,IF(A439&gt;=$F$2,Dashboard!$C$23*POWER(1+$C$2,A439-$F$2),Dashboard!$C$23)))</f>
        <v>5092.3674515238745</v>
      </c>
      <c r="E439" s="24">
        <f>IF(A439&gt;=$F$2,0,IF(A439=0,Dashboard!$G$10,IF(B439&lt;Dashboard!$I$6,IF($J$2&lt;=Dashboard!$H$10,Dashboard!$H$10,MAX(Dashboard!$H$10,MIN($J$2,Dashboard!$H$10*POWER($J$2/Dashboard!$H$10,A439/$D$2)))),$I$2-D439-Dashboard!$I$10-Dashboard!$J$10-Dashboard!$F$10*$I$2)))</f>
        <v>0</v>
      </c>
      <c r="F439" s="24">
        <f t="shared" si="67"/>
        <v>12111.884763786366</v>
      </c>
      <c r="G439" s="24">
        <f t="shared" si="68"/>
        <v>16891.002600823693</v>
      </c>
      <c r="H439" s="24">
        <f t="shared" si="69"/>
        <v>0</v>
      </c>
      <c r="I439" s="24">
        <f t="shared" si="70"/>
        <v>-16891.002600823693</v>
      </c>
      <c r="J439" s="25">
        <f t="shared" si="71"/>
        <v>7.9741404289037643E-3</v>
      </c>
      <c r="K439" s="24">
        <f t="shared" si="76"/>
        <v>6426494.1329927184</v>
      </c>
      <c r="L439" s="24">
        <f t="shared" si="72"/>
        <v>6426494.1329927184</v>
      </c>
      <c r="M439" s="24">
        <f t="shared" si="73"/>
        <v>0</v>
      </c>
      <c r="N439" s="24">
        <f>IF(M439&lt;=0,0,IF($E$2-A439&lt;12,(M439-E439)*Dashboard!$B$18,IF($Q$2+A439&gt;=$R$2,MAX(0,M439-E439*POWER(1+$C$2,$E$2-A439))*MAX(Dashboard!$C$18,Dashboard!$B$18),IF($S$2&lt;$R$2,(M439-E439)*0.5*Dashboard!$B$18,(E439*POWER(1+$A$2,$R$2-($Q$2+A439))-E439)*0.5*Dashboard!$B$18+MAX(0,M439-E439*POWER(1+$A$2,$R$2-($Q$2+A439))*POWER(1+$C$2,$S$2-$R$2))*MAX(Dashboard!$C$18,Dashboard!$B$18)))))</f>
        <v>0</v>
      </c>
    </row>
    <row r="440" spans="1:14" x14ac:dyDescent="0.2">
      <c r="A440" s="22">
        <f t="shared" si="74"/>
        <v>435</v>
      </c>
      <c r="B440" s="23">
        <f t="shared" si="75"/>
        <v>54.304794520548377</v>
      </c>
      <c r="C440" t="str">
        <f t="shared" si="66"/>
        <v>54 y 3.66 m</v>
      </c>
      <c r="D440" s="24">
        <f>IF(A440&gt;=$E$2,IF(A440&lt;$E$2+$H$2,$P$2,0),IF(B440&lt;Dashboard!$I$6,0,IF(A440&gt;=$F$2,Dashboard!$C$23*POWER(1+$C$2,A440-$F$2),Dashboard!$C$23)))</f>
        <v>5092.3674515238745</v>
      </c>
      <c r="E440" s="24">
        <f>IF(A440&gt;=$F$2,0,IF(A440=0,Dashboard!$G$10,IF(B440&lt;Dashboard!$I$6,IF($J$2&lt;=Dashboard!$H$10,Dashboard!$H$10,MAX(Dashboard!$H$10,MIN($J$2,Dashboard!$H$10*POWER($J$2/Dashboard!$H$10,A440/$D$2)))),$I$2-D440-Dashboard!$I$10-Dashboard!$J$10-Dashboard!$F$10*$I$2)))</f>
        <v>0</v>
      </c>
      <c r="F440" s="24">
        <f t="shared" si="67"/>
        <v>12126.343820142954</v>
      </c>
      <c r="G440" s="24">
        <f t="shared" si="68"/>
        <v>16917.291794199311</v>
      </c>
      <c r="H440" s="24">
        <f t="shared" si="69"/>
        <v>0</v>
      </c>
      <c r="I440" s="24">
        <f t="shared" si="70"/>
        <v>-16917.291794199311</v>
      </c>
      <c r="J440" s="25">
        <f t="shared" si="71"/>
        <v>7.9741404289037643E-3</v>
      </c>
      <c r="K440" s="24">
        <f t="shared" si="76"/>
        <v>6460687.7070200853</v>
      </c>
      <c r="L440" s="24">
        <f t="shared" si="72"/>
        <v>6460687.7070200853</v>
      </c>
      <c r="M440" s="24">
        <f t="shared" si="73"/>
        <v>0</v>
      </c>
      <c r="N440" s="24">
        <f>IF(M440&lt;=0,0,IF($E$2-A440&lt;12,(M440-E440)*Dashboard!$B$18,IF($Q$2+A440&gt;=$R$2,MAX(0,M440-E440*POWER(1+$C$2,$E$2-A440))*MAX(Dashboard!$C$18,Dashboard!$B$18),IF($S$2&lt;$R$2,(M440-E440)*0.5*Dashboard!$B$18,(E440*POWER(1+$A$2,$R$2-($Q$2+A440))-E440)*0.5*Dashboard!$B$18+MAX(0,M440-E440*POWER(1+$A$2,$R$2-($Q$2+A440))*POWER(1+$C$2,$S$2-$R$2))*MAX(Dashboard!$C$18,Dashboard!$B$18)))))</f>
        <v>0</v>
      </c>
    </row>
    <row r="441" spans="1:14" x14ac:dyDescent="0.2">
      <c r="A441" s="22">
        <f t="shared" si="74"/>
        <v>436</v>
      </c>
      <c r="B441" s="23">
        <f t="shared" si="75"/>
        <v>54.388127853881713</v>
      </c>
      <c r="C441" t="str">
        <f t="shared" si="66"/>
        <v>54 y 4.66 m</v>
      </c>
      <c r="D441" s="24">
        <f>IF(A441&gt;=$E$2,IF(A441&lt;$E$2+$H$2,$P$2,0),IF(B441&lt;Dashboard!$I$6,0,IF(A441&gt;=$F$2,Dashboard!$C$23*POWER(1+$C$2,A441-$F$2),Dashboard!$C$23)))</f>
        <v>5092.3674515238745</v>
      </c>
      <c r="E441" s="24">
        <f>IF(A441&gt;=$F$2,0,IF(A441=0,Dashboard!$G$10,IF(B441&lt;Dashboard!$I$6,IF($J$2&lt;=Dashboard!$H$10,Dashboard!$H$10,MAX(Dashboard!$H$10,MIN($J$2,Dashboard!$H$10*POWER($J$2/Dashboard!$H$10,A441/$D$2)))),$I$2-D441-Dashboard!$I$10-Dashboard!$J$10-Dashboard!$F$10*$I$2)))</f>
        <v>0</v>
      </c>
      <c r="F441" s="24">
        <f t="shared" si="67"/>
        <v>12140.832659788251</v>
      </c>
      <c r="G441" s="24">
        <f t="shared" si="68"/>
        <v>16943.63513900894</v>
      </c>
      <c r="H441" s="24">
        <f t="shared" si="69"/>
        <v>0</v>
      </c>
      <c r="I441" s="24">
        <f t="shared" si="70"/>
        <v>-16943.63513900894</v>
      </c>
      <c r="J441" s="25">
        <f t="shared" si="71"/>
        <v>7.9741404289037643E-3</v>
      </c>
      <c r="K441" s="24">
        <f t="shared" si="76"/>
        <v>6495127.3919981718</v>
      </c>
      <c r="L441" s="24">
        <f t="shared" si="72"/>
        <v>6495127.3919981718</v>
      </c>
      <c r="M441" s="24">
        <f t="shared" si="73"/>
        <v>0</v>
      </c>
      <c r="N441" s="24">
        <f>IF(M441&lt;=0,0,IF($E$2-A441&lt;12,(M441-E441)*Dashboard!$B$18,IF($Q$2+A441&gt;=$R$2,MAX(0,M441-E441*POWER(1+$C$2,$E$2-A441))*MAX(Dashboard!$C$18,Dashboard!$B$18),IF($S$2&lt;$R$2,(M441-E441)*0.5*Dashboard!$B$18,(E441*POWER(1+$A$2,$R$2-($Q$2+A441))-E441)*0.5*Dashboard!$B$18+MAX(0,M441-E441*POWER(1+$A$2,$R$2-($Q$2+A441))*POWER(1+$C$2,$S$2-$R$2))*MAX(Dashboard!$C$18,Dashboard!$B$18)))))</f>
        <v>0</v>
      </c>
    </row>
    <row r="442" spans="1:14" x14ac:dyDescent="0.2">
      <c r="A442" s="22">
        <f t="shared" si="74"/>
        <v>437</v>
      </c>
      <c r="B442" s="23">
        <f t="shared" si="75"/>
        <v>54.471461187215048</v>
      </c>
      <c r="C442" t="str">
        <f t="shared" si="66"/>
        <v>54 y 5.66 m</v>
      </c>
      <c r="D442" s="24">
        <f>IF(A442&gt;=$E$2,IF(A442&lt;$E$2+$H$2,$P$2,0),IF(B442&lt;Dashboard!$I$6,0,IF(A442&gt;=$F$2,Dashboard!$C$23*POWER(1+$C$2,A442-$F$2),Dashboard!$C$23)))</f>
        <v>5092.3674515238745</v>
      </c>
      <c r="E442" s="24">
        <f>IF(A442&gt;=$F$2,0,IF(A442=0,Dashboard!$G$10,IF(B442&lt;Dashboard!$I$6,IF($J$2&lt;=Dashboard!$H$10,Dashboard!$H$10,MAX(Dashboard!$H$10,MIN($J$2,Dashboard!$H$10*POWER($J$2/Dashboard!$H$10,A442/$D$2)))),$I$2-D442-Dashboard!$I$10-Dashboard!$J$10-Dashboard!$F$10*$I$2)))</f>
        <v>0</v>
      </c>
      <c r="F442" s="24">
        <f t="shared" si="67"/>
        <v>12155.351344070959</v>
      </c>
      <c r="G442" s="24">
        <f t="shared" si="68"/>
        <v>16970.032746795685</v>
      </c>
      <c r="H442" s="24">
        <f t="shared" si="69"/>
        <v>0</v>
      </c>
      <c r="I442" s="24">
        <f t="shared" si="70"/>
        <v>-16970.032746795685</v>
      </c>
      <c r="J442" s="25">
        <f t="shared" si="71"/>
        <v>7.9741404289037643E-3</v>
      </c>
      <c r="K442" s="24">
        <f t="shared" si="76"/>
        <v>6529815.0957545834</v>
      </c>
      <c r="L442" s="24">
        <f t="shared" si="72"/>
        <v>6529815.0957545834</v>
      </c>
      <c r="M442" s="24">
        <f t="shared" si="73"/>
        <v>0</v>
      </c>
      <c r="N442" s="24">
        <f>IF(M442&lt;=0,0,IF($E$2-A442&lt;12,(M442-E442)*Dashboard!$B$18,IF($Q$2+A442&gt;=$R$2,MAX(0,M442-E442*POWER(1+$C$2,$E$2-A442))*MAX(Dashboard!$C$18,Dashboard!$B$18),IF($S$2&lt;$R$2,(M442-E442)*0.5*Dashboard!$B$18,(E442*POWER(1+$A$2,$R$2-($Q$2+A442))-E442)*0.5*Dashboard!$B$18+MAX(0,M442-E442*POWER(1+$A$2,$R$2-($Q$2+A442))*POWER(1+$C$2,$S$2-$R$2))*MAX(Dashboard!$C$18,Dashboard!$B$18)))))</f>
        <v>0</v>
      </c>
    </row>
    <row r="443" spans="1:14" x14ac:dyDescent="0.2">
      <c r="A443" s="22">
        <f t="shared" si="74"/>
        <v>438</v>
      </c>
      <c r="B443" s="23">
        <f t="shared" si="75"/>
        <v>54.554794520548384</v>
      </c>
      <c r="C443" t="str">
        <f t="shared" si="66"/>
        <v>54 y 6.66 m</v>
      </c>
      <c r="D443" s="24">
        <f>IF(A443&gt;=$E$2,IF(A443&lt;$E$2+$H$2,$P$2,0),IF(B443&lt;Dashboard!$I$6,0,IF(A443&gt;=$F$2,Dashboard!$C$23*POWER(1+$C$2,A443-$F$2),Dashboard!$C$23)))</f>
        <v>5092.3674515238745</v>
      </c>
      <c r="E443" s="24">
        <f>IF(A443&gt;=$F$2,0,IF(A443=0,Dashboard!$G$10,IF(B443&lt;Dashboard!$I$6,IF($J$2&lt;=Dashboard!$H$10,Dashboard!$H$10,MAX(Dashboard!$H$10,MIN($J$2,Dashboard!$H$10*POWER($J$2/Dashboard!$H$10,A443/$D$2)))),$I$2-D443-Dashboard!$I$10-Dashboard!$J$10-Dashboard!$F$10*$I$2)))</f>
        <v>0</v>
      </c>
      <c r="F443" s="24">
        <f t="shared" si="67"/>
        <v>12169.899934466142</v>
      </c>
      <c r="G443" s="24">
        <f t="shared" si="68"/>
        <v>16996.48472933238</v>
      </c>
      <c r="H443" s="24">
        <f t="shared" si="69"/>
        <v>0</v>
      </c>
      <c r="I443" s="24">
        <f t="shared" si="70"/>
        <v>-16996.48472933238</v>
      </c>
      <c r="J443" s="25">
        <f t="shared" si="71"/>
        <v>7.9741404289037643E-3</v>
      </c>
      <c r="K443" s="24">
        <f t="shared" si="76"/>
        <v>6564752.7412175443</v>
      </c>
      <c r="L443" s="24">
        <f t="shared" si="72"/>
        <v>6564752.7412175443</v>
      </c>
      <c r="M443" s="24">
        <f t="shared" si="73"/>
        <v>0</v>
      </c>
      <c r="N443" s="24">
        <f>IF(M443&lt;=0,0,IF($E$2-A443&lt;12,(M443-E443)*Dashboard!$B$18,IF($Q$2+A443&gt;=$R$2,MAX(0,M443-E443*POWER(1+$C$2,$E$2-A443))*MAX(Dashboard!$C$18,Dashboard!$B$18),IF($S$2&lt;$R$2,(M443-E443)*0.5*Dashboard!$B$18,(E443*POWER(1+$A$2,$R$2-($Q$2+A443))-E443)*0.5*Dashboard!$B$18+MAX(0,M443-E443*POWER(1+$A$2,$R$2-($Q$2+A443))*POWER(1+$C$2,$S$2-$R$2))*MAX(Dashboard!$C$18,Dashboard!$B$18)))))</f>
        <v>0</v>
      </c>
    </row>
    <row r="444" spans="1:14" x14ac:dyDescent="0.2">
      <c r="A444" s="22">
        <f t="shared" si="74"/>
        <v>439</v>
      </c>
      <c r="B444" s="23">
        <f t="shared" si="75"/>
        <v>54.63812785388172</v>
      </c>
      <c r="C444" t="str">
        <f t="shared" si="66"/>
        <v>54 y 7.66 m</v>
      </c>
      <c r="D444" s="24">
        <f>IF(A444&gt;=$E$2,IF(A444&lt;$E$2+$H$2,$P$2,0),IF(B444&lt;Dashboard!$I$6,0,IF(A444&gt;=$F$2,Dashboard!$C$23*POWER(1+$C$2,A444-$F$2),Dashboard!$C$23)))</f>
        <v>5092.3674515238745</v>
      </c>
      <c r="E444" s="24">
        <f>IF(A444&gt;=$F$2,0,IF(A444=0,Dashboard!$G$10,IF(B444&lt;Dashboard!$I$6,IF($J$2&lt;=Dashboard!$H$10,Dashboard!$H$10,MAX(Dashboard!$H$10,MIN($J$2,Dashboard!$H$10*POWER($J$2/Dashboard!$H$10,A444/$D$2)))),$I$2-D444-Dashboard!$I$10-Dashboard!$J$10-Dashboard!$F$10*$I$2)))</f>
        <v>0</v>
      </c>
      <c r="F444" s="24">
        <f t="shared" si="67"/>
        <v>12184.478492575498</v>
      </c>
      <c r="G444" s="24">
        <f t="shared" si="68"/>
        <v>17022.99119862212</v>
      </c>
      <c r="H444" s="24">
        <f t="shared" si="69"/>
        <v>0</v>
      </c>
      <c r="I444" s="24">
        <f t="shared" si="70"/>
        <v>-17022.99119862212</v>
      </c>
      <c r="J444" s="25">
        <f t="shared" si="71"/>
        <v>7.9741404289037643E-3</v>
      </c>
      <c r="K444" s="24">
        <f t="shared" si="76"/>
        <v>6599942.266536084</v>
      </c>
      <c r="L444" s="24">
        <f t="shared" si="72"/>
        <v>6599942.266536084</v>
      </c>
      <c r="M444" s="24">
        <f t="shared" si="73"/>
        <v>0</v>
      </c>
      <c r="N444" s="24">
        <f>IF(M444&lt;=0,0,IF($E$2-A444&lt;12,(M444-E444)*Dashboard!$B$18,IF($Q$2+A444&gt;=$R$2,MAX(0,M444-E444*POWER(1+$C$2,$E$2-A444))*MAX(Dashboard!$C$18,Dashboard!$B$18),IF($S$2&lt;$R$2,(M444-E444)*0.5*Dashboard!$B$18,(E444*POWER(1+$A$2,$R$2-($Q$2+A444))-E444)*0.5*Dashboard!$B$18+MAX(0,M444-E444*POWER(1+$A$2,$R$2-($Q$2+A444))*POWER(1+$C$2,$S$2-$R$2))*MAX(Dashboard!$C$18,Dashboard!$B$18)))))</f>
        <v>0</v>
      </c>
    </row>
    <row r="445" spans="1:14" x14ac:dyDescent="0.2">
      <c r="A445" s="22">
        <f t="shared" si="74"/>
        <v>440</v>
      </c>
      <c r="B445" s="23">
        <f t="shared" si="75"/>
        <v>54.721461187215056</v>
      </c>
      <c r="C445" t="str">
        <f t="shared" si="66"/>
        <v>54 y 8.66 m</v>
      </c>
      <c r="D445" s="24">
        <f>IF(A445&gt;=$E$2,IF(A445&lt;$E$2+$H$2,$P$2,0),IF(B445&lt;Dashboard!$I$6,0,IF(A445&gt;=$F$2,Dashboard!$C$23*POWER(1+$C$2,A445-$F$2),Dashboard!$C$23)))</f>
        <v>5092.3674515238745</v>
      </c>
      <c r="E445" s="24">
        <f>IF(A445&gt;=$F$2,0,IF(A445=0,Dashboard!$G$10,IF(B445&lt;Dashboard!$I$6,IF($J$2&lt;=Dashboard!$H$10,Dashboard!$H$10,MAX(Dashboard!$H$10,MIN($J$2,Dashboard!$H$10*POWER($J$2/Dashboard!$H$10,A445/$D$2)))),$I$2-D445-Dashboard!$I$10-Dashboard!$J$10-Dashboard!$F$10*$I$2)))</f>
        <v>0</v>
      </c>
      <c r="F445" s="24">
        <f t="shared" si="67"/>
        <v>12199.087080127609</v>
      </c>
      <c r="G445" s="24">
        <f t="shared" si="68"/>
        <v>17049.552266898681</v>
      </c>
      <c r="H445" s="24">
        <f t="shared" si="69"/>
        <v>0</v>
      </c>
      <c r="I445" s="24">
        <f t="shared" si="70"/>
        <v>-17049.552266898681</v>
      </c>
      <c r="J445" s="25">
        <f t="shared" si="71"/>
        <v>7.9741404289037643E-3</v>
      </c>
      <c r="K445" s="24">
        <f t="shared" si="76"/>
        <v>6635385.625201175</v>
      </c>
      <c r="L445" s="24">
        <f t="shared" si="72"/>
        <v>6635385.625201175</v>
      </c>
      <c r="M445" s="24">
        <f t="shared" si="73"/>
        <v>0</v>
      </c>
      <c r="N445" s="24">
        <f>IF(M445&lt;=0,0,IF($E$2-A445&lt;12,(M445-E445)*Dashboard!$B$18,IF($Q$2+A445&gt;=$R$2,MAX(0,M445-E445*POWER(1+$C$2,$E$2-A445))*MAX(Dashboard!$C$18,Dashboard!$B$18),IF($S$2&lt;$R$2,(M445-E445)*0.5*Dashboard!$B$18,(E445*POWER(1+$A$2,$R$2-($Q$2+A445))-E445)*0.5*Dashboard!$B$18+MAX(0,M445-E445*POWER(1+$A$2,$R$2-($Q$2+A445))*POWER(1+$C$2,$S$2-$R$2))*MAX(Dashboard!$C$18,Dashboard!$B$18)))))</f>
        <v>0</v>
      </c>
    </row>
    <row r="446" spans="1:14" x14ac:dyDescent="0.2">
      <c r="A446" s="22">
        <f t="shared" si="74"/>
        <v>441</v>
      </c>
      <c r="B446" s="23">
        <f t="shared" si="75"/>
        <v>54.804794520548391</v>
      </c>
      <c r="C446" t="str">
        <f t="shared" si="66"/>
        <v>54 y 9.66 m</v>
      </c>
      <c r="D446" s="24">
        <f>IF(A446&gt;=$E$2,IF(A446&lt;$E$2+$H$2,$P$2,0),IF(B446&lt;Dashboard!$I$6,0,IF(A446&gt;=$F$2,Dashboard!$C$23*POWER(1+$C$2,A446-$F$2),Dashboard!$C$23)))</f>
        <v>5092.3674515238745</v>
      </c>
      <c r="E446" s="24">
        <f>IF(A446&gt;=$F$2,0,IF(A446=0,Dashboard!$G$10,IF(B446&lt;Dashboard!$I$6,IF($J$2&lt;=Dashboard!$H$10,Dashboard!$H$10,MAX(Dashboard!$H$10,MIN($J$2,Dashboard!$H$10*POWER($J$2/Dashboard!$H$10,A446/$D$2)))),$I$2-D446-Dashboard!$I$10-Dashboard!$J$10-Dashboard!$F$10*$I$2)))</f>
        <v>0</v>
      </c>
      <c r="F446" s="24">
        <f t="shared" si="67"/>
        <v>12213.725758978209</v>
      </c>
      <c r="G446" s="24">
        <f t="shared" si="68"/>
        <v>17076.168046627048</v>
      </c>
      <c r="H446" s="24">
        <f t="shared" si="69"/>
        <v>0</v>
      </c>
      <c r="I446" s="24">
        <f t="shared" si="70"/>
        <v>-17076.168046627048</v>
      </c>
      <c r="J446" s="25">
        <f t="shared" si="71"/>
        <v>7.9741404289037643E-3</v>
      </c>
      <c r="K446" s="24">
        <f t="shared" si="76"/>
        <v>6671084.7861678395</v>
      </c>
      <c r="L446" s="24">
        <f t="shared" si="72"/>
        <v>6671084.7861678395</v>
      </c>
      <c r="M446" s="24">
        <f t="shared" si="73"/>
        <v>0</v>
      </c>
      <c r="N446" s="24">
        <f>IF(M446&lt;=0,0,IF($E$2-A446&lt;12,(M446-E446)*Dashboard!$B$18,IF($Q$2+A446&gt;=$R$2,MAX(0,M446-E446*POWER(1+$C$2,$E$2-A446))*MAX(Dashboard!$C$18,Dashboard!$B$18),IF($S$2&lt;$R$2,(M446-E446)*0.5*Dashboard!$B$18,(E446*POWER(1+$A$2,$R$2-($Q$2+A446))-E446)*0.5*Dashboard!$B$18+MAX(0,M446-E446*POWER(1+$A$2,$R$2-($Q$2+A446))*POWER(1+$C$2,$S$2-$R$2))*MAX(Dashboard!$C$18,Dashboard!$B$18)))))</f>
        <v>0</v>
      </c>
    </row>
    <row r="447" spans="1:14" x14ac:dyDescent="0.2">
      <c r="A447" s="22">
        <f t="shared" si="74"/>
        <v>442</v>
      </c>
      <c r="B447" s="23">
        <f t="shared" si="75"/>
        <v>54.888127853881727</v>
      </c>
      <c r="C447" t="str">
        <f t="shared" si="66"/>
        <v>54 y 10.66 m</v>
      </c>
      <c r="D447" s="24">
        <f>IF(A447&gt;=$E$2,IF(A447&lt;$E$2+$H$2,$P$2,0),IF(B447&lt;Dashboard!$I$6,0,IF(A447&gt;=$F$2,Dashboard!$C$23*POWER(1+$C$2,A447-$F$2),Dashboard!$C$23)))</f>
        <v>5092.3674515238745</v>
      </c>
      <c r="E447" s="24">
        <f>IF(A447&gt;=$F$2,0,IF(A447=0,Dashboard!$G$10,IF(B447&lt;Dashboard!$I$6,IF($J$2&lt;=Dashboard!$H$10,Dashboard!$H$10,MAX(Dashboard!$H$10,MIN($J$2,Dashboard!$H$10*POWER($J$2/Dashboard!$H$10,A447/$D$2)))),$I$2-D447-Dashboard!$I$10-Dashboard!$J$10-Dashboard!$F$10*$I$2)))</f>
        <v>0</v>
      </c>
      <c r="F447" s="24">
        <f t="shared" si="67"/>
        <v>12228.394591110449</v>
      </c>
      <c r="G447" s="24">
        <f t="shared" si="68"/>
        <v>17102.838650503847</v>
      </c>
      <c r="H447" s="24">
        <f t="shared" si="69"/>
        <v>0</v>
      </c>
      <c r="I447" s="24">
        <f t="shared" si="70"/>
        <v>-17102.838650503847</v>
      </c>
      <c r="J447" s="25">
        <f t="shared" si="71"/>
        <v>7.9741404289037643E-3</v>
      </c>
      <c r="K447" s="24">
        <f t="shared" si="76"/>
        <v>6707041.7339782296</v>
      </c>
      <c r="L447" s="24">
        <f t="shared" si="72"/>
        <v>6707041.7339782296</v>
      </c>
      <c r="M447" s="24">
        <f t="shared" si="73"/>
        <v>0</v>
      </c>
      <c r="N447" s="24">
        <f>IF(M447&lt;=0,0,IF($E$2-A447&lt;12,(M447-E447)*Dashboard!$B$18,IF($Q$2+A447&gt;=$R$2,MAX(0,M447-E447*POWER(1+$C$2,$E$2-A447))*MAX(Dashboard!$C$18,Dashboard!$B$18),IF($S$2&lt;$R$2,(M447-E447)*0.5*Dashboard!$B$18,(E447*POWER(1+$A$2,$R$2-($Q$2+A447))-E447)*0.5*Dashboard!$B$18+MAX(0,M447-E447*POWER(1+$A$2,$R$2-($Q$2+A447))*POWER(1+$C$2,$S$2-$R$2))*MAX(Dashboard!$C$18,Dashboard!$B$18)))))</f>
        <v>0</v>
      </c>
    </row>
    <row r="448" spans="1:14" x14ac:dyDescent="0.2">
      <c r="A448" s="22">
        <f t="shared" si="74"/>
        <v>443</v>
      </c>
      <c r="B448" s="23">
        <f t="shared" si="75"/>
        <v>54.971461187215063</v>
      </c>
      <c r="C448" t="str">
        <f t="shared" si="66"/>
        <v>54 y 11.66 m</v>
      </c>
      <c r="D448" s="24">
        <f>IF(A448&gt;=$E$2,IF(A448&lt;$E$2+$H$2,$P$2,0),IF(B448&lt;Dashboard!$I$6,0,IF(A448&gt;=$F$2,Dashboard!$C$23*POWER(1+$C$2,A448-$F$2),Dashboard!$C$23)))</f>
        <v>0</v>
      </c>
      <c r="E448" s="24">
        <f>IF(A448&gt;=$F$2,0,IF(A448=0,Dashboard!$G$10,IF(B448&lt;Dashboard!$I$6,IF($J$2&lt;=Dashboard!$H$10,Dashboard!$H$10,MAX(Dashboard!$H$10,MIN($J$2,Dashboard!$H$10*POWER($J$2/Dashboard!$H$10,A448/$D$2)))),$I$2-D448-Dashboard!$I$10-Dashboard!$J$10-Dashboard!$F$10*$I$2)))</f>
        <v>0</v>
      </c>
      <c r="F448" s="24">
        <f t="shared" si="67"/>
        <v>7150.7261871112778</v>
      </c>
      <c r="G448" s="24">
        <f t="shared" si="68"/>
        <v>9118.6564577780155</v>
      </c>
      <c r="H448" s="24">
        <f t="shared" si="69"/>
        <v>0</v>
      </c>
      <c r="I448" s="24">
        <f t="shared" si="70"/>
        <v>-9118.6564577780155</v>
      </c>
      <c r="J448" s="25">
        <f t="shared" si="71"/>
        <v>7.9741404289037643E-3</v>
      </c>
      <c r="K448" s="24">
        <f t="shared" si="76"/>
        <v>6751333.2567225946</v>
      </c>
      <c r="L448" s="24">
        <f t="shared" si="72"/>
        <v>6751333.2567225946</v>
      </c>
      <c r="M448" s="24">
        <f t="shared" si="73"/>
        <v>0</v>
      </c>
      <c r="N448" s="24">
        <f>IF(M448&lt;=0,0,IF($E$2-A448&lt;12,(M448-E448)*Dashboard!$B$18,IF($Q$2+A448&gt;=$R$2,MAX(0,M448-E448*POWER(1+$C$2,$E$2-A448))*MAX(Dashboard!$C$18,Dashboard!$B$18),IF($S$2&lt;$R$2,(M448-E448)*0.5*Dashboard!$B$18,(E448*POWER(1+$A$2,$R$2-($Q$2+A448))-E448)*0.5*Dashboard!$B$18+MAX(0,M448-E448*POWER(1+$A$2,$R$2-($Q$2+A448))*POWER(1+$C$2,$S$2-$R$2))*MAX(Dashboard!$C$18,Dashboard!$B$18)))))</f>
        <v>0</v>
      </c>
    </row>
    <row r="449" spans="1:14" x14ac:dyDescent="0.2">
      <c r="A449" s="22">
        <f t="shared" si="74"/>
        <v>444</v>
      </c>
      <c r="B449" s="23">
        <f t="shared" si="75"/>
        <v>55.054794520548398</v>
      </c>
      <c r="C449" t="str">
        <f t="shared" si="66"/>
        <v>55 y 0.66 m</v>
      </c>
      <c r="D449" s="24">
        <f>IF(A449&gt;=$E$2,IF(A449&lt;$E$2+$H$2,$P$2,0),IF(B449&lt;Dashboard!$I$6,0,IF(A449&gt;=$F$2,Dashboard!$C$23*POWER(1+$C$2,A449-$F$2),Dashboard!$C$23)))</f>
        <v>0</v>
      </c>
      <c r="E449" s="24">
        <f>IF(A449&gt;=$F$2,0,IF(A449=0,Dashboard!$G$10,IF(B449&lt;Dashboard!$I$6,IF($J$2&lt;=Dashboard!$H$10,Dashboard!$H$10,MAX(Dashboard!$H$10,MIN($J$2,Dashboard!$H$10*POWER($J$2/Dashboard!$H$10,A449/$D$2)))),$I$2-D449-Dashboard!$I$10-Dashboard!$J$10-Dashboard!$F$10*$I$2)))</f>
        <v>0</v>
      </c>
      <c r="F449" s="24">
        <f t="shared" si="67"/>
        <v>7165.4555122672027</v>
      </c>
      <c r="G449" s="24">
        <f t="shared" si="68"/>
        <v>9139.6983508579087</v>
      </c>
      <c r="H449" s="24">
        <f t="shared" si="69"/>
        <v>0</v>
      </c>
      <c r="I449" s="24">
        <f t="shared" si="70"/>
        <v>-9139.6983508579087</v>
      </c>
      <c r="J449" s="25">
        <f t="shared" si="71"/>
        <v>7.9741404289037643E-3</v>
      </c>
      <c r="K449" s="24">
        <f t="shared" si="76"/>
        <v>6795956.7566050431</v>
      </c>
      <c r="L449" s="24">
        <f t="shared" si="72"/>
        <v>6795956.7566050431</v>
      </c>
      <c r="M449" s="24">
        <f t="shared" si="73"/>
        <v>0</v>
      </c>
      <c r="N449" s="24">
        <f>IF(M449&lt;=0,0,IF($E$2-A449&lt;12,(M449-E449)*Dashboard!$B$18,IF($Q$2+A449&gt;=$R$2,MAX(0,M449-E449*POWER(1+$C$2,$E$2-A449))*MAX(Dashboard!$C$18,Dashboard!$B$18),IF($S$2&lt;$R$2,(M449-E449)*0.5*Dashboard!$B$18,(E449*POWER(1+$A$2,$R$2-($Q$2+A449))-E449)*0.5*Dashboard!$B$18+MAX(0,M449-E449*POWER(1+$A$2,$R$2-($Q$2+A449))*POWER(1+$C$2,$S$2-$R$2))*MAX(Dashboard!$C$18,Dashboard!$B$18)))))</f>
        <v>0</v>
      </c>
    </row>
    <row r="450" spans="1:14" x14ac:dyDescent="0.2">
      <c r="A450" s="22">
        <f t="shared" si="74"/>
        <v>445</v>
      </c>
      <c r="B450" s="23">
        <f t="shared" si="75"/>
        <v>55.138127853881734</v>
      </c>
      <c r="C450" t="str">
        <f t="shared" si="66"/>
        <v>55 y 1.66 m</v>
      </c>
      <c r="D450" s="24">
        <f>IF(A450&gt;=$E$2,IF(A450&lt;$E$2+$H$2,$P$2,0),IF(B450&lt;Dashboard!$I$6,0,IF(A450&gt;=$F$2,Dashboard!$C$23*POWER(1+$C$2,A450-$F$2),Dashboard!$C$23)))</f>
        <v>0</v>
      </c>
      <c r="E450" s="24">
        <f>IF(A450&gt;=$F$2,0,IF(A450=0,Dashboard!$G$10,IF(B450&lt;Dashboard!$I$6,IF($J$2&lt;=Dashboard!$H$10,Dashboard!$H$10,MAX(Dashboard!$H$10,MIN($J$2,Dashboard!$H$10*POWER($J$2/Dashboard!$H$10,A450/$D$2)))),$I$2-D450-Dashboard!$I$10-Dashboard!$J$10-Dashboard!$F$10*$I$2)))</f>
        <v>0</v>
      </c>
      <c r="F450" s="24">
        <f t="shared" si="67"/>
        <v>7180.2151774213162</v>
      </c>
      <c r="G450" s="24">
        <f t="shared" si="68"/>
        <v>9160.7835867923568</v>
      </c>
      <c r="H450" s="24">
        <f t="shared" si="69"/>
        <v>0</v>
      </c>
      <c r="I450" s="24">
        <f t="shared" si="70"/>
        <v>-9160.7835867923568</v>
      </c>
      <c r="J450" s="25">
        <f t="shared" si="71"/>
        <v>7.9741404289037643E-3</v>
      </c>
      <c r="K450" s="24">
        <f t="shared" si="76"/>
        <v>6840914.8371694162</v>
      </c>
      <c r="L450" s="24">
        <f t="shared" si="72"/>
        <v>6840914.8371694162</v>
      </c>
      <c r="M450" s="24">
        <f t="shared" si="73"/>
        <v>0</v>
      </c>
      <c r="N450" s="24">
        <f>IF(M450&lt;=0,0,IF($E$2-A450&lt;12,(M450-E450)*Dashboard!$B$18,IF($Q$2+A450&gt;=$R$2,MAX(0,M450-E450*POWER(1+$C$2,$E$2-A450))*MAX(Dashboard!$C$18,Dashboard!$B$18),IF($S$2&lt;$R$2,(M450-E450)*0.5*Dashboard!$B$18,(E450*POWER(1+$A$2,$R$2-($Q$2+A450))-E450)*0.5*Dashboard!$B$18+MAX(0,M450-E450*POWER(1+$A$2,$R$2-($Q$2+A450))*POWER(1+$C$2,$S$2-$R$2))*MAX(Dashboard!$C$18,Dashboard!$B$18)))))</f>
        <v>0</v>
      </c>
    </row>
    <row r="451" spans="1:14" x14ac:dyDescent="0.2">
      <c r="A451" s="22">
        <f t="shared" si="74"/>
        <v>446</v>
      </c>
      <c r="B451" s="23">
        <f t="shared" si="75"/>
        <v>55.22146118721507</v>
      </c>
      <c r="C451" t="str">
        <f t="shared" si="66"/>
        <v>55 y 2.66 m</v>
      </c>
      <c r="D451" s="24">
        <f>IF(A451&gt;=$E$2,IF(A451&lt;$E$2+$H$2,$P$2,0),IF(B451&lt;Dashboard!$I$6,0,IF(A451&gt;=$F$2,Dashboard!$C$23*POWER(1+$C$2,A451-$F$2),Dashboard!$C$23)))</f>
        <v>0</v>
      </c>
      <c r="E451" s="24">
        <f>IF(A451&gt;=$F$2,0,IF(A451=0,Dashboard!$G$10,IF(B451&lt;Dashboard!$I$6,IF($J$2&lt;=Dashboard!$H$10,Dashboard!$H$10,MAX(Dashboard!$H$10,MIN($J$2,Dashboard!$H$10*POWER($J$2/Dashboard!$H$10,A451/$D$2)))),$I$2-D451-Dashboard!$I$10-Dashboard!$J$10-Dashboard!$F$10*$I$2)))</f>
        <v>0</v>
      </c>
      <c r="F451" s="24">
        <f t="shared" si="67"/>
        <v>7195.0052450690455</v>
      </c>
      <c r="G451" s="24">
        <f t="shared" si="68"/>
        <v>9181.9122548605428</v>
      </c>
      <c r="H451" s="24">
        <f t="shared" si="69"/>
        <v>0</v>
      </c>
      <c r="I451" s="24">
        <f t="shared" si="70"/>
        <v>-9181.9122548605428</v>
      </c>
      <c r="J451" s="25">
        <f t="shared" si="71"/>
        <v>7.9741404289037643E-3</v>
      </c>
      <c r="K451" s="24">
        <f t="shared" si="76"/>
        <v>6886210.1226305896</v>
      </c>
      <c r="L451" s="24">
        <f t="shared" si="72"/>
        <v>6886210.1226305896</v>
      </c>
      <c r="M451" s="24">
        <f t="shared" si="73"/>
        <v>0</v>
      </c>
      <c r="N451" s="24">
        <f>IF(M451&lt;=0,0,IF($E$2-A451&lt;12,(M451-E451)*Dashboard!$B$18,IF($Q$2+A451&gt;=$R$2,MAX(0,M451-E451*POWER(1+$C$2,$E$2-A451))*MAX(Dashboard!$C$18,Dashboard!$B$18),IF($S$2&lt;$R$2,(M451-E451)*0.5*Dashboard!$B$18,(E451*POWER(1+$A$2,$R$2-($Q$2+A451))-E451)*0.5*Dashboard!$B$18+MAX(0,M451-E451*POWER(1+$A$2,$R$2-($Q$2+A451))*POWER(1+$C$2,$S$2-$R$2))*MAX(Dashboard!$C$18,Dashboard!$B$18)))))</f>
        <v>0</v>
      </c>
    </row>
    <row r="452" spans="1:14" x14ac:dyDescent="0.2">
      <c r="A452" s="22">
        <f t="shared" si="74"/>
        <v>447</v>
      </c>
      <c r="B452" s="23">
        <f t="shared" si="75"/>
        <v>55.304794520548406</v>
      </c>
      <c r="C452" t="str">
        <f t="shared" si="66"/>
        <v>55 y 3.66 m</v>
      </c>
      <c r="D452" s="24">
        <f>IF(A452&gt;=$E$2,IF(A452&lt;$E$2+$H$2,$P$2,0),IF(B452&lt;Dashboard!$I$6,0,IF(A452&gt;=$F$2,Dashboard!$C$23*POWER(1+$C$2,A452-$F$2),Dashboard!$C$23)))</f>
        <v>0</v>
      </c>
      <c r="E452" s="24">
        <f>IF(A452&gt;=$F$2,0,IF(A452=0,Dashboard!$G$10,IF(B452&lt;Dashboard!$I$6,IF($J$2&lt;=Dashboard!$H$10,Dashboard!$H$10,MAX(Dashboard!$H$10,MIN($J$2,Dashboard!$H$10*POWER($J$2/Dashboard!$H$10,A452/$D$2)))),$I$2-D452-Dashboard!$I$10-Dashboard!$J$10-Dashboard!$F$10*$I$2)))</f>
        <v>0</v>
      </c>
      <c r="F452" s="24">
        <f t="shared" si="67"/>
        <v>7209.825777834546</v>
      </c>
      <c r="G452" s="24">
        <f t="shared" si="68"/>
        <v>9203.0844445255425</v>
      </c>
      <c r="H452" s="24">
        <f t="shared" si="69"/>
        <v>0</v>
      </c>
      <c r="I452" s="24">
        <f t="shared" si="70"/>
        <v>-9203.0844445255425</v>
      </c>
      <c r="J452" s="25">
        <f t="shared" si="71"/>
        <v>7.9741404289037643E-3</v>
      </c>
      <c r="K452" s="24">
        <f t="shared" si="76"/>
        <v>6931845.2580391197</v>
      </c>
      <c r="L452" s="24">
        <f t="shared" si="72"/>
        <v>6931845.2580391197</v>
      </c>
      <c r="M452" s="24">
        <f t="shared" si="73"/>
        <v>0</v>
      </c>
      <c r="N452" s="24">
        <f>IF(M452&lt;=0,0,IF($E$2-A452&lt;12,(M452-E452)*Dashboard!$B$18,IF($Q$2+A452&gt;=$R$2,MAX(0,M452-E452*POWER(1+$C$2,$E$2-A452))*MAX(Dashboard!$C$18,Dashboard!$B$18),IF($S$2&lt;$R$2,(M452-E452)*0.5*Dashboard!$B$18,(E452*POWER(1+$A$2,$R$2-($Q$2+A452))-E452)*0.5*Dashboard!$B$18+MAX(0,M452-E452*POWER(1+$A$2,$R$2-($Q$2+A452))*POWER(1+$C$2,$S$2-$R$2))*MAX(Dashboard!$C$18,Dashboard!$B$18)))))</f>
        <v>0</v>
      </c>
    </row>
    <row r="453" spans="1:14" x14ac:dyDescent="0.2">
      <c r="A453" s="22">
        <f t="shared" si="74"/>
        <v>448</v>
      </c>
      <c r="B453" s="23">
        <f t="shared" si="75"/>
        <v>55.388127853881741</v>
      </c>
      <c r="C453" t="str">
        <f t="shared" ref="C453:C516" si="77">INT(B453)&amp;" y "&amp;ROUND((B453-INT(B453))*12,2)&amp;" m"</f>
        <v>55 y 4.66 m</v>
      </c>
      <c r="D453" s="24">
        <f>IF(A453&gt;=$E$2,IF(A453&lt;$E$2+$H$2,$P$2,0),IF(B453&lt;Dashboard!$I$6,0,IF(A453&gt;=$F$2,Dashboard!$C$23*POWER(1+$C$2,A453-$F$2),Dashboard!$C$23)))</f>
        <v>0</v>
      </c>
      <c r="E453" s="24">
        <f>IF(A453&gt;=$F$2,0,IF(A453=0,Dashboard!$G$10,IF(B453&lt;Dashboard!$I$6,IF($J$2&lt;=Dashboard!$H$10,Dashboard!$H$10,MAX(Dashboard!$H$10,MIN($J$2,Dashboard!$H$10*POWER($J$2/Dashboard!$H$10,A453/$D$2)))),$I$2-D453-Dashboard!$I$10-Dashboard!$J$10-Dashboard!$F$10*$I$2)))</f>
        <v>0</v>
      </c>
      <c r="F453" s="24">
        <f t="shared" ref="F453:F516" si="78">IF(A453&gt;=$F$2,$X$2*POWER(1+$C$2,A453-$F$2)+D453,0)</f>
        <v>7224.6768384709767</v>
      </c>
      <c r="G453" s="24">
        <f t="shared" ref="G453:G516" si="79">IF(F453&lt;=0,0,IF(F453*12&lt;=18200,F453,IF(F453*12&lt;=40712,(18200+(F453*12-18200)/0.84)/12,IF(F453*12&lt;=103712,(45000+(F453*12-40712)/0.7)/12,IF(F453*12&lt;=138362,(135000+(F453*12-103712)/0.63)/12,(190000+(F453*12-138362)/0.55)/12)))))</f>
        <v>9224.3002454347297</v>
      </c>
      <c r="H453" s="24">
        <f t="shared" ref="H453:H516" si="80">IF(A453=$E$2,$W$2,0)</f>
        <v>0</v>
      </c>
      <c r="I453" s="24">
        <f t="shared" ref="I453:I516" si="81">E453-G453-H453</f>
        <v>-9224.3002454347297</v>
      </c>
      <c r="J453" s="25">
        <f t="shared" ref="J453:J516" si="82">IF(A453&gt;=$F$2,$B$2,$A$2)</f>
        <v>7.9741404289037643E-3</v>
      </c>
      <c r="K453" s="24">
        <f t="shared" si="76"/>
        <v>6977822.9094472034</v>
      </c>
      <c r="L453" s="24">
        <f t="shared" ref="L453:L516" si="83">IF(A453&gt;=$F$2,K453,"")</f>
        <v>6977822.9094472034</v>
      </c>
      <c r="M453" s="24">
        <f t="shared" ref="M453:M516" si="84">IF(AND(A453&lt;$E$2,E453&gt;0),E453*POWER(1+$A$2,$E$2-A453),0)</f>
        <v>0</v>
      </c>
      <c r="N453" s="24">
        <f>IF(M453&lt;=0,0,IF($E$2-A453&lt;12,(M453-E453)*Dashboard!$B$18,IF($Q$2+A453&gt;=$R$2,MAX(0,M453-E453*POWER(1+$C$2,$E$2-A453))*MAX(Dashboard!$C$18,Dashboard!$B$18),IF($S$2&lt;$R$2,(M453-E453)*0.5*Dashboard!$B$18,(E453*POWER(1+$A$2,$R$2-($Q$2+A453))-E453)*0.5*Dashboard!$B$18+MAX(0,M453-E453*POWER(1+$A$2,$R$2-($Q$2+A453))*POWER(1+$C$2,$S$2-$R$2))*MAX(Dashboard!$C$18,Dashboard!$B$18)))))</f>
        <v>0</v>
      </c>
    </row>
    <row r="454" spans="1:14" x14ac:dyDescent="0.2">
      <c r="A454" s="22">
        <f t="shared" ref="A454:A517" si="85">A453+1</f>
        <v>449</v>
      </c>
      <c r="B454" s="23">
        <f t="shared" ref="B454:B517" si="86">B453+1/12</f>
        <v>55.471461187215077</v>
      </c>
      <c r="C454" t="str">
        <f t="shared" si="77"/>
        <v>55 y 5.66 m</v>
      </c>
      <c r="D454" s="24">
        <f>IF(A454&gt;=$E$2,IF(A454&lt;$E$2+$H$2,$P$2,0),IF(B454&lt;Dashboard!$I$6,0,IF(A454&gt;=$F$2,Dashboard!$C$23*POWER(1+$C$2,A454-$F$2),Dashboard!$C$23)))</f>
        <v>0</v>
      </c>
      <c r="E454" s="24">
        <f>IF(A454&gt;=$F$2,0,IF(A454=0,Dashboard!$G$10,IF(B454&lt;Dashboard!$I$6,IF($J$2&lt;=Dashboard!$H$10,Dashboard!$H$10,MAX(Dashboard!$H$10,MIN($J$2,Dashboard!$H$10*POWER($J$2/Dashboard!$H$10,A454/$D$2)))),$I$2-D454-Dashboard!$I$10-Dashboard!$J$10-Dashboard!$F$10*$I$2)))</f>
        <v>0</v>
      </c>
      <c r="F454" s="24">
        <f t="shared" si="78"/>
        <v>7239.5584898607522</v>
      </c>
      <c r="G454" s="24">
        <f t="shared" si="79"/>
        <v>9245.5597474201222</v>
      </c>
      <c r="H454" s="24">
        <f t="shared" si="80"/>
        <v>0</v>
      </c>
      <c r="I454" s="24">
        <f t="shared" si="81"/>
        <v>-9245.5597474201222</v>
      </c>
      <c r="J454" s="25">
        <f t="shared" si="82"/>
        <v>7.9741404289037643E-3</v>
      </c>
      <c r="K454" s="24">
        <f t="shared" ref="K454:K517" si="87">(K453+I454)*(1+J454)</f>
        <v>7024145.7640759675</v>
      </c>
      <c r="L454" s="24">
        <f t="shared" si="83"/>
        <v>7024145.7640759675</v>
      </c>
      <c r="M454" s="24">
        <f t="shared" si="84"/>
        <v>0</v>
      </c>
      <c r="N454" s="24">
        <f>IF(M454&lt;=0,0,IF($E$2-A454&lt;12,(M454-E454)*Dashboard!$B$18,IF($Q$2+A454&gt;=$R$2,MAX(0,M454-E454*POWER(1+$C$2,$E$2-A454))*MAX(Dashboard!$C$18,Dashboard!$B$18),IF($S$2&lt;$R$2,(M454-E454)*0.5*Dashboard!$B$18,(E454*POWER(1+$A$2,$R$2-($Q$2+A454))-E454)*0.5*Dashboard!$B$18+MAX(0,M454-E454*POWER(1+$A$2,$R$2-($Q$2+A454))*POWER(1+$C$2,$S$2-$R$2))*MAX(Dashboard!$C$18,Dashboard!$B$18)))))</f>
        <v>0</v>
      </c>
    </row>
    <row r="455" spans="1:14" x14ac:dyDescent="0.2">
      <c r="A455" s="22">
        <f t="shared" si="85"/>
        <v>450</v>
      </c>
      <c r="B455" s="23">
        <f t="shared" si="86"/>
        <v>55.554794520548413</v>
      </c>
      <c r="C455" t="str">
        <f t="shared" si="77"/>
        <v>55 y 6.66 m</v>
      </c>
      <c r="D455" s="24">
        <f>IF(A455&gt;=$E$2,IF(A455&lt;$E$2+$H$2,$P$2,0),IF(B455&lt;Dashboard!$I$6,0,IF(A455&gt;=$F$2,Dashboard!$C$23*POWER(1+$C$2,A455-$F$2),Dashboard!$C$23)))</f>
        <v>0</v>
      </c>
      <c r="E455" s="24">
        <f>IF(A455&gt;=$F$2,0,IF(A455=0,Dashboard!$G$10,IF(B455&lt;Dashboard!$I$6,IF($J$2&lt;=Dashboard!$H$10,Dashboard!$H$10,MAX(Dashboard!$H$10,MIN($J$2,Dashboard!$H$10*POWER($J$2/Dashboard!$H$10,A455/$D$2)))),$I$2-D455-Dashboard!$I$10-Dashboard!$J$10-Dashboard!$F$10*$I$2)))</f>
        <v>0</v>
      </c>
      <c r="F455" s="24">
        <f t="shared" si="78"/>
        <v>7254.4707950158154</v>
      </c>
      <c r="G455" s="24">
        <f t="shared" si="79"/>
        <v>9266.8630404987834</v>
      </c>
      <c r="H455" s="24">
        <f t="shared" si="80"/>
        <v>0</v>
      </c>
      <c r="I455" s="24">
        <f t="shared" si="81"/>
        <v>-9266.8630404987834</v>
      </c>
      <c r="J455" s="25">
        <f t="shared" si="82"/>
        <v>7.9741404289037643E-3</v>
      </c>
      <c r="K455" s="24">
        <f t="shared" si="87"/>
        <v>7070816.5304840803</v>
      </c>
      <c r="L455" s="24">
        <f t="shared" si="83"/>
        <v>7070816.5304840803</v>
      </c>
      <c r="M455" s="24">
        <f t="shared" si="84"/>
        <v>0</v>
      </c>
      <c r="N455" s="24">
        <f>IF(M455&lt;=0,0,IF($E$2-A455&lt;12,(M455-E455)*Dashboard!$B$18,IF($Q$2+A455&gt;=$R$2,MAX(0,M455-E455*POWER(1+$C$2,$E$2-A455))*MAX(Dashboard!$C$18,Dashboard!$B$18),IF($S$2&lt;$R$2,(M455-E455)*0.5*Dashboard!$B$18,(E455*POWER(1+$A$2,$R$2-($Q$2+A455))-E455)*0.5*Dashboard!$B$18+MAX(0,M455-E455*POWER(1+$A$2,$R$2-($Q$2+A455))*POWER(1+$C$2,$S$2-$R$2))*MAX(Dashboard!$C$18,Dashboard!$B$18)))))</f>
        <v>0</v>
      </c>
    </row>
    <row r="456" spans="1:14" x14ac:dyDescent="0.2">
      <c r="A456" s="22">
        <f t="shared" si="85"/>
        <v>451</v>
      </c>
      <c r="B456" s="23">
        <f t="shared" si="86"/>
        <v>55.638127853881748</v>
      </c>
      <c r="C456" t="str">
        <f t="shared" si="77"/>
        <v>55 y 7.66 m</v>
      </c>
      <c r="D456" s="24">
        <f>IF(A456&gt;=$E$2,IF(A456&lt;$E$2+$H$2,$P$2,0),IF(B456&lt;Dashboard!$I$6,0,IF(A456&gt;=$F$2,Dashboard!$C$23*POWER(1+$C$2,A456-$F$2),Dashboard!$C$23)))</f>
        <v>0</v>
      </c>
      <c r="E456" s="24">
        <f>IF(A456&gt;=$F$2,0,IF(A456=0,Dashboard!$G$10,IF(B456&lt;Dashboard!$I$6,IF($J$2&lt;=Dashboard!$H$10,Dashboard!$H$10,MAX(Dashboard!$H$10,MIN($J$2,Dashboard!$H$10*POWER($J$2/Dashboard!$H$10,A456/$D$2)))),$I$2-D456-Dashboard!$I$10-Dashboard!$J$10-Dashboard!$F$10*$I$2)))</f>
        <v>0</v>
      </c>
      <c r="F456" s="24">
        <f t="shared" si="78"/>
        <v>7269.4138170779033</v>
      </c>
      <c r="G456" s="24">
        <f t="shared" si="79"/>
        <v>9288.2102148731956</v>
      </c>
      <c r="H456" s="24">
        <f t="shared" si="80"/>
        <v>0</v>
      </c>
      <c r="I456" s="24">
        <f t="shared" si="81"/>
        <v>-9288.2102148731956</v>
      </c>
      <c r="J456" s="25">
        <f t="shared" si="82"/>
        <v>7.9741404289037643E-3</v>
      </c>
      <c r="K456" s="24">
        <f t="shared" si="87"/>
        <v>7117837.9387377147</v>
      </c>
      <c r="L456" s="24">
        <f t="shared" si="83"/>
        <v>7117837.9387377147</v>
      </c>
      <c r="M456" s="24">
        <f t="shared" si="84"/>
        <v>0</v>
      </c>
      <c r="N456" s="24">
        <f>IF(M456&lt;=0,0,IF($E$2-A456&lt;12,(M456-E456)*Dashboard!$B$18,IF($Q$2+A456&gt;=$R$2,MAX(0,M456-E456*POWER(1+$C$2,$E$2-A456))*MAX(Dashboard!$C$18,Dashboard!$B$18),IF($S$2&lt;$R$2,(M456-E456)*0.5*Dashboard!$B$18,(E456*POWER(1+$A$2,$R$2-($Q$2+A456))-E456)*0.5*Dashboard!$B$18+MAX(0,M456-E456*POWER(1+$A$2,$R$2-($Q$2+A456))*POWER(1+$C$2,$S$2-$R$2))*MAX(Dashboard!$C$18,Dashboard!$B$18)))))</f>
        <v>0</v>
      </c>
    </row>
    <row r="457" spans="1:14" x14ac:dyDescent="0.2">
      <c r="A457" s="22">
        <f t="shared" si="85"/>
        <v>452</v>
      </c>
      <c r="B457" s="23">
        <f t="shared" si="86"/>
        <v>55.721461187215084</v>
      </c>
      <c r="C457" t="str">
        <f t="shared" si="77"/>
        <v>55 y 8.66 m</v>
      </c>
      <c r="D457" s="24">
        <f>IF(A457&gt;=$E$2,IF(A457&lt;$E$2+$H$2,$P$2,0),IF(B457&lt;Dashboard!$I$6,0,IF(A457&gt;=$F$2,Dashboard!$C$23*POWER(1+$C$2,A457-$F$2),Dashboard!$C$23)))</f>
        <v>0</v>
      </c>
      <c r="E457" s="24">
        <f>IF(A457&gt;=$F$2,0,IF(A457=0,Dashboard!$G$10,IF(B457&lt;Dashboard!$I$6,IF($J$2&lt;=Dashboard!$H$10,Dashboard!$H$10,MAX(Dashboard!$H$10,MIN($J$2,Dashboard!$H$10*POWER($J$2/Dashboard!$H$10,A457/$D$2)))),$I$2-D457-Dashboard!$I$10-Dashboard!$J$10-Dashboard!$F$10*$I$2)))</f>
        <v>0</v>
      </c>
      <c r="F457" s="24">
        <f t="shared" si="78"/>
        <v>7284.3876193188162</v>
      </c>
      <c r="G457" s="24">
        <f t="shared" si="79"/>
        <v>9309.6013609316433</v>
      </c>
      <c r="H457" s="24">
        <f t="shared" si="80"/>
        <v>0</v>
      </c>
      <c r="I457" s="24">
        <f t="shared" si="81"/>
        <v>-9309.6013609316433</v>
      </c>
      <c r="J457" s="25">
        <f t="shared" si="82"/>
        <v>7.9741404289037643E-3</v>
      </c>
      <c r="K457" s="24">
        <f t="shared" si="87"/>
        <v>7165212.7405818673</v>
      </c>
      <c r="L457" s="24">
        <f t="shared" si="83"/>
        <v>7165212.7405818673</v>
      </c>
      <c r="M457" s="24">
        <f t="shared" si="84"/>
        <v>0</v>
      </c>
      <c r="N457" s="24">
        <f>IF(M457&lt;=0,0,IF($E$2-A457&lt;12,(M457-E457)*Dashboard!$B$18,IF($Q$2+A457&gt;=$R$2,MAX(0,M457-E457*POWER(1+$C$2,$E$2-A457))*MAX(Dashboard!$C$18,Dashboard!$B$18),IF($S$2&lt;$R$2,(M457-E457)*0.5*Dashboard!$B$18,(E457*POWER(1+$A$2,$R$2-($Q$2+A457))-E457)*0.5*Dashboard!$B$18+MAX(0,M457-E457*POWER(1+$A$2,$R$2-($Q$2+A457))*POWER(1+$C$2,$S$2-$R$2))*MAX(Dashboard!$C$18,Dashboard!$B$18)))))</f>
        <v>0</v>
      </c>
    </row>
    <row r="458" spans="1:14" x14ac:dyDescent="0.2">
      <c r="A458" s="22">
        <f t="shared" si="85"/>
        <v>453</v>
      </c>
      <c r="B458" s="23">
        <f t="shared" si="86"/>
        <v>55.80479452054842</v>
      </c>
      <c r="C458" t="str">
        <f t="shared" si="77"/>
        <v>55 y 9.66 m</v>
      </c>
      <c r="D458" s="24">
        <f>IF(A458&gt;=$E$2,IF(A458&lt;$E$2+$H$2,$P$2,0),IF(B458&lt;Dashboard!$I$6,0,IF(A458&gt;=$F$2,Dashboard!$C$23*POWER(1+$C$2,A458-$F$2),Dashboard!$C$23)))</f>
        <v>0</v>
      </c>
      <c r="E458" s="24">
        <f>IF(A458&gt;=$F$2,0,IF(A458=0,Dashboard!$G$10,IF(B458&lt;Dashboard!$I$6,IF($J$2&lt;=Dashboard!$H$10,Dashboard!$H$10,MAX(Dashboard!$H$10,MIN($J$2,Dashboard!$H$10*POWER($J$2/Dashboard!$H$10,A458/$D$2)))),$I$2-D458-Dashboard!$I$10-Dashboard!$J$10-Dashboard!$F$10*$I$2)))</f>
        <v>0</v>
      </c>
      <c r="F458" s="24">
        <f t="shared" si="78"/>
        <v>7299.392265140682</v>
      </c>
      <c r="G458" s="24">
        <f t="shared" si="79"/>
        <v>9331.0365692485921</v>
      </c>
      <c r="H458" s="24">
        <f t="shared" si="80"/>
        <v>0</v>
      </c>
      <c r="I458" s="24">
        <f t="shared" si="81"/>
        <v>-9331.0365692485921</v>
      </c>
      <c r="J458" s="25">
        <f t="shared" si="82"/>
        <v>7.9741404289037643E-3</v>
      </c>
      <c r="K458" s="24">
        <f t="shared" si="87"/>
        <v>7212943.7096130382</v>
      </c>
      <c r="L458" s="24">
        <f t="shared" si="83"/>
        <v>7212943.7096130382</v>
      </c>
      <c r="M458" s="24">
        <f t="shared" si="84"/>
        <v>0</v>
      </c>
      <c r="N458" s="24">
        <f>IF(M458&lt;=0,0,IF($E$2-A458&lt;12,(M458-E458)*Dashboard!$B$18,IF($Q$2+A458&gt;=$R$2,MAX(0,M458-E458*POWER(1+$C$2,$E$2-A458))*MAX(Dashboard!$C$18,Dashboard!$B$18),IF($S$2&lt;$R$2,(M458-E458)*0.5*Dashboard!$B$18,(E458*POWER(1+$A$2,$R$2-($Q$2+A458))-E458)*0.5*Dashboard!$B$18+MAX(0,M458-E458*POWER(1+$A$2,$R$2-($Q$2+A458))*POWER(1+$C$2,$S$2-$R$2))*MAX(Dashboard!$C$18,Dashboard!$B$18)))))</f>
        <v>0</v>
      </c>
    </row>
    <row r="459" spans="1:14" x14ac:dyDescent="0.2">
      <c r="A459" s="22">
        <f t="shared" si="85"/>
        <v>454</v>
      </c>
      <c r="B459" s="23">
        <f t="shared" si="86"/>
        <v>55.888127853881755</v>
      </c>
      <c r="C459" t="str">
        <f t="shared" si="77"/>
        <v>55 y 10.66 m</v>
      </c>
      <c r="D459" s="24">
        <f>IF(A459&gt;=$E$2,IF(A459&lt;$E$2+$H$2,$P$2,0),IF(B459&lt;Dashboard!$I$6,0,IF(A459&gt;=$F$2,Dashboard!$C$23*POWER(1+$C$2,A459-$F$2),Dashboard!$C$23)))</f>
        <v>0</v>
      </c>
      <c r="E459" s="24">
        <f>IF(A459&gt;=$F$2,0,IF(A459=0,Dashboard!$G$10,IF(B459&lt;Dashboard!$I$6,IF($J$2&lt;=Dashboard!$H$10,Dashboard!$H$10,MAX(Dashboard!$H$10,MIN($J$2,Dashboard!$H$10*POWER($J$2/Dashboard!$H$10,A459/$D$2)))),$I$2-D459-Dashboard!$I$10-Dashboard!$J$10-Dashboard!$F$10*$I$2)))</f>
        <v>0</v>
      </c>
      <c r="F459" s="24">
        <f t="shared" si="78"/>
        <v>7314.4278180762294</v>
      </c>
      <c r="G459" s="24">
        <f t="shared" si="79"/>
        <v>9352.5159305850884</v>
      </c>
      <c r="H459" s="24">
        <f t="shared" si="80"/>
        <v>0</v>
      </c>
      <c r="I459" s="24">
        <f t="shared" si="81"/>
        <v>-9352.5159305850884</v>
      </c>
      <c r="J459" s="25">
        <f t="shared" si="82"/>
        <v>7.9741404289037643E-3</v>
      </c>
      <c r="K459" s="24">
        <f t="shared" si="87"/>
        <v>7261033.6414532922</v>
      </c>
      <c r="L459" s="24">
        <f t="shared" si="83"/>
        <v>7261033.6414532922</v>
      </c>
      <c r="M459" s="24">
        <f t="shared" si="84"/>
        <v>0</v>
      </c>
      <c r="N459" s="24">
        <f>IF(M459&lt;=0,0,IF($E$2-A459&lt;12,(M459-E459)*Dashboard!$B$18,IF($Q$2+A459&gt;=$R$2,MAX(0,M459-E459*POWER(1+$C$2,$E$2-A459))*MAX(Dashboard!$C$18,Dashboard!$B$18),IF($S$2&lt;$R$2,(M459-E459)*0.5*Dashboard!$B$18,(E459*POWER(1+$A$2,$R$2-($Q$2+A459))-E459)*0.5*Dashboard!$B$18+MAX(0,M459-E459*POWER(1+$A$2,$R$2-($Q$2+A459))*POWER(1+$C$2,$S$2-$R$2))*MAX(Dashboard!$C$18,Dashboard!$B$18)))))</f>
        <v>0</v>
      </c>
    </row>
    <row r="460" spans="1:14" x14ac:dyDescent="0.2">
      <c r="A460" s="22">
        <f t="shared" si="85"/>
        <v>455</v>
      </c>
      <c r="B460" s="23">
        <f t="shared" si="86"/>
        <v>55.971461187215091</v>
      </c>
      <c r="C460" t="str">
        <f t="shared" si="77"/>
        <v>55 y 11.66 m</v>
      </c>
      <c r="D460" s="24">
        <f>IF(A460&gt;=$E$2,IF(A460&lt;$E$2+$H$2,$P$2,0),IF(B460&lt;Dashboard!$I$6,0,IF(A460&gt;=$F$2,Dashboard!$C$23*POWER(1+$C$2,A460-$F$2),Dashboard!$C$23)))</f>
        <v>0</v>
      </c>
      <c r="E460" s="24">
        <f>IF(A460&gt;=$F$2,0,IF(A460=0,Dashboard!$G$10,IF(B460&lt;Dashboard!$I$6,IF($J$2&lt;=Dashboard!$H$10,Dashboard!$H$10,MAX(Dashboard!$H$10,MIN($J$2,Dashboard!$H$10*POWER($J$2/Dashboard!$H$10,A460/$D$2)))),$I$2-D460-Dashboard!$I$10-Dashboard!$J$10-Dashboard!$F$10*$I$2)))</f>
        <v>0</v>
      </c>
      <c r="F460" s="24">
        <f t="shared" si="78"/>
        <v>7329.494341789049</v>
      </c>
      <c r="G460" s="24">
        <f t="shared" si="79"/>
        <v>9374.0395358891165</v>
      </c>
      <c r="H460" s="24">
        <f t="shared" si="80"/>
        <v>0</v>
      </c>
      <c r="I460" s="24">
        <f t="shared" si="81"/>
        <v>-9374.0395358891165</v>
      </c>
      <c r="J460" s="25">
        <f t="shared" si="82"/>
        <v>7.9741404289037643E-3</v>
      </c>
      <c r="K460" s="24">
        <f t="shared" si="87"/>
        <v>7309485.3539257003</v>
      </c>
      <c r="L460" s="24">
        <f t="shared" si="83"/>
        <v>7309485.3539257003</v>
      </c>
      <c r="M460" s="24">
        <f t="shared" si="84"/>
        <v>0</v>
      </c>
      <c r="N460" s="24">
        <f>IF(M460&lt;=0,0,IF($E$2-A460&lt;12,(M460-E460)*Dashboard!$B$18,IF($Q$2+A460&gt;=$R$2,MAX(0,M460-E460*POWER(1+$C$2,$E$2-A460))*MAX(Dashboard!$C$18,Dashboard!$B$18),IF($S$2&lt;$R$2,(M460-E460)*0.5*Dashboard!$B$18,(E460*POWER(1+$A$2,$R$2-($Q$2+A460))-E460)*0.5*Dashboard!$B$18+MAX(0,M460-E460*POWER(1+$A$2,$R$2-($Q$2+A460))*POWER(1+$C$2,$S$2-$R$2))*MAX(Dashboard!$C$18,Dashboard!$B$18)))))</f>
        <v>0</v>
      </c>
    </row>
    <row r="461" spans="1:14" x14ac:dyDescent="0.2">
      <c r="A461" s="22">
        <f t="shared" si="85"/>
        <v>456</v>
      </c>
      <c r="B461" s="23">
        <f t="shared" si="86"/>
        <v>56.054794520548427</v>
      </c>
      <c r="C461" t="str">
        <f t="shared" si="77"/>
        <v>56 y 0.66 m</v>
      </c>
      <c r="D461" s="24">
        <f>IF(A461&gt;=$E$2,IF(A461&lt;$E$2+$H$2,$P$2,0),IF(B461&lt;Dashboard!$I$6,0,IF(A461&gt;=$F$2,Dashboard!$C$23*POWER(1+$C$2,A461-$F$2),Dashboard!$C$23)))</f>
        <v>0</v>
      </c>
      <c r="E461" s="24">
        <f>IF(A461&gt;=$F$2,0,IF(A461=0,Dashboard!$G$10,IF(B461&lt;Dashboard!$I$6,IF($J$2&lt;=Dashboard!$H$10,Dashboard!$H$10,MAX(Dashboard!$H$10,MIN($J$2,Dashboard!$H$10*POWER($J$2/Dashboard!$H$10,A461/$D$2)))),$I$2-D461-Dashboard!$I$10-Dashboard!$J$10-Dashboard!$F$10*$I$2)))</f>
        <v>0</v>
      </c>
      <c r="F461" s="24">
        <f t="shared" si="78"/>
        <v>7344.5919000738731</v>
      </c>
      <c r="G461" s="24">
        <f t="shared" si="79"/>
        <v>9395.6074762960106</v>
      </c>
      <c r="H461" s="24">
        <f t="shared" si="80"/>
        <v>0</v>
      </c>
      <c r="I461" s="24">
        <f t="shared" si="81"/>
        <v>-9395.6074762960106</v>
      </c>
      <c r="J461" s="25">
        <f t="shared" si="82"/>
        <v>7.9741404289037643E-3</v>
      </c>
      <c r="K461" s="24">
        <f t="shared" si="87"/>
        <v>7358301.6872311924</v>
      </c>
      <c r="L461" s="24">
        <f t="shared" si="83"/>
        <v>7358301.6872311924</v>
      </c>
      <c r="M461" s="24">
        <f t="shared" si="84"/>
        <v>0</v>
      </c>
      <c r="N461" s="24">
        <f>IF(M461&lt;=0,0,IF($E$2-A461&lt;12,(M461-E461)*Dashboard!$B$18,IF($Q$2+A461&gt;=$R$2,MAX(0,M461-E461*POWER(1+$C$2,$E$2-A461))*MAX(Dashboard!$C$18,Dashboard!$B$18),IF($S$2&lt;$R$2,(M461-E461)*0.5*Dashboard!$B$18,(E461*POWER(1+$A$2,$R$2-($Q$2+A461))-E461)*0.5*Dashboard!$B$18+MAX(0,M461-E461*POWER(1+$A$2,$R$2-($Q$2+A461))*POWER(1+$C$2,$S$2-$R$2))*MAX(Dashboard!$C$18,Dashboard!$B$18)))))</f>
        <v>0</v>
      </c>
    </row>
    <row r="462" spans="1:14" x14ac:dyDescent="0.2">
      <c r="A462" s="22">
        <f t="shared" si="85"/>
        <v>457</v>
      </c>
      <c r="B462" s="23">
        <f t="shared" si="86"/>
        <v>56.138127853881763</v>
      </c>
      <c r="C462" t="str">
        <f t="shared" si="77"/>
        <v>56 y 1.66 m</v>
      </c>
      <c r="D462" s="24">
        <f>IF(A462&gt;=$E$2,IF(A462&lt;$E$2+$H$2,$P$2,0),IF(B462&lt;Dashboard!$I$6,0,IF(A462&gt;=$F$2,Dashboard!$C$23*POWER(1+$C$2,A462-$F$2),Dashboard!$C$23)))</f>
        <v>0</v>
      </c>
      <c r="E462" s="24">
        <f>IF(A462&gt;=$F$2,0,IF(A462=0,Dashboard!$G$10,IF(B462&lt;Dashboard!$I$6,IF($J$2&lt;=Dashboard!$H$10,Dashboard!$H$10,MAX(Dashboard!$H$10,MIN($J$2,Dashboard!$H$10*POWER($J$2/Dashboard!$H$10,A462/$D$2)))),$I$2-D462-Dashboard!$I$10-Dashboard!$J$10-Dashboard!$F$10*$I$2)))</f>
        <v>0</v>
      </c>
      <c r="F462" s="24">
        <f t="shared" si="78"/>
        <v>7359.7205568568388</v>
      </c>
      <c r="G462" s="24">
        <f t="shared" si="79"/>
        <v>9417.219843128818</v>
      </c>
      <c r="H462" s="24">
        <f t="shared" si="80"/>
        <v>0</v>
      </c>
      <c r="I462" s="24">
        <f t="shared" si="81"/>
        <v>-9417.219843128818</v>
      </c>
      <c r="J462" s="25">
        <f t="shared" si="82"/>
        <v>7.9741404289037643E-3</v>
      </c>
      <c r="K462" s="24">
        <f t="shared" si="87"/>
        <v>7407485.5041268058</v>
      </c>
      <c r="L462" s="24">
        <f t="shared" si="83"/>
        <v>7407485.5041268058</v>
      </c>
      <c r="M462" s="24">
        <f t="shared" si="84"/>
        <v>0</v>
      </c>
      <c r="N462" s="24">
        <f>IF(M462&lt;=0,0,IF($E$2-A462&lt;12,(M462-E462)*Dashboard!$B$18,IF($Q$2+A462&gt;=$R$2,MAX(0,M462-E462*POWER(1+$C$2,$E$2-A462))*MAX(Dashboard!$C$18,Dashboard!$B$18),IF($S$2&lt;$R$2,(M462-E462)*0.5*Dashboard!$B$18,(E462*POWER(1+$A$2,$R$2-($Q$2+A462))-E462)*0.5*Dashboard!$B$18+MAX(0,M462-E462*POWER(1+$A$2,$R$2-($Q$2+A462))*POWER(1+$C$2,$S$2-$R$2))*MAX(Dashboard!$C$18,Dashboard!$B$18)))))</f>
        <v>0</v>
      </c>
    </row>
    <row r="463" spans="1:14" x14ac:dyDescent="0.2">
      <c r="A463" s="22">
        <f t="shared" si="85"/>
        <v>458</v>
      </c>
      <c r="B463" s="23">
        <f t="shared" si="86"/>
        <v>56.221461187215098</v>
      </c>
      <c r="C463" t="str">
        <f t="shared" si="77"/>
        <v>56 y 2.66 m</v>
      </c>
      <c r="D463" s="24">
        <f>IF(A463&gt;=$E$2,IF(A463&lt;$E$2+$H$2,$P$2,0),IF(B463&lt;Dashboard!$I$6,0,IF(A463&gt;=$F$2,Dashboard!$C$23*POWER(1+$C$2,A463-$F$2),Dashboard!$C$23)))</f>
        <v>0</v>
      </c>
      <c r="E463" s="24">
        <f>IF(A463&gt;=$F$2,0,IF(A463=0,Dashboard!$G$10,IF(B463&lt;Dashboard!$I$6,IF($J$2&lt;=Dashboard!$H$10,Dashboard!$H$10,MAX(Dashboard!$H$10,MIN($J$2,Dashboard!$H$10*POWER($J$2/Dashboard!$H$10,A463/$D$2)))),$I$2-D463-Dashboard!$I$10-Dashboard!$J$10-Dashboard!$F$10*$I$2)))</f>
        <v>0</v>
      </c>
      <c r="F463" s="24">
        <f t="shared" si="78"/>
        <v>7374.8803761957597</v>
      </c>
      <c r="G463" s="24">
        <f t="shared" si="79"/>
        <v>9438.8767278987052</v>
      </c>
      <c r="H463" s="24">
        <f t="shared" si="80"/>
        <v>0</v>
      </c>
      <c r="I463" s="24">
        <f t="shared" si="81"/>
        <v>-9438.8767278987052</v>
      </c>
      <c r="J463" s="25">
        <f t="shared" si="82"/>
        <v>7.9741404289037643E-3</v>
      </c>
      <c r="K463" s="24">
        <f t="shared" si="87"/>
        <v>7457039.6901053637</v>
      </c>
      <c r="L463" s="24">
        <f t="shared" si="83"/>
        <v>7457039.6901053637</v>
      </c>
      <c r="M463" s="24">
        <f t="shared" si="84"/>
        <v>0</v>
      </c>
      <c r="N463" s="24">
        <f>IF(M463&lt;=0,0,IF($E$2-A463&lt;12,(M463-E463)*Dashboard!$B$18,IF($Q$2+A463&gt;=$R$2,MAX(0,M463-E463*POWER(1+$C$2,$E$2-A463))*MAX(Dashboard!$C$18,Dashboard!$B$18),IF($S$2&lt;$R$2,(M463-E463)*0.5*Dashboard!$B$18,(E463*POWER(1+$A$2,$R$2-($Q$2+A463))-E463)*0.5*Dashboard!$B$18+MAX(0,M463-E463*POWER(1+$A$2,$R$2-($Q$2+A463))*POWER(1+$C$2,$S$2-$R$2))*MAX(Dashboard!$C$18,Dashboard!$B$18)))))</f>
        <v>0</v>
      </c>
    </row>
    <row r="464" spans="1:14" x14ac:dyDescent="0.2">
      <c r="A464" s="22">
        <f t="shared" si="85"/>
        <v>459</v>
      </c>
      <c r="B464" s="23">
        <f t="shared" si="86"/>
        <v>56.304794520548434</v>
      </c>
      <c r="C464" t="str">
        <f t="shared" si="77"/>
        <v>56 y 3.66 m</v>
      </c>
      <c r="D464" s="24">
        <f>IF(A464&gt;=$E$2,IF(A464&lt;$E$2+$H$2,$P$2,0),IF(B464&lt;Dashboard!$I$6,0,IF(A464&gt;=$F$2,Dashboard!$C$23*POWER(1+$C$2,A464-$F$2),Dashboard!$C$23)))</f>
        <v>0</v>
      </c>
      <c r="E464" s="24">
        <f>IF(A464&gt;=$F$2,0,IF(A464=0,Dashboard!$G$10,IF(B464&lt;Dashboard!$I$6,IF($J$2&lt;=Dashboard!$H$10,Dashboard!$H$10,MAX(Dashboard!$H$10,MIN($J$2,Dashboard!$H$10*POWER($J$2/Dashboard!$H$10,A464/$D$2)))),$I$2-D464-Dashboard!$I$10-Dashboard!$J$10-Dashboard!$F$10*$I$2)))</f>
        <v>0</v>
      </c>
      <c r="F464" s="24">
        <f t="shared" si="78"/>
        <v>7390.0714222803999</v>
      </c>
      <c r="G464" s="24">
        <f t="shared" si="79"/>
        <v>9460.5782223053338</v>
      </c>
      <c r="H464" s="24">
        <f t="shared" si="80"/>
        <v>0</v>
      </c>
      <c r="I464" s="24">
        <f t="shared" si="81"/>
        <v>-9460.5782223053338</v>
      </c>
      <c r="J464" s="25">
        <f t="shared" si="82"/>
        <v>7.9741404289037643E-3</v>
      </c>
      <c r="K464" s="24">
        <f t="shared" si="87"/>
        <v>7506967.1535765845</v>
      </c>
      <c r="L464" s="24">
        <f t="shared" si="83"/>
        <v>7506967.1535765845</v>
      </c>
      <c r="M464" s="24">
        <f t="shared" si="84"/>
        <v>0</v>
      </c>
      <c r="N464" s="24">
        <f>IF(M464&lt;=0,0,IF($E$2-A464&lt;12,(M464-E464)*Dashboard!$B$18,IF($Q$2+A464&gt;=$R$2,MAX(0,M464-E464*POWER(1+$C$2,$E$2-A464))*MAX(Dashboard!$C$18,Dashboard!$B$18),IF($S$2&lt;$R$2,(M464-E464)*0.5*Dashboard!$B$18,(E464*POWER(1+$A$2,$R$2-($Q$2+A464))-E464)*0.5*Dashboard!$B$18+MAX(0,M464-E464*POWER(1+$A$2,$R$2-($Q$2+A464))*POWER(1+$C$2,$S$2-$R$2))*MAX(Dashboard!$C$18,Dashboard!$B$18)))))</f>
        <v>0</v>
      </c>
    </row>
    <row r="465" spans="1:14" x14ac:dyDescent="0.2">
      <c r="A465" s="22">
        <f t="shared" si="85"/>
        <v>460</v>
      </c>
      <c r="B465" s="23">
        <f t="shared" si="86"/>
        <v>56.38812785388177</v>
      </c>
      <c r="C465" t="str">
        <f t="shared" si="77"/>
        <v>56 y 4.66 m</v>
      </c>
      <c r="D465" s="24">
        <f>IF(A465&gt;=$E$2,IF(A465&lt;$E$2+$H$2,$P$2,0),IF(B465&lt;Dashboard!$I$6,0,IF(A465&gt;=$F$2,Dashboard!$C$23*POWER(1+$C$2,A465-$F$2),Dashboard!$C$23)))</f>
        <v>0</v>
      </c>
      <c r="E465" s="24">
        <f>IF(A465&gt;=$F$2,0,IF(A465=0,Dashboard!$G$10,IF(B465&lt;Dashboard!$I$6,IF($J$2&lt;=Dashboard!$H$10,Dashboard!$H$10,MAX(Dashboard!$H$10,MIN($J$2,Dashboard!$H$10*POWER($J$2/Dashboard!$H$10,A465/$D$2)))),$I$2-D465-Dashboard!$I$10-Dashboard!$J$10-Dashboard!$F$10*$I$2)))</f>
        <v>0</v>
      </c>
      <c r="F465" s="24">
        <f t="shared" si="78"/>
        <v>7405.2937594327395</v>
      </c>
      <c r="G465" s="24">
        <f t="shared" si="79"/>
        <v>9482.3244182372491</v>
      </c>
      <c r="H465" s="24">
        <f t="shared" si="80"/>
        <v>0</v>
      </c>
      <c r="I465" s="24">
        <f t="shared" si="81"/>
        <v>-9482.3244182372491</v>
      </c>
      <c r="J465" s="25">
        <f t="shared" si="82"/>
        <v>7.9741404289037643E-3</v>
      </c>
      <c r="K465" s="24">
        <f t="shared" si="87"/>
        <v>7557270.8260496315</v>
      </c>
      <c r="L465" s="24">
        <f t="shared" si="83"/>
        <v>7557270.8260496315</v>
      </c>
      <c r="M465" s="24">
        <f t="shared" si="84"/>
        <v>0</v>
      </c>
      <c r="N465" s="24">
        <f>IF(M465&lt;=0,0,IF($E$2-A465&lt;12,(M465-E465)*Dashboard!$B$18,IF($Q$2+A465&gt;=$R$2,MAX(0,M465-E465*POWER(1+$C$2,$E$2-A465))*MAX(Dashboard!$C$18,Dashboard!$B$18),IF($S$2&lt;$R$2,(M465-E465)*0.5*Dashboard!$B$18,(E465*POWER(1+$A$2,$R$2-($Q$2+A465))-E465)*0.5*Dashboard!$B$18+MAX(0,M465-E465*POWER(1+$A$2,$R$2-($Q$2+A465))*POWER(1+$C$2,$S$2-$R$2))*MAX(Dashboard!$C$18,Dashboard!$B$18)))))</f>
        <v>0</v>
      </c>
    </row>
    <row r="466" spans="1:14" x14ac:dyDescent="0.2">
      <c r="A466" s="22">
        <f t="shared" si="85"/>
        <v>461</v>
      </c>
      <c r="B466" s="23">
        <f t="shared" si="86"/>
        <v>56.471461187215105</v>
      </c>
      <c r="C466" t="str">
        <f t="shared" si="77"/>
        <v>56 y 5.66 m</v>
      </c>
      <c r="D466" s="24">
        <f>IF(A466&gt;=$E$2,IF(A466&lt;$E$2+$H$2,$P$2,0),IF(B466&lt;Dashboard!$I$6,0,IF(A466&gt;=$F$2,Dashboard!$C$23*POWER(1+$C$2,A466-$F$2),Dashboard!$C$23)))</f>
        <v>0</v>
      </c>
      <c r="E466" s="24">
        <f>IF(A466&gt;=$F$2,0,IF(A466=0,Dashboard!$G$10,IF(B466&lt;Dashboard!$I$6,IF($J$2&lt;=Dashboard!$H$10,Dashboard!$H$10,MAX(Dashboard!$H$10,MIN($J$2,Dashboard!$H$10*POWER($J$2/Dashboard!$H$10,A466/$D$2)))),$I$2-D466-Dashboard!$I$10-Dashboard!$J$10-Dashboard!$F$10*$I$2)))</f>
        <v>0</v>
      </c>
      <c r="F466" s="24">
        <f t="shared" si="78"/>
        <v>7420.5474521072592</v>
      </c>
      <c r="G466" s="24">
        <f t="shared" si="79"/>
        <v>9504.1154077722749</v>
      </c>
      <c r="H466" s="24">
        <f t="shared" si="80"/>
        <v>0</v>
      </c>
      <c r="I466" s="24">
        <f t="shared" si="81"/>
        <v>-9504.1154077722749</v>
      </c>
      <c r="J466" s="25">
        <f t="shared" si="82"/>
        <v>7.9741404289037643E-3</v>
      </c>
      <c r="K466" s="24">
        <f t="shared" si="87"/>
        <v>7607953.6623171223</v>
      </c>
      <c r="L466" s="24">
        <f t="shared" si="83"/>
        <v>7607953.6623171223</v>
      </c>
      <c r="M466" s="24">
        <f t="shared" si="84"/>
        <v>0</v>
      </c>
      <c r="N466" s="24">
        <f>IF(M466&lt;=0,0,IF($E$2-A466&lt;12,(M466-E466)*Dashboard!$B$18,IF($Q$2+A466&gt;=$R$2,MAX(0,M466-E466*POWER(1+$C$2,$E$2-A466))*MAX(Dashboard!$C$18,Dashboard!$B$18),IF($S$2&lt;$R$2,(M466-E466)*0.5*Dashboard!$B$18,(E466*POWER(1+$A$2,$R$2-($Q$2+A466))-E466)*0.5*Dashboard!$B$18+MAX(0,M466-E466*POWER(1+$A$2,$R$2-($Q$2+A466))*POWER(1+$C$2,$S$2-$R$2))*MAX(Dashboard!$C$18,Dashboard!$B$18)))))</f>
        <v>0</v>
      </c>
    </row>
    <row r="467" spans="1:14" x14ac:dyDescent="0.2">
      <c r="A467" s="22">
        <f t="shared" si="85"/>
        <v>462</v>
      </c>
      <c r="B467" s="23">
        <f t="shared" si="86"/>
        <v>56.554794520548441</v>
      </c>
      <c r="C467" t="str">
        <f t="shared" si="77"/>
        <v>56 y 6.66 m</v>
      </c>
      <c r="D467" s="24">
        <f>IF(A467&gt;=$E$2,IF(A467&lt;$E$2+$H$2,$P$2,0),IF(B467&lt;Dashboard!$I$6,0,IF(A467&gt;=$F$2,Dashboard!$C$23*POWER(1+$C$2,A467-$F$2),Dashboard!$C$23)))</f>
        <v>0</v>
      </c>
      <c r="E467" s="24">
        <f>IF(A467&gt;=$F$2,0,IF(A467=0,Dashboard!$G$10,IF(B467&lt;Dashboard!$I$6,IF($J$2&lt;=Dashboard!$H$10,Dashboard!$H$10,MAX(Dashboard!$H$10,MIN($J$2,Dashboard!$H$10*POWER($J$2/Dashboard!$H$10,A467/$D$2)))),$I$2-D467-Dashboard!$I$10-Dashboard!$J$10-Dashboard!$F$10*$I$2)))</f>
        <v>0</v>
      </c>
      <c r="F467" s="24">
        <f t="shared" si="78"/>
        <v>7435.8325648912005</v>
      </c>
      <c r="G467" s="24">
        <f t="shared" si="79"/>
        <v>9525.9512831779066</v>
      </c>
      <c r="H467" s="24">
        <f t="shared" si="80"/>
        <v>0</v>
      </c>
      <c r="I467" s="24">
        <f t="shared" si="81"/>
        <v>-9525.9512831779066</v>
      </c>
      <c r="J467" s="25">
        <f t="shared" si="82"/>
        <v>7.9741404289037643E-3</v>
      </c>
      <c r="K467" s="24">
        <f t="shared" si="87"/>
        <v>7659018.6406406024</v>
      </c>
      <c r="L467" s="24">
        <f t="shared" si="83"/>
        <v>7659018.6406406024</v>
      </c>
      <c r="M467" s="24">
        <f t="shared" si="84"/>
        <v>0</v>
      </c>
      <c r="N467" s="24">
        <f>IF(M467&lt;=0,0,IF($E$2-A467&lt;12,(M467-E467)*Dashboard!$B$18,IF($Q$2+A467&gt;=$R$2,MAX(0,M467-E467*POWER(1+$C$2,$E$2-A467))*MAX(Dashboard!$C$18,Dashboard!$B$18),IF($S$2&lt;$R$2,(M467-E467)*0.5*Dashboard!$B$18,(E467*POWER(1+$A$2,$R$2-($Q$2+A467))-E467)*0.5*Dashboard!$B$18+MAX(0,M467-E467*POWER(1+$A$2,$R$2-($Q$2+A467))*POWER(1+$C$2,$S$2-$R$2))*MAX(Dashboard!$C$18,Dashboard!$B$18)))))</f>
        <v>0</v>
      </c>
    </row>
    <row r="468" spans="1:14" x14ac:dyDescent="0.2">
      <c r="A468" s="22">
        <f t="shared" si="85"/>
        <v>463</v>
      </c>
      <c r="B468" s="23">
        <f t="shared" si="86"/>
        <v>56.638127853881777</v>
      </c>
      <c r="C468" t="str">
        <f t="shared" si="77"/>
        <v>56 y 7.66 m</v>
      </c>
      <c r="D468" s="24">
        <f>IF(A468&gt;=$E$2,IF(A468&lt;$E$2+$H$2,$P$2,0),IF(B468&lt;Dashboard!$I$6,0,IF(A468&gt;=$F$2,Dashboard!$C$23*POWER(1+$C$2,A468-$F$2),Dashboard!$C$23)))</f>
        <v>0</v>
      </c>
      <c r="E468" s="24">
        <f>IF(A468&gt;=$F$2,0,IF(A468=0,Dashboard!$G$10,IF(B468&lt;Dashboard!$I$6,IF($J$2&lt;=Dashboard!$H$10,Dashboard!$H$10,MAX(Dashboard!$H$10,MIN($J$2,Dashboard!$H$10*POWER($J$2/Dashboard!$H$10,A468/$D$2)))),$I$2-D468-Dashboard!$I$10-Dashboard!$J$10-Dashboard!$F$10*$I$2)))</f>
        <v>0</v>
      </c>
      <c r="F468" s="24">
        <f t="shared" si="78"/>
        <v>7451.1491625048402</v>
      </c>
      <c r="G468" s="24">
        <f t="shared" si="79"/>
        <v>9547.8321369116766</v>
      </c>
      <c r="H468" s="24">
        <f t="shared" si="80"/>
        <v>0</v>
      </c>
      <c r="I468" s="24">
        <f t="shared" si="81"/>
        <v>-9547.8321369116766</v>
      </c>
      <c r="J468" s="25">
        <f t="shared" si="82"/>
        <v>7.9741404289037643E-3</v>
      </c>
      <c r="K468" s="24">
        <f t="shared" si="87"/>
        <v>7710468.7629374992</v>
      </c>
      <c r="L468" s="24">
        <f t="shared" si="83"/>
        <v>7710468.7629374992</v>
      </c>
      <c r="M468" s="24">
        <f t="shared" si="84"/>
        <v>0</v>
      </c>
      <c r="N468" s="24">
        <f>IF(M468&lt;=0,0,IF($E$2-A468&lt;12,(M468-E468)*Dashboard!$B$18,IF($Q$2+A468&gt;=$R$2,MAX(0,M468-E468*POWER(1+$C$2,$E$2-A468))*MAX(Dashboard!$C$18,Dashboard!$B$18),IF($S$2&lt;$R$2,(M468-E468)*0.5*Dashboard!$B$18,(E468*POWER(1+$A$2,$R$2-($Q$2+A468))-E468)*0.5*Dashboard!$B$18+MAX(0,M468-E468*POWER(1+$A$2,$R$2-($Q$2+A468))*POWER(1+$C$2,$S$2-$R$2))*MAX(Dashboard!$C$18,Dashboard!$B$18)))))</f>
        <v>0</v>
      </c>
    </row>
    <row r="469" spans="1:14" x14ac:dyDescent="0.2">
      <c r="A469" s="22">
        <f t="shared" si="85"/>
        <v>464</v>
      </c>
      <c r="B469" s="23">
        <f t="shared" si="86"/>
        <v>56.721461187215112</v>
      </c>
      <c r="C469" t="str">
        <f t="shared" si="77"/>
        <v>56 y 8.66 m</v>
      </c>
      <c r="D469" s="24">
        <f>IF(A469&gt;=$E$2,IF(A469&lt;$E$2+$H$2,$P$2,0),IF(B469&lt;Dashboard!$I$6,0,IF(A469&gt;=$F$2,Dashboard!$C$23*POWER(1+$C$2,A469-$F$2),Dashboard!$C$23)))</f>
        <v>0</v>
      </c>
      <c r="E469" s="24">
        <f>IF(A469&gt;=$F$2,0,IF(A469=0,Dashboard!$G$10,IF(B469&lt;Dashboard!$I$6,IF($J$2&lt;=Dashboard!$H$10,Dashboard!$H$10,MAX(Dashboard!$H$10,MIN($J$2,Dashboard!$H$10*POWER($J$2/Dashboard!$H$10,A469/$D$2)))),$I$2-D469-Dashboard!$I$10-Dashboard!$J$10-Dashboard!$F$10*$I$2)))</f>
        <v>0</v>
      </c>
      <c r="F469" s="24">
        <f t="shared" si="78"/>
        <v>7466.4973098017763</v>
      </c>
      <c r="G469" s="24">
        <f t="shared" si="79"/>
        <v>9569.7580616215855</v>
      </c>
      <c r="H469" s="24">
        <f t="shared" si="80"/>
        <v>0</v>
      </c>
      <c r="I469" s="24">
        <f t="shared" si="81"/>
        <v>-9569.7580616215855</v>
      </c>
      <c r="J469" s="25">
        <f t="shared" si="82"/>
        <v>7.9741404289037643E-3</v>
      </c>
      <c r="K469" s="24">
        <f t="shared" si="87"/>
        <v>7762307.0549695631</v>
      </c>
      <c r="L469" s="24">
        <f t="shared" si="83"/>
        <v>7762307.0549695631</v>
      </c>
      <c r="M469" s="24">
        <f t="shared" si="84"/>
        <v>0</v>
      </c>
      <c r="N469" s="24">
        <f>IF(M469&lt;=0,0,IF($E$2-A469&lt;12,(M469-E469)*Dashboard!$B$18,IF($Q$2+A469&gt;=$R$2,MAX(0,M469-E469*POWER(1+$C$2,$E$2-A469))*MAX(Dashboard!$C$18,Dashboard!$B$18),IF($S$2&lt;$R$2,(M469-E469)*0.5*Dashboard!$B$18,(E469*POWER(1+$A$2,$R$2-($Q$2+A469))-E469)*0.5*Dashboard!$B$18+MAX(0,M469-E469*POWER(1+$A$2,$R$2-($Q$2+A469))*POWER(1+$C$2,$S$2-$R$2))*MAX(Dashboard!$C$18,Dashboard!$B$18)))))</f>
        <v>0</v>
      </c>
    </row>
    <row r="470" spans="1:14" x14ac:dyDescent="0.2">
      <c r="A470" s="22">
        <f t="shared" si="85"/>
        <v>465</v>
      </c>
      <c r="B470" s="23">
        <f t="shared" si="86"/>
        <v>56.804794520548448</v>
      </c>
      <c r="C470" t="str">
        <f t="shared" si="77"/>
        <v>56 y 9.66 m</v>
      </c>
      <c r="D470" s="24">
        <f>IF(A470&gt;=$E$2,IF(A470&lt;$E$2+$H$2,$P$2,0),IF(B470&lt;Dashboard!$I$6,0,IF(A470&gt;=$F$2,Dashboard!$C$23*POWER(1+$C$2,A470-$F$2),Dashboard!$C$23)))</f>
        <v>0</v>
      </c>
      <c r="E470" s="24">
        <f>IF(A470&gt;=$F$2,0,IF(A470=0,Dashboard!$G$10,IF(B470&lt;Dashboard!$I$6,IF($J$2&lt;=Dashboard!$H$10,Dashboard!$H$10,MAX(Dashboard!$H$10,MIN($J$2,Dashboard!$H$10*POWER($J$2/Dashboard!$H$10,A470/$D$2)))),$I$2-D470-Dashboard!$I$10-Dashboard!$J$10-Dashboard!$F$10*$I$2)))</f>
        <v>0</v>
      </c>
      <c r="F470" s="24">
        <f t="shared" si="78"/>
        <v>7481.8770717691896</v>
      </c>
      <c r="G470" s="24">
        <f t="shared" si="79"/>
        <v>9591.7291501464624</v>
      </c>
      <c r="H470" s="24">
        <f t="shared" si="80"/>
        <v>0</v>
      </c>
      <c r="I470" s="24">
        <f t="shared" si="81"/>
        <v>-9591.7291501464624</v>
      </c>
      <c r="J470" s="25">
        <f t="shared" si="82"/>
        <v>7.9741404289037643E-3</v>
      </c>
      <c r="K470" s="24">
        <f t="shared" si="87"/>
        <v>7814536.5665328149</v>
      </c>
      <c r="L470" s="24">
        <f t="shared" si="83"/>
        <v>7814536.5665328149</v>
      </c>
      <c r="M470" s="24">
        <f t="shared" si="84"/>
        <v>0</v>
      </c>
      <c r="N470" s="24">
        <f>IF(M470&lt;=0,0,IF($E$2-A470&lt;12,(M470-E470)*Dashboard!$B$18,IF($Q$2+A470&gt;=$R$2,MAX(0,M470-E470*POWER(1+$C$2,$E$2-A470))*MAX(Dashboard!$C$18,Dashboard!$B$18),IF($S$2&lt;$R$2,(M470-E470)*0.5*Dashboard!$B$18,(E470*POWER(1+$A$2,$R$2-($Q$2+A470))-E470)*0.5*Dashboard!$B$18+MAX(0,M470-E470*POWER(1+$A$2,$R$2-($Q$2+A470))*POWER(1+$C$2,$S$2-$R$2))*MAX(Dashboard!$C$18,Dashboard!$B$18)))))</f>
        <v>0</v>
      </c>
    </row>
    <row r="471" spans="1:14" x14ac:dyDescent="0.2">
      <c r="A471" s="22">
        <f t="shared" si="85"/>
        <v>466</v>
      </c>
      <c r="B471" s="23">
        <f t="shared" si="86"/>
        <v>56.888127853881784</v>
      </c>
      <c r="C471" t="str">
        <f t="shared" si="77"/>
        <v>56 y 10.66 m</v>
      </c>
      <c r="D471" s="24">
        <f>IF(A471&gt;=$E$2,IF(A471&lt;$E$2+$H$2,$P$2,0),IF(B471&lt;Dashboard!$I$6,0,IF(A471&gt;=$F$2,Dashboard!$C$23*POWER(1+$C$2,A471-$F$2),Dashboard!$C$23)))</f>
        <v>0</v>
      </c>
      <c r="E471" s="24">
        <f>IF(A471&gt;=$F$2,0,IF(A471=0,Dashboard!$G$10,IF(B471&lt;Dashboard!$I$6,IF($J$2&lt;=Dashboard!$H$10,Dashboard!$H$10,MAX(Dashboard!$H$10,MIN($J$2,Dashboard!$H$10*POWER($J$2/Dashboard!$H$10,A471/$D$2)))),$I$2-D471-Dashboard!$I$10-Dashboard!$J$10-Dashboard!$F$10*$I$2)))</f>
        <v>0</v>
      </c>
      <c r="F471" s="24">
        <f t="shared" si="78"/>
        <v>7497.288513528124</v>
      </c>
      <c r="G471" s="24">
        <f t="shared" si="79"/>
        <v>9613.7454955163685</v>
      </c>
      <c r="H471" s="24">
        <f t="shared" si="80"/>
        <v>0</v>
      </c>
      <c r="I471" s="24">
        <f t="shared" si="81"/>
        <v>-9613.7454955163685</v>
      </c>
      <c r="J471" s="25">
        <f t="shared" si="82"/>
        <v>7.9741404289037643E-3</v>
      </c>
      <c r="K471" s="24">
        <f t="shared" si="87"/>
        <v>7867160.3716490055</v>
      </c>
      <c r="L471" s="24">
        <f t="shared" si="83"/>
        <v>7867160.3716490055</v>
      </c>
      <c r="M471" s="24">
        <f t="shared" si="84"/>
        <v>0</v>
      </c>
      <c r="N471" s="24">
        <f>IF(M471&lt;=0,0,IF($E$2-A471&lt;12,(M471-E471)*Dashboard!$B$18,IF($Q$2+A471&gt;=$R$2,MAX(0,M471-E471*POWER(1+$C$2,$E$2-A471))*MAX(Dashboard!$C$18,Dashboard!$B$18),IF($S$2&lt;$R$2,(M471-E471)*0.5*Dashboard!$B$18,(E471*POWER(1+$A$2,$R$2-($Q$2+A471))-E471)*0.5*Dashboard!$B$18+MAX(0,M471-E471*POWER(1+$A$2,$R$2-($Q$2+A471))*POWER(1+$C$2,$S$2-$R$2))*MAX(Dashboard!$C$18,Dashboard!$B$18)))))</f>
        <v>0</v>
      </c>
    </row>
    <row r="472" spans="1:14" x14ac:dyDescent="0.2">
      <c r="A472" s="22">
        <f t="shared" si="85"/>
        <v>467</v>
      </c>
      <c r="B472" s="23">
        <f t="shared" si="86"/>
        <v>56.97146118721512</v>
      </c>
      <c r="C472" t="str">
        <f t="shared" si="77"/>
        <v>56 y 11.66 m</v>
      </c>
      <c r="D472" s="24">
        <f>IF(A472&gt;=$E$2,IF(A472&lt;$E$2+$H$2,$P$2,0),IF(B472&lt;Dashboard!$I$6,0,IF(A472&gt;=$F$2,Dashboard!$C$23*POWER(1+$C$2,A472-$F$2),Dashboard!$C$23)))</f>
        <v>0</v>
      </c>
      <c r="E472" s="24">
        <f>IF(A472&gt;=$F$2,0,IF(A472=0,Dashboard!$G$10,IF(B472&lt;Dashboard!$I$6,IF($J$2&lt;=Dashboard!$H$10,Dashboard!$H$10,MAX(Dashboard!$H$10,MIN($J$2,Dashboard!$H$10*POWER($J$2/Dashboard!$H$10,A472/$D$2)))),$I$2-D472-Dashboard!$I$10-Dashboard!$J$10-Dashboard!$F$10*$I$2)))</f>
        <v>0</v>
      </c>
      <c r="F472" s="24">
        <f t="shared" si="78"/>
        <v>7512.7317003337666</v>
      </c>
      <c r="G472" s="24">
        <f t="shared" si="79"/>
        <v>9635.8071909530008</v>
      </c>
      <c r="H472" s="24">
        <f t="shared" si="80"/>
        <v>0</v>
      </c>
      <c r="I472" s="24">
        <f t="shared" si="81"/>
        <v>-9635.8071909530008</v>
      </c>
      <c r="J472" s="25">
        <f t="shared" si="82"/>
        <v>7.9741404289037643E-3</v>
      </c>
      <c r="K472" s="24">
        <f t="shared" si="87"/>
        <v>7920181.5687586023</v>
      </c>
      <c r="L472" s="24">
        <f t="shared" si="83"/>
        <v>7920181.5687586023</v>
      </c>
      <c r="M472" s="24">
        <f t="shared" si="84"/>
        <v>0</v>
      </c>
      <c r="N472" s="24">
        <f>IF(M472&lt;=0,0,IF($E$2-A472&lt;12,(M472-E472)*Dashboard!$B$18,IF($Q$2+A472&gt;=$R$2,MAX(0,M472-E472*POWER(1+$C$2,$E$2-A472))*MAX(Dashboard!$C$18,Dashboard!$B$18),IF($S$2&lt;$R$2,(M472-E472)*0.5*Dashboard!$B$18,(E472*POWER(1+$A$2,$R$2-($Q$2+A472))-E472)*0.5*Dashboard!$B$18+MAX(0,M472-E472*POWER(1+$A$2,$R$2-($Q$2+A472))*POWER(1+$C$2,$S$2-$R$2))*MAX(Dashboard!$C$18,Dashboard!$B$18)))))</f>
        <v>0</v>
      </c>
    </row>
    <row r="473" spans="1:14" x14ac:dyDescent="0.2">
      <c r="A473" s="22">
        <f t="shared" si="85"/>
        <v>468</v>
      </c>
      <c r="B473" s="23">
        <f t="shared" si="86"/>
        <v>57.054794520548455</v>
      </c>
      <c r="C473" t="str">
        <f t="shared" si="77"/>
        <v>57 y 0.66 m</v>
      </c>
      <c r="D473" s="24">
        <f>IF(A473&gt;=$E$2,IF(A473&lt;$E$2+$H$2,$P$2,0),IF(B473&lt;Dashboard!$I$6,0,IF(A473&gt;=$F$2,Dashboard!$C$23*POWER(1+$C$2,A473-$F$2),Dashboard!$C$23)))</f>
        <v>0</v>
      </c>
      <c r="E473" s="24">
        <f>IF(A473&gt;=$F$2,0,IF(A473=0,Dashboard!$G$10,IF(B473&lt;Dashboard!$I$6,IF($J$2&lt;=Dashboard!$H$10,Dashboard!$H$10,MAX(Dashboard!$H$10,MIN($J$2,Dashboard!$H$10*POWER($J$2/Dashboard!$H$10,A473/$D$2)))),$I$2-D473-Dashboard!$I$10-Dashboard!$J$10-Dashboard!$F$10*$I$2)))</f>
        <v>0</v>
      </c>
      <c r="F473" s="24">
        <f t="shared" si="78"/>
        <v>7528.2066975757089</v>
      </c>
      <c r="G473" s="24">
        <f t="shared" si="79"/>
        <v>9657.9143298700601</v>
      </c>
      <c r="H473" s="24">
        <f t="shared" si="80"/>
        <v>0</v>
      </c>
      <c r="I473" s="24">
        <f t="shared" si="81"/>
        <v>-9657.9143298700601</v>
      </c>
      <c r="J473" s="25">
        <f t="shared" si="82"/>
        <v>7.9741404289037643E-3</v>
      </c>
      <c r="K473" s="24">
        <f t="shared" si="87"/>
        <v>7973603.2809153125</v>
      </c>
      <c r="L473" s="24">
        <f t="shared" si="83"/>
        <v>7973603.2809153125</v>
      </c>
      <c r="M473" s="24">
        <f t="shared" si="84"/>
        <v>0</v>
      </c>
      <c r="N473" s="24">
        <f>IF(M473&lt;=0,0,IF($E$2-A473&lt;12,(M473-E473)*Dashboard!$B$18,IF($Q$2+A473&gt;=$R$2,MAX(0,M473-E473*POWER(1+$C$2,$E$2-A473))*MAX(Dashboard!$C$18,Dashboard!$B$18),IF($S$2&lt;$R$2,(M473-E473)*0.5*Dashboard!$B$18,(E473*POWER(1+$A$2,$R$2-($Q$2+A473))-E473)*0.5*Dashboard!$B$18+MAX(0,M473-E473*POWER(1+$A$2,$R$2-($Q$2+A473))*POWER(1+$C$2,$S$2-$R$2))*MAX(Dashboard!$C$18,Dashboard!$B$18)))))</f>
        <v>0</v>
      </c>
    </row>
    <row r="474" spans="1:14" x14ac:dyDescent="0.2">
      <c r="A474" s="22">
        <f t="shared" si="85"/>
        <v>469</v>
      </c>
      <c r="B474" s="23">
        <f t="shared" si="86"/>
        <v>57.138127853881791</v>
      </c>
      <c r="C474" t="str">
        <f t="shared" si="77"/>
        <v>57 y 1.66 m</v>
      </c>
      <c r="D474" s="24">
        <f>IF(A474&gt;=$E$2,IF(A474&lt;$E$2+$H$2,$P$2,0),IF(B474&lt;Dashboard!$I$6,0,IF(A474&gt;=$F$2,Dashboard!$C$23*POWER(1+$C$2,A474-$F$2),Dashboard!$C$23)))</f>
        <v>0</v>
      </c>
      <c r="E474" s="24">
        <f>IF(A474&gt;=$F$2,0,IF(A474=0,Dashboard!$G$10,IF(B474&lt;Dashboard!$I$6,IF($J$2&lt;=Dashboard!$H$10,Dashboard!$H$10,MAX(Dashboard!$H$10,MIN($J$2,Dashboard!$H$10*POWER($J$2/Dashboard!$H$10,A474/$D$2)))),$I$2-D474-Dashboard!$I$10-Dashboard!$J$10-Dashboard!$F$10*$I$2)))</f>
        <v>0</v>
      </c>
      <c r="F474" s="24">
        <f t="shared" si="78"/>
        <v>7543.7135707782481</v>
      </c>
      <c r="G474" s="24">
        <f t="shared" si="79"/>
        <v>9680.0670058736887</v>
      </c>
      <c r="H474" s="24">
        <f t="shared" si="80"/>
        <v>0</v>
      </c>
      <c r="I474" s="24">
        <f t="shared" si="81"/>
        <v>-9680.0670058736887</v>
      </c>
      <c r="J474" s="25">
        <f t="shared" si="82"/>
        <v>7.9741404289037643E-3</v>
      </c>
      <c r="K474" s="24">
        <f t="shared" si="87"/>
        <v>8027428.6559821591</v>
      </c>
      <c r="L474" s="24">
        <f t="shared" si="83"/>
        <v>8027428.6559821591</v>
      </c>
      <c r="M474" s="24">
        <f t="shared" si="84"/>
        <v>0</v>
      </c>
      <c r="N474" s="24">
        <f>IF(M474&lt;=0,0,IF($E$2-A474&lt;12,(M474-E474)*Dashboard!$B$18,IF($Q$2+A474&gt;=$R$2,MAX(0,M474-E474*POWER(1+$C$2,$E$2-A474))*MAX(Dashboard!$C$18,Dashboard!$B$18),IF($S$2&lt;$R$2,(M474-E474)*0.5*Dashboard!$B$18,(E474*POWER(1+$A$2,$R$2-($Q$2+A474))-E474)*0.5*Dashboard!$B$18+MAX(0,M474-E474*POWER(1+$A$2,$R$2-($Q$2+A474))*POWER(1+$C$2,$S$2-$R$2))*MAX(Dashboard!$C$18,Dashboard!$B$18)))))</f>
        <v>0</v>
      </c>
    </row>
    <row r="475" spans="1:14" x14ac:dyDescent="0.2">
      <c r="A475" s="22">
        <f t="shared" si="85"/>
        <v>470</v>
      </c>
      <c r="B475" s="23">
        <f t="shared" si="86"/>
        <v>57.221461187215127</v>
      </c>
      <c r="C475" t="str">
        <f t="shared" si="77"/>
        <v>57 y 2.66 m</v>
      </c>
      <c r="D475" s="24">
        <f>IF(A475&gt;=$E$2,IF(A475&lt;$E$2+$H$2,$P$2,0),IF(B475&lt;Dashboard!$I$6,0,IF(A475&gt;=$F$2,Dashboard!$C$23*POWER(1+$C$2,A475-$F$2),Dashboard!$C$23)))</f>
        <v>0</v>
      </c>
      <c r="E475" s="24">
        <f>IF(A475&gt;=$F$2,0,IF(A475=0,Dashboard!$G$10,IF(B475&lt;Dashboard!$I$6,IF($J$2&lt;=Dashboard!$H$10,Dashboard!$H$10,MAX(Dashboard!$H$10,MIN($J$2,Dashboard!$H$10*POWER($J$2/Dashboard!$H$10,A475/$D$2)))),$I$2-D475-Dashboard!$I$10-Dashboard!$J$10-Dashboard!$F$10*$I$2)))</f>
        <v>0</v>
      </c>
      <c r="F475" s="24">
        <f t="shared" si="78"/>
        <v>7559.2523856006428</v>
      </c>
      <c r="G475" s="24">
        <f t="shared" si="79"/>
        <v>9702.2653127628237</v>
      </c>
      <c r="H475" s="24">
        <f t="shared" si="80"/>
        <v>0</v>
      </c>
      <c r="I475" s="24">
        <f t="shared" si="81"/>
        <v>-9702.2653127628237</v>
      </c>
      <c r="J475" s="25">
        <f t="shared" si="82"/>
        <v>7.9741404289037643E-3</v>
      </c>
      <c r="K475" s="24">
        <f t="shared" si="87"/>
        <v>8081660.8668291215</v>
      </c>
      <c r="L475" s="24">
        <f t="shared" si="83"/>
        <v>8081660.8668291215</v>
      </c>
      <c r="M475" s="24">
        <f t="shared" si="84"/>
        <v>0</v>
      </c>
      <c r="N475" s="24">
        <f>IF(M475&lt;=0,0,IF($E$2-A475&lt;12,(M475-E475)*Dashboard!$B$18,IF($Q$2+A475&gt;=$R$2,MAX(0,M475-E475*POWER(1+$C$2,$E$2-A475))*MAX(Dashboard!$C$18,Dashboard!$B$18),IF($S$2&lt;$R$2,(M475-E475)*0.5*Dashboard!$B$18,(E475*POWER(1+$A$2,$R$2-($Q$2+A475))-E475)*0.5*Dashboard!$B$18+MAX(0,M475-E475*POWER(1+$A$2,$R$2-($Q$2+A475))*POWER(1+$C$2,$S$2-$R$2))*MAX(Dashboard!$C$18,Dashboard!$B$18)))))</f>
        <v>0</v>
      </c>
    </row>
    <row r="476" spans="1:14" x14ac:dyDescent="0.2">
      <c r="A476" s="22">
        <f t="shared" si="85"/>
        <v>471</v>
      </c>
      <c r="B476" s="23">
        <f t="shared" si="86"/>
        <v>57.304794520548462</v>
      </c>
      <c r="C476" t="str">
        <f t="shared" si="77"/>
        <v>57 y 3.66 m</v>
      </c>
      <c r="D476" s="24">
        <f>IF(A476&gt;=$E$2,IF(A476&lt;$E$2+$H$2,$P$2,0),IF(B476&lt;Dashboard!$I$6,0,IF(A476&gt;=$F$2,Dashboard!$C$23*POWER(1+$C$2,A476-$F$2),Dashboard!$C$23)))</f>
        <v>0</v>
      </c>
      <c r="E476" s="24">
        <f>IF(A476&gt;=$F$2,0,IF(A476=0,Dashboard!$G$10,IF(B476&lt;Dashboard!$I$6,IF($J$2&lt;=Dashboard!$H$10,Dashboard!$H$10,MAX(Dashboard!$H$10,MIN($J$2,Dashboard!$H$10*POWER($J$2/Dashboard!$H$10,A476/$D$2)))),$I$2-D476-Dashboard!$I$10-Dashboard!$J$10-Dashboard!$F$10*$I$2)))</f>
        <v>0</v>
      </c>
      <c r="F476" s="24">
        <f t="shared" si="78"/>
        <v>7574.8232078373976</v>
      </c>
      <c r="G476" s="24">
        <f t="shared" si="79"/>
        <v>9724.5093445296152</v>
      </c>
      <c r="H476" s="24">
        <f t="shared" si="80"/>
        <v>0</v>
      </c>
      <c r="I476" s="24">
        <f t="shared" si="81"/>
        <v>-9724.5093445296152</v>
      </c>
      <c r="J476" s="25">
        <f t="shared" si="82"/>
        <v>7.9741404289037643E-3</v>
      </c>
      <c r="K476" s="24">
        <f t="shared" si="87"/>
        <v>8136303.1115323482</v>
      </c>
      <c r="L476" s="24">
        <f t="shared" si="83"/>
        <v>8136303.1115323482</v>
      </c>
      <c r="M476" s="24">
        <f t="shared" si="84"/>
        <v>0</v>
      </c>
      <c r="N476" s="24">
        <f>IF(M476&lt;=0,0,IF($E$2-A476&lt;12,(M476-E476)*Dashboard!$B$18,IF($Q$2+A476&gt;=$R$2,MAX(0,M476-E476*POWER(1+$C$2,$E$2-A476))*MAX(Dashboard!$C$18,Dashboard!$B$18),IF($S$2&lt;$R$2,(M476-E476)*0.5*Dashboard!$B$18,(E476*POWER(1+$A$2,$R$2-($Q$2+A476))-E476)*0.5*Dashboard!$B$18+MAX(0,M476-E476*POWER(1+$A$2,$R$2-($Q$2+A476))*POWER(1+$C$2,$S$2-$R$2))*MAX(Dashboard!$C$18,Dashboard!$B$18)))))</f>
        <v>0</v>
      </c>
    </row>
    <row r="477" spans="1:14" x14ac:dyDescent="0.2">
      <c r="A477" s="22">
        <f t="shared" si="85"/>
        <v>472</v>
      </c>
      <c r="B477" s="23">
        <f t="shared" si="86"/>
        <v>57.388127853881798</v>
      </c>
      <c r="C477" t="str">
        <f t="shared" si="77"/>
        <v>57 y 4.66 m</v>
      </c>
      <c r="D477" s="24">
        <f>IF(A477&gt;=$E$2,IF(A477&lt;$E$2+$H$2,$P$2,0),IF(B477&lt;Dashboard!$I$6,0,IF(A477&gt;=$F$2,Dashboard!$C$23*POWER(1+$C$2,A477-$F$2),Dashboard!$C$23)))</f>
        <v>0</v>
      </c>
      <c r="E477" s="24">
        <f>IF(A477&gt;=$F$2,0,IF(A477=0,Dashboard!$G$10,IF(B477&lt;Dashboard!$I$6,IF($J$2&lt;=Dashboard!$H$10,Dashboard!$H$10,MAX(Dashboard!$H$10,MIN($J$2,Dashboard!$H$10*POWER($J$2/Dashboard!$H$10,A477/$D$2)))),$I$2-D477-Dashboard!$I$10-Dashboard!$J$10-Dashboard!$F$10*$I$2)))</f>
        <v>0</v>
      </c>
      <c r="F477" s="24">
        <f t="shared" si="78"/>
        <v>7590.4261034185492</v>
      </c>
      <c r="G477" s="24">
        <f t="shared" si="79"/>
        <v>9746.7991953598339</v>
      </c>
      <c r="H477" s="24">
        <f t="shared" si="80"/>
        <v>0</v>
      </c>
      <c r="I477" s="24">
        <f t="shared" si="81"/>
        <v>-9746.7991953598339</v>
      </c>
      <c r="J477" s="25">
        <f t="shared" si="82"/>
        <v>7.9741404289037643E-3</v>
      </c>
      <c r="K477" s="24">
        <f t="shared" si="87"/>
        <v>8191358.6135749584</v>
      </c>
      <c r="L477" s="24">
        <f t="shared" si="83"/>
        <v>8191358.6135749584</v>
      </c>
      <c r="M477" s="24">
        <f t="shared" si="84"/>
        <v>0</v>
      </c>
      <c r="N477" s="24">
        <f>IF(M477&lt;=0,0,IF($E$2-A477&lt;12,(M477-E477)*Dashboard!$B$18,IF($Q$2+A477&gt;=$R$2,MAX(0,M477-E477*POWER(1+$C$2,$E$2-A477))*MAX(Dashboard!$C$18,Dashboard!$B$18),IF($S$2&lt;$R$2,(M477-E477)*0.5*Dashboard!$B$18,(E477*POWER(1+$A$2,$R$2-($Q$2+A477))-E477)*0.5*Dashboard!$B$18+MAX(0,M477-E477*POWER(1+$A$2,$R$2-($Q$2+A477))*POWER(1+$C$2,$S$2-$R$2))*MAX(Dashboard!$C$18,Dashboard!$B$18)))))</f>
        <v>0</v>
      </c>
    </row>
    <row r="478" spans="1:14" x14ac:dyDescent="0.2">
      <c r="A478" s="22">
        <f t="shared" si="85"/>
        <v>473</v>
      </c>
      <c r="B478" s="23">
        <f t="shared" si="86"/>
        <v>57.471461187215134</v>
      </c>
      <c r="C478" t="str">
        <f t="shared" si="77"/>
        <v>57 y 5.66 m</v>
      </c>
      <c r="D478" s="24">
        <f>IF(A478&gt;=$E$2,IF(A478&lt;$E$2+$H$2,$P$2,0),IF(B478&lt;Dashboard!$I$6,0,IF(A478&gt;=$F$2,Dashboard!$C$23*POWER(1+$C$2,A478-$F$2),Dashboard!$C$23)))</f>
        <v>0</v>
      </c>
      <c r="E478" s="24">
        <f>IF(A478&gt;=$F$2,0,IF(A478=0,Dashboard!$G$10,IF(B478&lt;Dashboard!$I$6,IF($J$2&lt;=Dashboard!$H$10,Dashboard!$H$10,MAX(Dashboard!$H$10,MIN($J$2,Dashboard!$H$10*POWER($J$2/Dashboard!$H$10,A478/$D$2)))),$I$2-D478-Dashboard!$I$10-Dashboard!$J$10-Dashboard!$F$10*$I$2)))</f>
        <v>0</v>
      </c>
      <c r="F478" s="24">
        <f t="shared" si="78"/>
        <v>7606.0611384099311</v>
      </c>
      <c r="G478" s="24">
        <f t="shared" si="79"/>
        <v>9769.1349596332348</v>
      </c>
      <c r="H478" s="24">
        <f t="shared" si="80"/>
        <v>0</v>
      </c>
      <c r="I478" s="24">
        <f t="shared" si="81"/>
        <v>-9769.1349596332348</v>
      </c>
      <c r="J478" s="25">
        <f t="shared" si="82"/>
        <v>7.9741404289037643E-3</v>
      </c>
      <c r="K478" s="24">
        <f t="shared" si="87"/>
        <v>8246830.6220494453</v>
      </c>
      <c r="L478" s="24">
        <f t="shared" si="83"/>
        <v>8246830.6220494453</v>
      </c>
      <c r="M478" s="24">
        <f t="shared" si="84"/>
        <v>0</v>
      </c>
      <c r="N478" s="24">
        <f>IF(M478&lt;=0,0,IF($E$2-A478&lt;12,(M478-E478)*Dashboard!$B$18,IF($Q$2+A478&gt;=$R$2,MAX(0,M478-E478*POWER(1+$C$2,$E$2-A478))*MAX(Dashboard!$C$18,Dashboard!$B$18),IF($S$2&lt;$R$2,(M478-E478)*0.5*Dashboard!$B$18,(E478*POWER(1+$A$2,$R$2-($Q$2+A478))-E478)*0.5*Dashboard!$B$18+MAX(0,M478-E478*POWER(1+$A$2,$R$2-($Q$2+A478))*POWER(1+$C$2,$S$2-$R$2))*MAX(Dashboard!$C$18,Dashboard!$B$18)))))</f>
        <v>0</v>
      </c>
    </row>
    <row r="479" spans="1:14" x14ac:dyDescent="0.2">
      <c r="A479" s="22">
        <f t="shared" si="85"/>
        <v>474</v>
      </c>
      <c r="B479" s="23">
        <f t="shared" si="86"/>
        <v>57.554794520548469</v>
      </c>
      <c r="C479" t="str">
        <f t="shared" si="77"/>
        <v>57 y 6.66 m</v>
      </c>
      <c r="D479" s="24">
        <f>IF(A479&gt;=$E$2,IF(A479&lt;$E$2+$H$2,$P$2,0),IF(B479&lt;Dashboard!$I$6,0,IF(A479&gt;=$F$2,Dashboard!$C$23*POWER(1+$C$2,A479-$F$2),Dashboard!$C$23)))</f>
        <v>0</v>
      </c>
      <c r="E479" s="24">
        <f>IF(A479&gt;=$F$2,0,IF(A479=0,Dashboard!$G$10,IF(B479&lt;Dashboard!$I$6,IF($J$2&lt;=Dashboard!$H$10,Dashboard!$H$10,MAX(Dashboard!$H$10,MIN($J$2,Dashboard!$H$10*POWER($J$2/Dashboard!$H$10,A479/$D$2)))),$I$2-D479-Dashboard!$I$10-Dashboard!$J$10-Dashboard!$F$10*$I$2)))</f>
        <v>0</v>
      </c>
      <c r="F479" s="24">
        <f t="shared" si="78"/>
        <v>7621.7283790134697</v>
      </c>
      <c r="G479" s="24">
        <f t="shared" si="79"/>
        <v>9791.5167319240045</v>
      </c>
      <c r="H479" s="24">
        <f t="shared" si="80"/>
        <v>0</v>
      </c>
      <c r="I479" s="24">
        <f t="shared" si="81"/>
        <v>-9791.5167319240045</v>
      </c>
      <c r="J479" s="25">
        <f t="shared" si="82"/>
        <v>7.9741404289037643E-3</v>
      </c>
      <c r="K479" s="24">
        <f t="shared" si="87"/>
        <v>8302722.4118616944</v>
      </c>
      <c r="L479" s="24">
        <f t="shared" si="83"/>
        <v>8302722.4118616944</v>
      </c>
      <c r="M479" s="24">
        <f t="shared" si="84"/>
        <v>0</v>
      </c>
      <c r="N479" s="24">
        <f>IF(M479&lt;=0,0,IF($E$2-A479&lt;12,(M479-E479)*Dashboard!$B$18,IF($Q$2+A479&gt;=$R$2,MAX(0,M479-E479*POWER(1+$C$2,$E$2-A479))*MAX(Dashboard!$C$18,Dashboard!$B$18),IF($S$2&lt;$R$2,(M479-E479)*0.5*Dashboard!$B$18,(E479*POWER(1+$A$2,$R$2-($Q$2+A479))-E479)*0.5*Dashboard!$B$18+MAX(0,M479-E479*POWER(1+$A$2,$R$2-($Q$2+A479))*POWER(1+$C$2,$S$2-$R$2))*MAX(Dashboard!$C$18,Dashboard!$B$18)))))</f>
        <v>0</v>
      </c>
    </row>
    <row r="480" spans="1:14" x14ac:dyDescent="0.2">
      <c r="A480" s="22">
        <f t="shared" si="85"/>
        <v>475</v>
      </c>
      <c r="B480" s="23">
        <f t="shared" si="86"/>
        <v>57.638127853881805</v>
      </c>
      <c r="C480" t="str">
        <f t="shared" si="77"/>
        <v>57 y 7.66 m</v>
      </c>
      <c r="D480" s="24">
        <f>IF(A480&gt;=$E$2,IF(A480&lt;$E$2+$H$2,$P$2,0),IF(B480&lt;Dashboard!$I$6,0,IF(A480&gt;=$F$2,Dashboard!$C$23*POWER(1+$C$2,A480-$F$2),Dashboard!$C$23)))</f>
        <v>0</v>
      </c>
      <c r="E480" s="24">
        <f>IF(A480&gt;=$F$2,0,IF(A480=0,Dashboard!$G$10,IF(B480&lt;Dashboard!$I$6,IF($J$2&lt;=Dashboard!$H$10,Dashboard!$H$10,MAX(Dashboard!$H$10,MIN($J$2,Dashboard!$H$10*POWER($J$2/Dashboard!$H$10,A480/$D$2)))),$I$2-D480-Dashboard!$I$10-Dashboard!$J$10-Dashboard!$F$10*$I$2)))</f>
        <v>0</v>
      </c>
      <c r="F480" s="24">
        <f t="shared" si="78"/>
        <v>7637.4278915674513</v>
      </c>
      <c r="G480" s="24">
        <f t="shared" si="79"/>
        <v>9813.9446070011218</v>
      </c>
      <c r="H480" s="24">
        <f t="shared" si="80"/>
        <v>0</v>
      </c>
      <c r="I480" s="24">
        <f t="shared" si="81"/>
        <v>-9813.9446070011218</v>
      </c>
      <c r="J480" s="25">
        <f t="shared" si="82"/>
        <v>7.9741404289037643E-3</v>
      </c>
      <c r="K480" s="24">
        <f t="shared" si="87"/>
        <v>8359037.2839366272</v>
      </c>
      <c r="L480" s="24">
        <f t="shared" si="83"/>
        <v>8359037.2839366272</v>
      </c>
      <c r="M480" s="24">
        <f t="shared" si="84"/>
        <v>0</v>
      </c>
      <c r="N480" s="24">
        <f>IF(M480&lt;=0,0,IF($E$2-A480&lt;12,(M480-E480)*Dashboard!$B$18,IF($Q$2+A480&gt;=$R$2,MAX(0,M480-E480*POWER(1+$C$2,$E$2-A480))*MAX(Dashboard!$C$18,Dashboard!$B$18),IF($S$2&lt;$R$2,(M480-E480)*0.5*Dashboard!$B$18,(E480*POWER(1+$A$2,$R$2-($Q$2+A480))-E480)*0.5*Dashboard!$B$18+MAX(0,M480-E480*POWER(1+$A$2,$R$2-($Q$2+A480))*POWER(1+$C$2,$S$2-$R$2))*MAX(Dashboard!$C$18,Dashboard!$B$18)))))</f>
        <v>0</v>
      </c>
    </row>
    <row r="481" spans="1:14" x14ac:dyDescent="0.2">
      <c r="A481" s="22">
        <f t="shared" si="85"/>
        <v>476</v>
      </c>
      <c r="B481" s="23">
        <f t="shared" si="86"/>
        <v>57.721461187215141</v>
      </c>
      <c r="C481" t="str">
        <f t="shared" si="77"/>
        <v>57 y 8.66 m</v>
      </c>
      <c r="D481" s="24">
        <f>IF(A481&gt;=$E$2,IF(A481&lt;$E$2+$H$2,$P$2,0),IF(B481&lt;Dashboard!$I$6,0,IF(A481&gt;=$F$2,Dashboard!$C$23*POWER(1+$C$2,A481-$F$2),Dashboard!$C$23)))</f>
        <v>0</v>
      </c>
      <c r="E481" s="24">
        <f>IF(A481&gt;=$F$2,0,IF(A481=0,Dashboard!$G$10,IF(B481&lt;Dashboard!$I$6,IF($J$2&lt;=Dashboard!$H$10,Dashboard!$H$10,MAX(Dashboard!$H$10,MIN($J$2,Dashboard!$H$10*POWER($J$2/Dashboard!$H$10,A481/$D$2)))),$I$2-D481-Dashboard!$I$10-Dashboard!$J$10-Dashboard!$F$10*$I$2)))</f>
        <v>0</v>
      </c>
      <c r="F481" s="24">
        <f t="shared" si="78"/>
        <v>7653.159742546809</v>
      </c>
      <c r="G481" s="24">
        <f t="shared" si="79"/>
        <v>9836.4186798287756</v>
      </c>
      <c r="H481" s="24">
        <f t="shared" si="80"/>
        <v>0</v>
      </c>
      <c r="I481" s="24">
        <f t="shared" si="81"/>
        <v>-9836.4186798287756</v>
      </c>
      <c r="J481" s="25">
        <f t="shared" si="82"/>
        <v>7.9741404289037643E-3</v>
      </c>
      <c r="K481" s="24">
        <f t="shared" si="87"/>
        <v>8415778.5654254816</v>
      </c>
      <c r="L481" s="24">
        <f t="shared" si="83"/>
        <v>8415778.5654254816</v>
      </c>
      <c r="M481" s="24">
        <f t="shared" si="84"/>
        <v>0</v>
      </c>
      <c r="N481" s="24">
        <f>IF(M481&lt;=0,0,IF($E$2-A481&lt;12,(M481-E481)*Dashboard!$B$18,IF($Q$2+A481&gt;=$R$2,MAX(0,M481-E481*POWER(1+$C$2,$E$2-A481))*MAX(Dashboard!$C$18,Dashboard!$B$18),IF($S$2&lt;$R$2,(M481-E481)*0.5*Dashboard!$B$18,(E481*POWER(1+$A$2,$R$2-($Q$2+A481))-E481)*0.5*Dashboard!$B$18+MAX(0,M481-E481*POWER(1+$A$2,$R$2-($Q$2+A481))*POWER(1+$C$2,$S$2-$R$2))*MAX(Dashboard!$C$18,Dashboard!$B$18)))))</f>
        <v>0</v>
      </c>
    </row>
    <row r="482" spans="1:14" x14ac:dyDescent="0.2">
      <c r="A482" s="22">
        <f t="shared" si="85"/>
        <v>477</v>
      </c>
      <c r="B482" s="23">
        <f t="shared" si="86"/>
        <v>57.804794520548477</v>
      </c>
      <c r="C482" t="str">
        <f t="shared" si="77"/>
        <v>57 y 9.66 m</v>
      </c>
      <c r="D482" s="24">
        <f>IF(A482&gt;=$E$2,IF(A482&lt;$E$2+$H$2,$P$2,0),IF(B482&lt;Dashboard!$I$6,0,IF(A482&gt;=$F$2,Dashboard!$C$23*POWER(1+$C$2,A482-$F$2),Dashboard!$C$23)))</f>
        <v>0</v>
      </c>
      <c r="E482" s="24">
        <f>IF(A482&gt;=$F$2,0,IF(A482=0,Dashboard!$G$10,IF(B482&lt;Dashboard!$I$6,IF($J$2&lt;=Dashboard!$H$10,Dashboard!$H$10,MAX(Dashboard!$H$10,MIN($J$2,Dashboard!$H$10*POWER($J$2/Dashboard!$H$10,A482/$D$2)))),$I$2-D482-Dashboard!$I$10-Dashboard!$J$10-Dashboard!$F$10*$I$2)))</f>
        <v>0</v>
      </c>
      <c r="F482" s="24">
        <f t="shared" si="78"/>
        <v>7668.9239985634076</v>
      </c>
      <c r="G482" s="24">
        <f t="shared" si="79"/>
        <v>9858.9390455667726</v>
      </c>
      <c r="H482" s="24">
        <f t="shared" si="80"/>
        <v>0</v>
      </c>
      <c r="I482" s="24">
        <f t="shared" si="81"/>
        <v>-9858.9390455667726</v>
      </c>
      <c r="J482" s="25">
        <f t="shared" si="82"/>
        <v>7.9741404289037643E-3</v>
      </c>
      <c r="K482" s="24">
        <f t="shared" si="87"/>
        <v>8472949.6099147461</v>
      </c>
      <c r="L482" s="24">
        <f t="shared" si="83"/>
        <v>8472949.6099147461</v>
      </c>
      <c r="M482" s="24">
        <f t="shared" si="84"/>
        <v>0</v>
      </c>
      <c r="N482" s="24">
        <f>IF(M482&lt;=0,0,IF($E$2-A482&lt;12,(M482-E482)*Dashboard!$B$18,IF($Q$2+A482&gt;=$R$2,MAX(0,M482-E482*POWER(1+$C$2,$E$2-A482))*MAX(Dashboard!$C$18,Dashboard!$B$18),IF($S$2&lt;$R$2,(M482-E482)*0.5*Dashboard!$B$18,(E482*POWER(1+$A$2,$R$2-($Q$2+A482))-E482)*0.5*Dashboard!$B$18+MAX(0,M482-E482*POWER(1+$A$2,$R$2-($Q$2+A482))*POWER(1+$C$2,$S$2-$R$2))*MAX(Dashboard!$C$18,Dashboard!$B$18)))))</f>
        <v>0</v>
      </c>
    </row>
    <row r="483" spans="1:14" x14ac:dyDescent="0.2">
      <c r="A483" s="22">
        <f t="shared" si="85"/>
        <v>478</v>
      </c>
      <c r="B483" s="23">
        <f t="shared" si="86"/>
        <v>57.888127853881812</v>
      </c>
      <c r="C483" t="str">
        <f t="shared" si="77"/>
        <v>57 y 10.66 m</v>
      </c>
      <c r="D483" s="24">
        <f>IF(A483&gt;=$E$2,IF(A483&lt;$E$2+$H$2,$P$2,0),IF(B483&lt;Dashboard!$I$6,0,IF(A483&gt;=$F$2,Dashboard!$C$23*POWER(1+$C$2,A483-$F$2),Dashboard!$C$23)))</f>
        <v>0</v>
      </c>
      <c r="E483" s="24">
        <f>IF(A483&gt;=$F$2,0,IF(A483=0,Dashboard!$G$10,IF(B483&lt;Dashboard!$I$6,IF($J$2&lt;=Dashboard!$H$10,Dashboard!$H$10,MAX(Dashboard!$H$10,MIN($J$2,Dashboard!$H$10*POWER($J$2/Dashboard!$H$10,A483/$D$2)))),$I$2-D483-Dashboard!$I$10-Dashboard!$J$10-Dashboard!$F$10*$I$2)))</f>
        <v>0</v>
      </c>
      <c r="F483" s="24">
        <f t="shared" si="78"/>
        <v>7684.7207263663176</v>
      </c>
      <c r="G483" s="24">
        <f t="shared" si="79"/>
        <v>9881.5057995709303</v>
      </c>
      <c r="H483" s="24">
        <f t="shared" si="80"/>
        <v>0</v>
      </c>
      <c r="I483" s="24">
        <f t="shared" si="81"/>
        <v>-9881.5057995709303</v>
      </c>
      <c r="J483" s="25">
        <f t="shared" si="82"/>
        <v>7.9741404289037643E-3</v>
      </c>
      <c r="K483" s="24">
        <f t="shared" si="87"/>
        <v>8530553.797636766</v>
      </c>
      <c r="L483" s="24">
        <f t="shared" si="83"/>
        <v>8530553.797636766</v>
      </c>
      <c r="M483" s="24">
        <f t="shared" si="84"/>
        <v>0</v>
      </c>
      <c r="N483" s="24">
        <f>IF(M483&lt;=0,0,IF($E$2-A483&lt;12,(M483-E483)*Dashboard!$B$18,IF($Q$2+A483&gt;=$R$2,MAX(0,M483-E483*POWER(1+$C$2,$E$2-A483))*MAX(Dashboard!$C$18,Dashboard!$B$18),IF($S$2&lt;$R$2,(M483-E483)*0.5*Dashboard!$B$18,(E483*POWER(1+$A$2,$R$2-($Q$2+A483))-E483)*0.5*Dashboard!$B$18+MAX(0,M483-E483*POWER(1+$A$2,$R$2-($Q$2+A483))*POWER(1+$C$2,$S$2-$R$2))*MAX(Dashboard!$C$18,Dashboard!$B$18)))))</f>
        <v>0</v>
      </c>
    </row>
    <row r="484" spans="1:14" x14ac:dyDescent="0.2">
      <c r="A484" s="22">
        <f t="shared" si="85"/>
        <v>479</v>
      </c>
      <c r="B484" s="23">
        <f t="shared" si="86"/>
        <v>57.971461187215148</v>
      </c>
      <c r="C484" t="str">
        <f t="shared" si="77"/>
        <v>57 y 11.66 m</v>
      </c>
      <c r="D484" s="24">
        <f>IF(A484&gt;=$E$2,IF(A484&lt;$E$2+$H$2,$P$2,0),IF(B484&lt;Dashboard!$I$6,0,IF(A484&gt;=$F$2,Dashboard!$C$23*POWER(1+$C$2,A484-$F$2),Dashboard!$C$23)))</f>
        <v>0</v>
      </c>
      <c r="E484" s="24">
        <f>IF(A484&gt;=$F$2,0,IF(A484=0,Dashboard!$G$10,IF(B484&lt;Dashboard!$I$6,IF($J$2&lt;=Dashboard!$H$10,Dashboard!$H$10,MAX(Dashboard!$H$10,MIN($J$2,Dashboard!$H$10*POWER($J$2/Dashboard!$H$10,A484/$D$2)))),$I$2-D484-Dashboard!$I$10-Dashboard!$J$10-Dashboard!$F$10*$I$2)))</f>
        <v>0</v>
      </c>
      <c r="F484" s="24">
        <f t="shared" si="78"/>
        <v>7700.5499928420977</v>
      </c>
      <c r="G484" s="24">
        <f t="shared" si="79"/>
        <v>9904.1190373934733</v>
      </c>
      <c r="H484" s="24">
        <f t="shared" si="80"/>
        <v>0</v>
      </c>
      <c r="I484" s="24">
        <f t="shared" si="81"/>
        <v>-9904.1190373934733</v>
      </c>
      <c r="J484" s="25">
        <f t="shared" si="82"/>
        <v>7.9741404289037643E-3</v>
      </c>
      <c r="K484" s="24">
        <f t="shared" si="87"/>
        <v>8588594.535682017</v>
      </c>
      <c r="L484" s="24">
        <f t="shared" si="83"/>
        <v>8588594.535682017</v>
      </c>
      <c r="M484" s="24">
        <f t="shared" si="84"/>
        <v>0</v>
      </c>
      <c r="N484" s="24">
        <f>IF(M484&lt;=0,0,IF($E$2-A484&lt;12,(M484-E484)*Dashboard!$B$18,IF($Q$2+A484&gt;=$R$2,MAX(0,M484-E484*POWER(1+$C$2,$E$2-A484))*MAX(Dashboard!$C$18,Dashboard!$B$18),IF($S$2&lt;$R$2,(M484-E484)*0.5*Dashboard!$B$18,(E484*POWER(1+$A$2,$R$2-($Q$2+A484))-E484)*0.5*Dashboard!$B$18+MAX(0,M484-E484*POWER(1+$A$2,$R$2-($Q$2+A484))*POWER(1+$C$2,$S$2-$R$2))*MAX(Dashboard!$C$18,Dashboard!$B$18)))))</f>
        <v>0</v>
      </c>
    </row>
    <row r="485" spans="1:14" x14ac:dyDescent="0.2">
      <c r="A485" s="22">
        <f t="shared" si="85"/>
        <v>480</v>
      </c>
      <c r="B485" s="23">
        <f t="shared" si="86"/>
        <v>58.054794520548484</v>
      </c>
      <c r="C485" t="str">
        <f t="shared" si="77"/>
        <v>58 y 0.66 m</v>
      </c>
      <c r="D485" s="24">
        <f>IF(A485&gt;=$E$2,IF(A485&lt;$E$2+$H$2,$P$2,0),IF(B485&lt;Dashboard!$I$6,0,IF(A485&gt;=$F$2,Dashboard!$C$23*POWER(1+$C$2,A485-$F$2),Dashboard!$C$23)))</f>
        <v>0</v>
      </c>
      <c r="E485" s="24">
        <f>IF(A485&gt;=$F$2,0,IF(A485=0,Dashboard!$G$10,IF(B485&lt;Dashboard!$I$6,IF($J$2&lt;=Dashboard!$H$10,Dashboard!$H$10,MAX(Dashboard!$H$10,MIN($J$2,Dashboard!$H$10*POWER($J$2/Dashboard!$H$10,A485/$D$2)))),$I$2-D485-Dashboard!$I$10-Dashboard!$J$10-Dashboard!$F$10*$I$2)))</f>
        <v>0</v>
      </c>
      <c r="F485" s="24">
        <f t="shared" si="78"/>
        <v>7716.4118650150904</v>
      </c>
      <c r="G485" s="24">
        <f t="shared" si="79"/>
        <v>9926.7788547834625</v>
      </c>
      <c r="H485" s="24">
        <f t="shared" si="80"/>
        <v>0</v>
      </c>
      <c r="I485" s="24">
        <f t="shared" si="81"/>
        <v>-9926.7788547834625</v>
      </c>
      <c r="J485" s="25">
        <f t="shared" si="82"/>
        <v>7.9741404289037643E-3</v>
      </c>
      <c r="K485" s="24">
        <f t="shared" si="87"/>
        <v>8647075.2582130823</v>
      </c>
      <c r="L485" s="24">
        <f t="shared" si="83"/>
        <v>8647075.2582130823</v>
      </c>
      <c r="M485" s="24">
        <f t="shared" si="84"/>
        <v>0</v>
      </c>
      <c r="N485" s="24">
        <f>IF(M485&lt;=0,0,IF($E$2-A485&lt;12,(M485-E485)*Dashboard!$B$18,IF($Q$2+A485&gt;=$R$2,MAX(0,M485-E485*POWER(1+$C$2,$E$2-A485))*MAX(Dashboard!$C$18,Dashboard!$B$18),IF($S$2&lt;$R$2,(M485-E485)*0.5*Dashboard!$B$18,(E485*POWER(1+$A$2,$R$2-($Q$2+A485))-E485)*0.5*Dashboard!$B$18+MAX(0,M485-E485*POWER(1+$A$2,$R$2-($Q$2+A485))*POWER(1+$C$2,$S$2-$R$2))*MAX(Dashboard!$C$18,Dashboard!$B$18)))))</f>
        <v>0</v>
      </c>
    </row>
    <row r="486" spans="1:14" x14ac:dyDescent="0.2">
      <c r="A486" s="22">
        <f t="shared" si="85"/>
        <v>481</v>
      </c>
      <c r="B486" s="23">
        <f t="shared" si="86"/>
        <v>58.138127853881819</v>
      </c>
      <c r="C486" t="str">
        <f t="shared" si="77"/>
        <v>58 y 1.66 m</v>
      </c>
      <c r="D486" s="24">
        <f>IF(A486&gt;=$E$2,IF(A486&lt;$E$2+$H$2,$P$2,0),IF(B486&lt;Dashboard!$I$6,0,IF(A486&gt;=$F$2,Dashboard!$C$23*POWER(1+$C$2,A486-$F$2),Dashboard!$C$23)))</f>
        <v>0</v>
      </c>
      <c r="E486" s="24">
        <f>IF(A486&gt;=$F$2,0,IF(A486=0,Dashboard!$G$10,IF(B486&lt;Dashboard!$I$6,IF($J$2&lt;=Dashboard!$H$10,Dashboard!$H$10,MAX(Dashboard!$H$10,MIN($J$2,Dashboard!$H$10*POWER($J$2/Dashboard!$H$10,A486/$D$2)))),$I$2-D486-Dashboard!$I$10-Dashboard!$J$10-Dashboard!$F$10*$I$2)))</f>
        <v>0</v>
      </c>
      <c r="F486" s="24">
        <f t="shared" si="78"/>
        <v>7732.3064100476931</v>
      </c>
      <c r="G486" s="24">
        <f t="shared" si="79"/>
        <v>9949.4853476871813</v>
      </c>
      <c r="H486" s="24">
        <f t="shared" si="80"/>
        <v>0</v>
      </c>
      <c r="I486" s="24">
        <f t="shared" si="81"/>
        <v>-9949.4853476871813</v>
      </c>
      <c r="J486" s="25">
        <f t="shared" si="82"/>
        <v>7.9741404289037643E-3</v>
      </c>
      <c r="K486" s="24">
        <f t="shared" si="87"/>
        <v>8705999.4266803283</v>
      </c>
      <c r="L486" s="24">
        <f t="shared" si="83"/>
        <v>8705999.4266803283</v>
      </c>
      <c r="M486" s="24">
        <f t="shared" si="84"/>
        <v>0</v>
      </c>
      <c r="N486" s="24">
        <f>IF(M486&lt;=0,0,IF($E$2-A486&lt;12,(M486-E486)*Dashboard!$B$18,IF($Q$2+A486&gt;=$R$2,MAX(0,M486-E486*POWER(1+$C$2,$E$2-A486))*MAX(Dashboard!$C$18,Dashboard!$B$18),IF($S$2&lt;$R$2,(M486-E486)*0.5*Dashboard!$B$18,(E486*POWER(1+$A$2,$R$2-($Q$2+A486))-E486)*0.5*Dashboard!$B$18+MAX(0,M486-E486*POWER(1+$A$2,$R$2-($Q$2+A486))*POWER(1+$C$2,$S$2-$R$2))*MAX(Dashboard!$C$18,Dashboard!$B$18)))))</f>
        <v>0</v>
      </c>
    </row>
    <row r="487" spans="1:14" x14ac:dyDescent="0.2">
      <c r="A487" s="22">
        <f t="shared" si="85"/>
        <v>482</v>
      </c>
      <c r="B487" s="23">
        <f t="shared" si="86"/>
        <v>58.221461187215155</v>
      </c>
      <c r="C487" t="str">
        <f t="shared" si="77"/>
        <v>58 y 2.66 m</v>
      </c>
      <c r="D487" s="24">
        <f>IF(A487&gt;=$E$2,IF(A487&lt;$E$2+$H$2,$P$2,0),IF(B487&lt;Dashboard!$I$6,0,IF(A487&gt;=$F$2,Dashboard!$C$23*POWER(1+$C$2,A487-$F$2),Dashboard!$C$23)))</f>
        <v>0</v>
      </c>
      <c r="E487" s="24">
        <f>IF(A487&gt;=$F$2,0,IF(A487=0,Dashboard!$G$10,IF(B487&lt;Dashboard!$I$6,IF($J$2&lt;=Dashboard!$H$10,Dashboard!$H$10,MAX(Dashboard!$H$10,MIN($J$2,Dashboard!$H$10*POWER($J$2/Dashboard!$H$10,A487/$D$2)))),$I$2-D487-Dashboard!$I$10-Dashboard!$J$10-Dashboard!$F$10*$I$2)))</f>
        <v>0</v>
      </c>
      <c r="F487" s="24">
        <f t="shared" si="78"/>
        <v>7748.2336952406467</v>
      </c>
      <c r="G487" s="24">
        <f t="shared" si="79"/>
        <v>9972.2386122485423</v>
      </c>
      <c r="H487" s="24">
        <f t="shared" si="80"/>
        <v>0</v>
      </c>
      <c r="I487" s="24">
        <f t="shared" si="81"/>
        <v>-9972.2386122485423</v>
      </c>
      <c r="J487" s="25">
        <f t="shared" si="82"/>
        <v>7.9741404289037643E-3</v>
      </c>
      <c r="K487" s="24">
        <f t="shared" si="87"/>
        <v>8765370.5300393011</v>
      </c>
      <c r="L487" s="24">
        <f t="shared" si="83"/>
        <v>8765370.5300393011</v>
      </c>
      <c r="M487" s="24">
        <f t="shared" si="84"/>
        <v>0</v>
      </c>
      <c r="N487" s="24">
        <f>IF(M487&lt;=0,0,IF($E$2-A487&lt;12,(M487-E487)*Dashboard!$B$18,IF($Q$2+A487&gt;=$R$2,MAX(0,M487-E487*POWER(1+$C$2,$E$2-A487))*MAX(Dashboard!$C$18,Dashboard!$B$18),IF($S$2&lt;$R$2,(M487-E487)*0.5*Dashboard!$B$18,(E487*POWER(1+$A$2,$R$2-($Q$2+A487))-E487)*0.5*Dashboard!$B$18+MAX(0,M487-E487*POWER(1+$A$2,$R$2-($Q$2+A487))*POWER(1+$C$2,$S$2-$R$2))*MAX(Dashboard!$C$18,Dashboard!$B$18)))))</f>
        <v>0</v>
      </c>
    </row>
    <row r="488" spans="1:14" x14ac:dyDescent="0.2">
      <c r="A488" s="22">
        <f t="shared" si="85"/>
        <v>483</v>
      </c>
      <c r="B488" s="23">
        <f t="shared" si="86"/>
        <v>58.304794520548491</v>
      </c>
      <c r="C488" t="str">
        <f t="shared" si="77"/>
        <v>58 y 3.66 m</v>
      </c>
      <c r="D488" s="24">
        <f>IF(A488&gt;=$E$2,IF(A488&lt;$E$2+$H$2,$P$2,0),IF(B488&lt;Dashboard!$I$6,0,IF(A488&gt;=$F$2,Dashboard!$C$23*POWER(1+$C$2,A488-$F$2),Dashboard!$C$23)))</f>
        <v>0</v>
      </c>
      <c r="E488" s="24">
        <f>IF(A488&gt;=$F$2,0,IF(A488=0,Dashboard!$G$10,IF(B488&lt;Dashboard!$I$6,IF($J$2&lt;=Dashboard!$H$10,Dashboard!$H$10,MAX(Dashboard!$H$10,MIN($J$2,Dashboard!$H$10*POWER($J$2/Dashboard!$H$10,A488/$D$2)))),$I$2-D488-Dashboard!$I$10-Dashboard!$J$10-Dashboard!$F$10*$I$2)))</f>
        <v>0</v>
      </c>
      <c r="F488" s="24">
        <f t="shared" si="78"/>
        <v>7764.1937880333235</v>
      </c>
      <c r="G488" s="24">
        <f t="shared" si="79"/>
        <v>9995.0387448095098</v>
      </c>
      <c r="H488" s="24">
        <f t="shared" si="80"/>
        <v>0</v>
      </c>
      <c r="I488" s="24">
        <f t="shared" si="81"/>
        <v>-9995.0387448095098</v>
      </c>
      <c r="J488" s="25">
        <f t="shared" si="82"/>
        <v>7.9741404289037643E-3</v>
      </c>
      <c r="K488" s="24">
        <f t="shared" si="87"/>
        <v>8825192.0849698558</v>
      </c>
      <c r="L488" s="24">
        <f t="shared" si="83"/>
        <v>8825192.0849698558</v>
      </c>
      <c r="M488" s="24">
        <f t="shared" si="84"/>
        <v>0</v>
      </c>
      <c r="N488" s="24">
        <f>IF(M488&lt;=0,0,IF($E$2-A488&lt;12,(M488-E488)*Dashboard!$B$18,IF($Q$2+A488&gt;=$R$2,MAX(0,M488-E488*POWER(1+$C$2,$E$2-A488))*MAX(Dashboard!$C$18,Dashboard!$B$18),IF($S$2&lt;$R$2,(M488-E488)*0.5*Dashboard!$B$18,(E488*POWER(1+$A$2,$R$2-($Q$2+A488))-E488)*0.5*Dashboard!$B$18+MAX(0,M488-E488*POWER(1+$A$2,$R$2-($Q$2+A488))*POWER(1+$C$2,$S$2-$R$2))*MAX(Dashboard!$C$18,Dashboard!$B$18)))))</f>
        <v>0</v>
      </c>
    </row>
    <row r="489" spans="1:14" x14ac:dyDescent="0.2">
      <c r="A489" s="22">
        <f t="shared" si="85"/>
        <v>484</v>
      </c>
      <c r="B489" s="23">
        <f t="shared" si="86"/>
        <v>58.388127853881826</v>
      </c>
      <c r="C489" t="str">
        <f t="shared" si="77"/>
        <v>58 y 4.66 m</v>
      </c>
      <c r="D489" s="24">
        <f>IF(A489&gt;=$E$2,IF(A489&lt;$E$2+$H$2,$P$2,0),IF(B489&lt;Dashboard!$I$6,0,IF(A489&gt;=$F$2,Dashboard!$C$23*POWER(1+$C$2,A489-$F$2),Dashboard!$C$23)))</f>
        <v>0</v>
      </c>
      <c r="E489" s="24">
        <f>IF(A489&gt;=$F$2,0,IF(A489=0,Dashboard!$G$10,IF(B489&lt;Dashboard!$I$6,IF($J$2&lt;=Dashboard!$H$10,Dashboard!$H$10,MAX(Dashboard!$H$10,MIN($J$2,Dashboard!$H$10*POWER($J$2/Dashboard!$H$10,A489/$D$2)))),$I$2-D489-Dashboard!$I$10-Dashboard!$J$10-Dashboard!$F$10*$I$2)))</f>
        <v>0</v>
      </c>
      <c r="F489" s="24">
        <f t="shared" si="78"/>
        <v>7780.1867560040009</v>
      </c>
      <c r="G489" s="24">
        <f t="shared" si="79"/>
        <v>10017.885841910478</v>
      </c>
      <c r="H489" s="24">
        <f t="shared" si="80"/>
        <v>0</v>
      </c>
      <c r="I489" s="24">
        <f t="shared" si="81"/>
        <v>-10017.885841910478</v>
      </c>
      <c r="J489" s="25">
        <f t="shared" si="82"/>
        <v>7.9741404289037643E-3</v>
      </c>
      <c r="K489" s="24">
        <f t="shared" si="87"/>
        <v>8885467.6360970419</v>
      </c>
      <c r="L489" s="24">
        <f t="shared" si="83"/>
        <v>8885467.6360970419</v>
      </c>
      <c r="M489" s="24">
        <f t="shared" si="84"/>
        <v>0</v>
      </c>
      <c r="N489" s="24">
        <f>IF(M489&lt;=0,0,IF($E$2-A489&lt;12,(M489-E489)*Dashboard!$B$18,IF($Q$2+A489&gt;=$R$2,MAX(0,M489-E489*POWER(1+$C$2,$E$2-A489))*MAX(Dashboard!$C$18,Dashboard!$B$18),IF($S$2&lt;$R$2,(M489-E489)*0.5*Dashboard!$B$18,(E489*POWER(1+$A$2,$R$2-($Q$2+A489))-E489)*0.5*Dashboard!$B$18+MAX(0,M489-E489*POWER(1+$A$2,$R$2-($Q$2+A489))*POWER(1+$C$2,$S$2-$R$2))*MAX(Dashboard!$C$18,Dashboard!$B$18)))))</f>
        <v>0</v>
      </c>
    </row>
    <row r="490" spans="1:14" x14ac:dyDescent="0.2">
      <c r="A490" s="22">
        <f t="shared" si="85"/>
        <v>485</v>
      </c>
      <c r="B490" s="23">
        <f t="shared" si="86"/>
        <v>58.471461187215162</v>
      </c>
      <c r="C490" t="str">
        <f t="shared" si="77"/>
        <v>58 y 5.66 m</v>
      </c>
      <c r="D490" s="24">
        <f>IF(A490&gt;=$E$2,IF(A490&lt;$E$2+$H$2,$P$2,0),IF(B490&lt;Dashboard!$I$6,0,IF(A490&gt;=$F$2,Dashboard!$C$23*POWER(1+$C$2,A490-$F$2),Dashboard!$C$23)))</f>
        <v>0</v>
      </c>
      <c r="E490" s="24">
        <f>IF(A490&gt;=$F$2,0,IF(A490=0,Dashboard!$G$10,IF(B490&lt;Dashboard!$I$6,IF($J$2&lt;=Dashboard!$H$10,Dashboard!$H$10,MAX(Dashboard!$H$10,MIN($J$2,Dashboard!$H$10*POWER($J$2/Dashboard!$H$10,A490/$D$2)))),$I$2-D490-Dashboard!$I$10-Dashboard!$J$10-Dashboard!$F$10*$I$2)))</f>
        <v>0</v>
      </c>
      <c r="F490" s="24">
        <f t="shared" si="78"/>
        <v>7796.2126668701676</v>
      </c>
      <c r="G490" s="24">
        <f t="shared" si="79"/>
        <v>10040.780000290715</v>
      </c>
      <c r="H490" s="24">
        <f t="shared" si="80"/>
        <v>0</v>
      </c>
      <c r="I490" s="24">
        <f t="shared" si="81"/>
        <v>-10040.780000290715</v>
      </c>
      <c r="J490" s="25">
        <f t="shared" si="82"/>
        <v>7.9741404289037643E-3</v>
      </c>
      <c r="K490" s="24">
        <f t="shared" si="87"/>
        <v>8946200.7562137321</v>
      </c>
      <c r="L490" s="24">
        <f t="shared" si="83"/>
        <v>8946200.7562137321</v>
      </c>
      <c r="M490" s="24">
        <f t="shared" si="84"/>
        <v>0</v>
      </c>
      <c r="N490" s="24">
        <f>IF(M490&lt;=0,0,IF($E$2-A490&lt;12,(M490-E490)*Dashboard!$B$18,IF($Q$2+A490&gt;=$R$2,MAX(0,M490-E490*POWER(1+$C$2,$E$2-A490))*MAX(Dashboard!$C$18,Dashboard!$B$18),IF($S$2&lt;$R$2,(M490-E490)*0.5*Dashboard!$B$18,(E490*POWER(1+$A$2,$R$2-($Q$2+A490))-E490)*0.5*Dashboard!$B$18+MAX(0,M490-E490*POWER(1+$A$2,$R$2-($Q$2+A490))*POWER(1+$C$2,$S$2-$R$2))*MAX(Dashboard!$C$18,Dashboard!$B$18)))))</f>
        <v>0</v>
      </c>
    </row>
    <row r="491" spans="1:14" x14ac:dyDescent="0.2">
      <c r="A491" s="22">
        <f t="shared" si="85"/>
        <v>486</v>
      </c>
      <c r="B491" s="23">
        <f t="shared" si="86"/>
        <v>58.554794520548498</v>
      </c>
      <c r="C491" t="str">
        <f t="shared" si="77"/>
        <v>58 y 6.66 m</v>
      </c>
      <c r="D491" s="24">
        <f>IF(A491&gt;=$E$2,IF(A491&lt;$E$2+$H$2,$P$2,0),IF(B491&lt;Dashboard!$I$6,0,IF(A491&gt;=$F$2,Dashboard!$C$23*POWER(1+$C$2,A491-$F$2),Dashboard!$C$23)))</f>
        <v>0</v>
      </c>
      <c r="E491" s="24">
        <f>IF(A491&gt;=$F$2,0,IF(A491=0,Dashboard!$G$10,IF(B491&lt;Dashboard!$I$6,IF($J$2&lt;=Dashboard!$H$10,Dashboard!$H$10,MAX(Dashboard!$H$10,MIN($J$2,Dashboard!$H$10*POWER($J$2/Dashboard!$H$10,A491/$D$2)))),$I$2-D491-Dashboard!$I$10-Dashboard!$J$10-Dashboard!$F$10*$I$2)))</f>
        <v>0</v>
      </c>
      <c r="F491" s="24">
        <f t="shared" si="78"/>
        <v>7812.2715884887966</v>
      </c>
      <c r="G491" s="24">
        <f t="shared" si="79"/>
        <v>10063.721316888759</v>
      </c>
      <c r="H491" s="24">
        <f t="shared" si="80"/>
        <v>0</v>
      </c>
      <c r="I491" s="24">
        <f t="shared" si="81"/>
        <v>-10063.721316888759</v>
      </c>
      <c r="J491" s="25">
        <f t="shared" si="82"/>
        <v>7.9741404289037643E-3</v>
      </c>
      <c r="K491" s="24">
        <f t="shared" si="87"/>
        <v>9007395.0465050377</v>
      </c>
      <c r="L491" s="24">
        <f t="shared" si="83"/>
        <v>9007395.0465050377</v>
      </c>
      <c r="M491" s="24">
        <f t="shared" si="84"/>
        <v>0</v>
      </c>
      <c r="N491" s="24">
        <f>IF(M491&lt;=0,0,IF($E$2-A491&lt;12,(M491-E491)*Dashboard!$B$18,IF($Q$2+A491&gt;=$R$2,MAX(0,M491-E491*POWER(1+$C$2,$E$2-A491))*MAX(Dashboard!$C$18,Dashboard!$B$18),IF($S$2&lt;$R$2,(M491-E491)*0.5*Dashboard!$B$18,(E491*POWER(1+$A$2,$R$2-($Q$2+A491))-E491)*0.5*Dashboard!$B$18+MAX(0,M491-E491*POWER(1+$A$2,$R$2-($Q$2+A491))*POWER(1+$C$2,$S$2-$R$2))*MAX(Dashboard!$C$18,Dashboard!$B$18)))))</f>
        <v>0</v>
      </c>
    </row>
    <row r="492" spans="1:14" x14ac:dyDescent="0.2">
      <c r="A492" s="22">
        <f t="shared" si="85"/>
        <v>487</v>
      </c>
      <c r="B492" s="23">
        <f t="shared" si="86"/>
        <v>58.638127853881834</v>
      </c>
      <c r="C492" t="str">
        <f t="shared" si="77"/>
        <v>58 y 7.66 m</v>
      </c>
      <c r="D492" s="24">
        <f>IF(A492&gt;=$E$2,IF(A492&lt;$E$2+$H$2,$P$2,0),IF(B492&lt;Dashboard!$I$6,0,IF(A492&gt;=$F$2,Dashboard!$C$23*POWER(1+$C$2,A492-$F$2),Dashboard!$C$23)))</f>
        <v>0</v>
      </c>
      <c r="E492" s="24">
        <f>IF(A492&gt;=$F$2,0,IF(A492=0,Dashboard!$G$10,IF(B492&lt;Dashboard!$I$6,IF($J$2&lt;=Dashboard!$H$10,Dashboard!$H$10,MAX(Dashboard!$H$10,MIN($J$2,Dashboard!$H$10*POWER($J$2/Dashboard!$H$10,A492/$D$2)))),$I$2-D492-Dashboard!$I$10-Dashboard!$J$10-Dashboard!$F$10*$I$2)))</f>
        <v>0</v>
      </c>
      <c r="F492" s="24">
        <f t="shared" si="78"/>
        <v>7828.3635888566259</v>
      </c>
      <c r="G492" s="24">
        <f t="shared" si="79"/>
        <v>10086.709888842799</v>
      </c>
      <c r="H492" s="24">
        <f t="shared" si="80"/>
        <v>0</v>
      </c>
      <c r="I492" s="24">
        <f t="shared" si="81"/>
        <v>-10086.709888842799</v>
      </c>
      <c r="J492" s="25">
        <f t="shared" si="82"/>
        <v>7.9741404289037643E-3</v>
      </c>
      <c r="K492" s="24">
        <f t="shared" si="87"/>
        <v>9069054.1367745195</v>
      </c>
      <c r="L492" s="24">
        <f t="shared" si="83"/>
        <v>9069054.1367745195</v>
      </c>
      <c r="M492" s="24">
        <f t="shared" si="84"/>
        <v>0</v>
      </c>
      <c r="N492" s="24">
        <f>IF(M492&lt;=0,0,IF($E$2-A492&lt;12,(M492-E492)*Dashboard!$B$18,IF($Q$2+A492&gt;=$R$2,MAX(0,M492-E492*POWER(1+$C$2,$E$2-A492))*MAX(Dashboard!$C$18,Dashboard!$B$18),IF($S$2&lt;$R$2,(M492-E492)*0.5*Dashboard!$B$18,(E492*POWER(1+$A$2,$R$2-($Q$2+A492))-E492)*0.5*Dashboard!$B$18+MAX(0,M492-E492*POWER(1+$A$2,$R$2-($Q$2+A492))*POWER(1+$C$2,$S$2-$R$2))*MAX(Dashboard!$C$18,Dashboard!$B$18)))))</f>
        <v>0</v>
      </c>
    </row>
    <row r="493" spans="1:14" x14ac:dyDescent="0.2">
      <c r="A493" s="22">
        <f t="shared" si="85"/>
        <v>488</v>
      </c>
      <c r="B493" s="23">
        <f t="shared" si="86"/>
        <v>58.721461187215169</v>
      </c>
      <c r="C493" t="str">
        <f t="shared" si="77"/>
        <v>58 y 8.66 m</v>
      </c>
      <c r="D493" s="24">
        <f>IF(A493&gt;=$E$2,IF(A493&lt;$E$2+$H$2,$P$2,0),IF(B493&lt;Dashboard!$I$6,0,IF(A493&gt;=$F$2,Dashboard!$C$23*POWER(1+$C$2,A493-$F$2),Dashboard!$C$23)))</f>
        <v>0</v>
      </c>
      <c r="E493" s="24">
        <f>IF(A493&gt;=$F$2,0,IF(A493=0,Dashboard!$G$10,IF(B493&lt;Dashboard!$I$6,IF($J$2&lt;=Dashboard!$H$10,Dashboard!$H$10,MAX(Dashboard!$H$10,MIN($J$2,Dashboard!$H$10*POWER($J$2/Dashboard!$H$10,A493/$D$2)))),$I$2-D493-Dashboard!$I$10-Dashboard!$J$10-Dashboard!$F$10*$I$2)))</f>
        <v>0</v>
      </c>
      <c r="F493" s="24">
        <f t="shared" si="78"/>
        <v>7844.4887361104702</v>
      </c>
      <c r="G493" s="24">
        <f t="shared" si="79"/>
        <v>10109.745813491149</v>
      </c>
      <c r="H493" s="24">
        <f t="shared" si="80"/>
        <v>0</v>
      </c>
      <c r="I493" s="24">
        <f t="shared" si="81"/>
        <v>-10109.745813491149</v>
      </c>
      <c r="J493" s="25">
        <f t="shared" si="82"/>
        <v>7.9741404289037643E-3</v>
      </c>
      <c r="K493" s="24">
        <f t="shared" si="87"/>
        <v>9131181.6856721826</v>
      </c>
      <c r="L493" s="24">
        <f t="shared" si="83"/>
        <v>9131181.6856721826</v>
      </c>
      <c r="M493" s="24">
        <f t="shared" si="84"/>
        <v>0</v>
      </c>
      <c r="N493" s="24">
        <f>IF(M493&lt;=0,0,IF($E$2-A493&lt;12,(M493-E493)*Dashboard!$B$18,IF($Q$2+A493&gt;=$R$2,MAX(0,M493-E493*POWER(1+$C$2,$E$2-A493))*MAX(Dashboard!$C$18,Dashboard!$B$18),IF($S$2&lt;$R$2,(M493-E493)*0.5*Dashboard!$B$18,(E493*POWER(1+$A$2,$R$2-($Q$2+A493))-E493)*0.5*Dashboard!$B$18+MAX(0,M493-E493*POWER(1+$A$2,$R$2-($Q$2+A493))*POWER(1+$C$2,$S$2-$R$2))*MAX(Dashboard!$C$18,Dashboard!$B$18)))))</f>
        <v>0</v>
      </c>
    </row>
    <row r="494" spans="1:14" x14ac:dyDescent="0.2">
      <c r="A494" s="22">
        <f t="shared" si="85"/>
        <v>489</v>
      </c>
      <c r="B494" s="23">
        <f t="shared" si="86"/>
        <v>58.804794520548505</v>
      </c>
      <c r="C494" t="str">
        <f t="shared" si="77"/>
        <v>58 y 9.66 m</v>
      </c>
      <c r="D494" s="24">
        <f>IF(A494&gt;=$E$2,IF(A494&lt;$E$2+$H$2,$P$2,0),IF(B494&lt;Dashboard!$I$6,0,IF(A494&gt;=$F$2,Dashboard!$C$23*POWER(1+$C$2,A494-$F$2),Dashboard!$C$23)))</f>
        <v>0</v>
      </c>
      <c r="E494" s="24">
        <f>IF(A494&gt;=$F$2,0,IF(A494=0,Dashboard!$G$10,IF(B494&lt;Dashboard!$I$6,IF($J$2&lt;=Dashboard!$H$10,Dashboard!$H$10,MAX(Dashboard!$H$10,MIN($J$2,Dashboard!$H$10*POWER($J$2/Dashboard!$H$10,A494/$D$2)))),$I$2-D494-Dashboard!$I$10-Dashboard!$J$10-Dashboard!$F$10*$I$2)))</f>
        <v>0</v>
      </c>
      <c r="F494" s="24">
        <f t="shared" si="78"/>
        <v>7860.6470985274827</v>
      </c>
      <c r="G494" s="24">
        <f t="shared" si="79"/>
        <v>10132.829188372594</v>
      </c>
      <c r="H494" s="24">
        <f t="shared" si="80"/>
        <v>0</v>
      </c>
      <c r="I494" s="24">
        <f t="shared" si="81"/>
        <v>-10132.829188372594</v>
      </c>
      <c r="J494" s="25">
        <f t="shared" si="82"/>
        <v>7.9741404289037643E-3</v>
      </c>
      <c r="K494" s="24">
        <f t="shared" si="87"/>
        <v>9193781.3809243031</v>
      </c>
      <c r="L494" s="24">
        <f t="shared" si="83"/>
        <v>9193781.3809243031</v>
      </c>
      <c r="M494" s="24">
        <f t="shared" si="84"/>
        <v>0</v>
      </c>
      <c r="N494" s="24">
        <f>IF(M494&lt;=0,0,IF($E$2-A494&lt;12,(M494-E494)*Dashboard!$B$18,IF($Q$2+A494&gt;=$R$2,MAX(0,M494-E494*POWER(1+$C$2,$E$2-A494))*MAX(Dashboard!$C$18,Dashboard!$B$18),IF($S$2&lt;$R$2,(M494-E494)*0.5*Dashboard!$B$18,(E494*POWER(1+$A$2,$R$2-($Q$2+A494))-E494)*0.5*Dashboard!$B$18+MAX(0,M494-E494*POWER(1+$A$2,$R$2-($Q$2+A494))*POWER(1+$C$2,$S$2-$R$2))*MAX(Dashboard!$C$18,Dashboard!$B$18)))))</f>
        <v>0</v>
      </c>
    </row>
    <row r="495" spans="1:14" x14ac:dyDescent="0.2">
      <c r="A495" s="22">
        <f t="shared" si="85"/>
        <v>490</v>
      </c>
      <c r="B495" s="23">
        <f t="shared" si="86"/>
        <v>58.888127853881841</v>
      </c>
      <c r="C495" t="str">
        <f t="shared" si="77"/>
        <v>58 y 10.66 m</v>
      </c>
      <c r="D495" s="24">
        <f>IF(A495&gt;=$E$2,IF(A495&lt;$E$2+$H$2,$P$2,0),IF(B495&lt;Dashboard!$I$6,0,IF(A495&gt;=$F$2,Dashboard!$C$23*POWER(1+$C$2,A495-$F$2),Dashboard!$C$23)))</f>
        <v>0</v>
      </c>
      <c r="E495" s="24">
        <f>IF(A495&gt;=$F$2,0,IF(A495=0,Dashboard!$G$10,IF(B495&lt;Dashboard!$I$6,IF($J$2&lt;=Dashboard!$H$10,Dashboard!$H$10,MAX(Dashboard!$H$10,MIN($J$2,Dashboard!$H$10*POWER($J$2/Dashboard!$H$10,A495/$D$2)))),$I$2-D495-Dashboard!$I$10-Dashboard!$J$10-Dashboard!$F$10*$I$2)))</f>
        <v>0</v>
      </c>
      <c r="F495" s="24">
        <f t="shared" si="78"/>
        <v>7876.838744525463</v>
      </c>
      <c r="G495" s="24">
        <f t="shared" si="79"/>
        <v>10155.960111226852</v>
      </c>
      <c r="H495" s="24">
        <f t="shared" si="80"/>
        <v>0</v>
      </c>
      <c r="I495" s="24">
        <f t="shared" si="81"/>
        <v>-10155.960111226852</v>
      </c>
      <c r="J495" s="25">
        <f t="shared" si="82"/>
        <v>7.9741404289037643E-3</v>
      </c>
      <c r="K495" s="24">
        <f t="shared" si="87"/>
        <v>9256856.9395650905</v>
      </c>
      <c r="L495" s="24">
        <f t="shared" si="83"/>
        <v>9256856.9395650905</v>
      </c>
      <c r="M495" s="24">
        <f t="shared" si="84"/>
        <v>0</v>
      </c>
      <c r="N495" s="24">
        <f>IF(M495&lt;=0,0,IF($E$2-A495&lt;12,(M495-E495)*Dashboard!$B$18,IF($Q$2+A495&gt;=$R$2,MAX(0,M495-E495*POWER(1+$C$2,$E$2-A495))*MAX(Dashboard!$C$18,Dashboard!$B$18),IF($S$2&lt;$R$2,(M495-E495)*0.5*Dashboard!$B$18,(E495*POWER(1+$A$2,$R$2-($Q$2+A495))-E495)*0.5*Dashboard!$B$18+MAX(0,M495-E495*POWER(1+$A$2,$R$2-($Q$2+A495))*POWER(1+$C$2,$S$2-$R$2))*MAX(Dashboard!$C$18,Dashboard!$B$18)))))</f>
        <v>0</v>
      </c>
    </row>
    <row r="496" spans="1:14" x14ac:dyDescent="0.2">
      <c r="A496" s="22">
        <f t="shared" si="85"/>
        <v>491</v>
      </c>
      <c r="B496" s="23">
        <f t="shared" si="86"/>
        <v>58.971461187215176</v>
      </c>
      <c r="C496" t="str">
        <f t="shared" si="77"/>
        <v>58 y 11.66 m</v>
      </c>
      <c r="D496" s="24">
        <f>IF(A496&gt;=$E$2,IF(A496&lt;$E$2+$H$2,$P$2,0),IF(B496&lt;Dashboard!$I$6,0,IF(A496&gt;=$F$2,Dashboard!$C$23*POWER(1+$C$2,A496-$F$2),Dashboard!$C$23)))</f>
        <v>0</v>
      </c>
      <c r="E496" s="24">
        <f>IF(A496&gt;=$F$2,0,IF(A496=0,Dashboard!$G$10,IF(B496&lt;Dashboard!$I$6,IF($J$2&lt;=Dashboard!$H$10,Dashboard!$H$10,MAX(Dashboard!$H$10,MIN($J$2,Dashboard!$H$10*POWER($J$2/Dashboard!$H$10,A496/$D$2)))),$I$2-D496-Dashboard!$I$10-Dashboard!$J$10-Dashboard!$F$10*$I$2)))</f>
        <v>0</v>
      </c>
      <c r="F496" s="24">
        <f t="shared" si="78"/>
        <v>7893.0637426631392</v>
      </c>
      <c r="G496" s="24">
        <f t="shared" si="79"/>
        <v>10179.13867999496</v>
      </c>
      <c r="H496" s="24">
        <f t="shared" si="80"/>
        <v>0</v>
      </c>
      <c r="I496" s="24">
        <f t="shared" si="81"/>
        <v>-10179.13867999496</v>
      </c>
      <c r="J496" s="25">
        <f t="shared" si="82"/>
        <v>7.9741404289037643E-3</v>
      </c>
      <c r="K496" s="24">
        <f t="shared" si="87"/>
        <v>9320412.1081701815</v>
      </c>
      <c r="L496" s="24">
        <f t="shared" si="83"/>
        <v>9320412.1081701815</v>
      </c>
      <c r="M496" s="24">
        <f t="shared" si="84"/>
        <v>0</v>
      </c>
      <c r="N496" s="24">
        <f>IF(M496&lt;=0,0,IF($E$2-A496&lt;12,(M496-E496)*Dashboard!$B$18,IF($Q$2+A496&gt;=$R$2,MAX(0,M496-E496*POWER(1+$C$2,$E$2-A496))*MAX(Dashboard!$C$18,Dashboard!$B$18),IF($S$2&lt;$R$2,(M496-E496)*0.5*Dashboard!$B$18,(E496*POWER(1+$A$2,$R$2-($Q$2+A496))-E496)*0.5*Dashboard!$B$18+MAX(0,M496-E496*POWER(1+$A$2,$R$2-($Q$2+A496))*POWER(1+$C$2,$S$2-$R$2))*MAX(Dashboard!$C$18,Dashboard!$B$18)))))</f>
        <v>0</v>
      </c>
    </row>
    <row r="497" spans="1:14" x14ac:dyDescent="0.2">
      <c r="A497" s="22">
        <f t="shared" si="85"/>
        <v>492</v>
      </c>
      <c r="B497" s="23">
        <f t="shared" si="86"/>
        <v>59.054794520548512</v>
      </c>
      <c r="C497" t="str">
        <f t="shared" si="77"/>
        <v>59 y 0.66 m</v>
      </c>
      <c r="D497" s="24">
        <f>IF(A497&gt;=$E$2,IF(A497&lt;$E$2+$H$2,$P$2,0),IF(B497&lt;Dashboard!$I$6,0,IF(A497&gt;=$F$2,Dashboard!$C$23*POWER(1+$C$2,A497-$F$2),Dashboard!$C$23)))</f>
        <v>0</v>
      </c>
      <c r="E497" s="24">
        <f>IF(A497&gt;=$F$2,0,IF(A497=0,Dashboard!$G$10,IF(B497&lt;Dashboard!$I$6,IF($J$2&lt;=Dashboard!$H$10,Dashboard!$H$10,MAX(Dashboard!$H$10,MIN($J$2,Dashboard!$H$10*POWER($J$2/Dashboard!$H$10,A497/$D$2)))),$I$2-D497-Dashboard!$I$10-Dashboard!$J$10-Dashboard!$F$10*$I$2)))</f>
        <v>0</v>
      </c>
      <c r="F497" s="24">
        <f t="shared" si="78"/>
        <v>7909.3221616404571</v>
      </c>
      <c r="G497" s="24">
        <f t="shared" si="79"/>
        <v>10202.364992819703</v>
      </c>
      <c r="H497" s="24">
        <f t="shared" si="80"/>
        <v>0</v>
      </c>
      <c r="I497" s="24">
        <f t="shared" si="81"/>
        <v>-10202.364992819703</v>
      </c>
      <c r="J497" s="25">
        <f t="shared" si="82"/>
        <v>7.9741404289037643E-3</v>
      </c>
      <c r="K497" s="24">
        <f t="shared" si="87"/>
        <v>9384450.663092006</v>
      </c>
      <c r="L497" s="24">
        <f t="shared" si="83"/>
        <v>9384450.663092006</v>
      </c>
      <c r="M497" s="24">
        <f t="shared" si="84"/>
        <v>0</v>
      </c>
      <c r="N497" s="24">
        <f>IF(M497&lt;=0,0,IF($E$2-A497&lt;12,(M497-E497)*Dashboard!$B$18,IF($Q$2+A497&gt;=$R$2,MAX(0,M497-E497*POWER(1+$C$2,$E$2-A497))*MAX(Dashboard!$C$18,Dashboard!$B$18),IF($S$2&lt;$R$2,(M497-E497)*0.5*Dashboard!$B$18,(E497*POWER(1+$A$2,$R$2-($Q$2+A497))-E497)*0.5*Dashboard!$B$18+MAX(0,M497-E497*POWER(1+$A$2,$R$2-($Q$2+A497))*POWER(1+$C$2,$S$2-$R$2))*MAX(Dashboard!$C$18,Dashboard!$B$18)))))</f>
        <v>0</v>
      </c>
    </row>
    <row r="498" spans="1:14" x14ac:dyDescent="0.2">
      <c r="A498" s="22">
        <f t="shared" si="85"/>
        <v>493</v>
      </c>
      <c r="B498" s="23">
        <f t="shared" si="86"/>
        <v>59.138127853881848</v>
      </c>
      <c r="C498" t="str">
        <f t="shared" si="77"/>
        <v>59 y 1.66 m</v>
      </c>
      <c r="D498" s="24">
        <f>IF(A498&gt;=$E$2,IF(A498&lt;$E$2+$H$2,$P$2,0),IF(B498&lt;Dashboard!$I$6,0,IF(A498&gt;=$F$2,Dashboard!$C$23*POWER(1+$C$2,A498-$F$2),Dashboard!$C$23)))</f>
        <v>0</v>
      </c>
      <c r="E498" s="24">
        <f>IF(A498&gt;=$F$2,0,IF(A498=0,Dashboard!$G$10,IF(B498&lt;Dashboard!$I$6,IF($J$2&lt;=Dashboard!$H$10,Dashboard!$H$10,MAX(Dashboard!$H$10,MIN($J$2,Dashboard!$H$10*POWER($J$2/Dashboard!$H$10,A498/$D$2)))),$I$2-D498-Dashboard!$I$10-Dashboard!$J$10-Dashboard!$F$10*$I$2)))</f>
        <v>0</v>
      </c>
      <c r="F498" s="24">
        <f t="shared" si="78"/>
        <v>7925.614070298876</v>
      </c>
      <c r="G498" s="24">
        <f t="shared" si="79"/>
        <v>10225.639148046013</v>
      </c>
      <c r="H498" s="24">
        <f t="shared" si="80"/>
        <v>0</v>
      </c>
      <c r="I498" s="24">
        <f t="shared" si="81"/>
        <v>-10225.639148046013</v>
      </c>
      <c r="J498" s="25">
        <f t="shared" si="82"/>
        <v>7.9741404289037643E-3</v>
      </c>
      <c r="K498" s="24">
        <f t="shared" si="87"/>
        <v>9448976.4106970336</v>
      </c>
      <c r="L498" s="24">
        <f t="shared" si="83"/>
        <v>9448976.4106970336</v>
      </c>
      <c r="M498" s="24">
        <f t="shared" si="84"/>
        <v>0</v>
      </c>
      <c r="N498" s="24">
        <f>IF(M498&lt;=0,0,IF($E$2-A498&lt;12,(M498-E498)*Dashboard!$B$18,IF($Q$2+A498&gt;=$R$2,MAX(0,M498-E498*POWER(1+$C$2,$E$2-A498))*MAX(Dashboard!$C$18,Dashboard!$B$18),IF($S$2&lt;$R$2,(M498-E498)*0.5*Dashboard!$B$18,(E498*POWER(1+$A$2,$R$2-($Q$2+A498))-E498)*0.5*Dashboard!$B$18+MAX(0,M498-E498*POWER(1+$A$2,$R$2-($Q$2+A498))*POWER(1+$C$2,$S$2-$R$2))*MAX(Dashboard!$C$18,Dashboard!$B$18)))))</f>
        <v>0</v>
      </c>
    </row>
    <row r="499" spans="1:14" x14ac:dyDescent="0.2">
      <c r="A499" s="22">
        <f t="shared" si="85"/>
        <v>494</v>
      </c>
      <c r="B499" s="23">
        <f t="shared" si="86"/>
        <v>59.221461187215183</v>
      </c>
      <c r="C499" t="str">
        <f t="shared" si="77"/>
        <v>59 y 2.66 m</v>
      </c>
      <c r="D499" s="24">
        <f>IF(A499&gt;=$E$2,IF(A499&lt;$E$2+$H$2,$P$2,0),IF(B499&lt;Dashboard!$I$6,0,IF(A499&gt;=$F$2,Dashboard!$C$23*POWER(1+$C$2,A499-$F$2),Dashboard!$C$23)))</f>
        <v>0</v>
      </c>
      <c r="E499" s="24">
        <f>IF(A499&gt;=$F$2,0,IF(A499=0,Dashboard!$G$10,IF(B499&lt;Dashboard!$I$6,IF($J$2&lt;=Dashboard!$H$10,Dashboard!$H$10,MAX(Dashboard!$H$10,MIN($J$2,Dashboard!$H$10*POWER($J$2/Dashboard!$H$10,A499/$D$2)))),$I$2-D499-Dashboard!$I$10-Dashboard!$J$10-Dashboard!$F$10*$I$2)))</f>
        <v>0</v>
      </c>
      <c r="F499" s="24">
        <f t="shared" si="78"/>
        <v>7941.9395376216535</v>
      </c>
      <c r="G499" s="24">
        <f t="shared" si="79"/>
        <v>10248.961244221411</v>
      </c>
      <c r="H499" s="24">
        <f t="shared" si="80"/>
        <v>0</v>
      </c>
      <c r="I499" s="24">
        <f t="shared" si="81"/>
        <v>-10248.961244221411</v>
      </c>
      <c r="J499" s="25">
        <f t="shared" si="82"/>
        <v>7.9741404289037643E-3</v>
      </c>
      <c r="K499" s="24">
        <f t="shared" si="87"/>
        <v>9513993.1876048967</v>
      </c>
      <c r="L499" s="24">
        <f t="shared" si="83"/>
        <v>9513993.1876048967</v>
      </c>
      <c r="M499" s="24">
        <f t="shared" si="84"/>
        <v>0</v>
      </c>
      <c r="N499" s="24">
        <f>IF(M499&lt;=0,0,IF($E$2-A499&lt;12,(M499-E499)*Dashboard!$B$18,IF($Q$2+A499&gt;=$R$2,MAX(0,M499-E499*POWER(1+$C$2,$E$2-A499))*MAX(Dashboard!$C$18,Dashboard!$B$18),IF($S$2&lt;$R$2,(M499-E499)*0.5*Dashboard!$B$18,(E499*POWER(1+$A$2,$R$2-($Q$2+A499))-E499)*0.5*Dashboard!$B$18+MAX(0,M499-E499*POWER(1+$A$2,$R$2-($Q$2+A499))*POWER(1+$C$2,$S$2-$R$2))*MAX(Dashboard!$C$18,Dashboard!$B$18)))))</f>
        <v>0</v>
      </c>
    </row>
    <row r="500" spans="1:14" x14ac:dyDescent="0.2">
      <c r="A500" s="22">
        <f t="shared" si="85"/>
        <v>495</v>
      </c>
      <c r="B500" s="23">
        <f t="shared" si="86"/>
        <v>59.304794520548519</v>
      </c>
      <c r="C500" t="str">
        <f t="shared" si="77"/>
        <v>59 y 3.66 m</v>
      </c>
      <c r="D500" s="24">
        <f>IF(A500&gt;=$E$2,IF(A500&lt;$E$2+$H$2,$P$2,0),IF(B500&lt;Dashboard!$I$6,0,IF(A500&gt;=$F$2,Dashboard!$C$23*POWER(1+$C$2,A500-$F$2),Dashboard!$C$23)))</f>
        <v>0</v>
      </c>
      <c r="E500" s="24">
        <f>IF(A500&gt;=$F$2,0,IF(A500=0,Dashboard!$G$10,IF(B500&lt;Dashboard!$I$6,IF($J$2&lt;=Dashboard!$H$10,Dashboard!$H$10,MAX(Dashboard!$H$10,MIN($J$2,Dashboard!$H$10*POWER($J$2/Dashboard!$H$10,A500/$D$2)))),$I$2-D500-Dashboard!$I$10-Dashboard!$J$10-Dashboard!$F$10*$I$2)))</f>
        <v>0</v>
      </c>
      <c r="F500" s="24">
        <f t="shared" si="78"/>
        <v>7958.2986327341441</v>
      </c>
      <c r="G500" s="24">
        <f t="shared" si="79"/>
        <v>10272.331380096397</v>
      </c>
      <c r="H500" s="24">
        <f t="shared" si="80"/>
        <v>0</v>
      </c>
      <c r="I500" s="24">
        <f t="shared" si="81"/>
        <v>-10272.331380096397</v>
      </c>
      <c r="J500" s="25">
        <f t="shared" si="82"/>
        <v>7.9741404289037643E-3</v>
      </c>
      <c r="K500" s="24">
        <f t="shared" si="87"/>
        <v>9579504.860929437</v>
      </c>
      <c r="L500" s="24">
        <f t="shared" si="83"/>
        <v>9579504.860929437</v>
      </c>
      <c r="M500" s="24">
        <f t="shared" si="84"/>
        <v>0</v>
      </c>
      <c r="N500" s="24">
        <f>IF(M500&lt;=0,0,IF($E$2-A500&lt;12,(M500-E500)*Dashboard!$B$18,IF($Q$2+A500&gt;=$R$2,MAX(0,M500-E500*POWER(1+$C$2,$E$2-A500))*MAX(Dashboard!$C$18,Dashboard!$B$18),IF($S$2&lt;$R$2,(M500-E500)*0.5*Dashboard!$B$18,(E500*POWER(1+$A$2,$R$2-($Q$2+A500))-E500)*0.5*Dashboard!$B$18+MAX(0,M500-E500*POWER(1+$A$2,$R$2-($Q$2+A500))*POWER(1+$C$2,$S$2-$R$2))*MAX(Dashboard!$C$18,Dashboard!$B$18)))))</f>
        <v>0</v>
      </c>
    </row>
    <row r="501" spans="1:14" x14ac:dyDescent="0.2">
      <c r="A501" s="22">
        <f t="shared" si="85"/>
        <v>496</v>
      </c>
      <c r="B501" s="23">
        <f t="shared" si="86"/>
        <v>59.388127853881855</v>
      </c>
      <c r="C501" t="str">
        <f t="shared" si="77"/>
        <v>59 y 4.66 m</v>
      </c>
      <c r="D501" s="24">
        <f>IF(A501&gt;=$E$2,IF(A501&lt;$E$2+$H$2,$P$2,0),IF(B501&lt;Dashboard!$I$6,0,IF(A501&gt;=$F$2,Dashboard!$C$23*POWER(1+$C$2,A501-$F$2),Dashboard!$C$23)))</f>
        <v>0</v>
      </c>
      <c r="E501" s="24">
        <f>IF(A501&gt;=$F$2,0,IF(A501=0,Dashboard!$G$10,IF(B501&lt;Dashboard!$I$6,IF($J$2&lt;=Dashboard!$H$10,Dashboard!$H$10,MAX(Dashboard!$H$10,MIN($J$2,Dashboard!$H$10*POWER($J$2/Dashboard!$H$10,A501/$D$2)))),$I$2-D501-Dashboard!$I$10-Dashboard!$J$10-Dashboard!$F$10*$I$2)))</f>
        <v>0</v>
      </c>
      <c r="F501" s="24">
        <f t="shared" si="78"/>
        <v>7974.6914249040901</v>
      </c>
      <c r="G501" s="24">
        <f t="shared" si="79"/>
        <v>10295.749654624891</v>
      </c>
      <c r="H501" s="24">
        <f t="shared" si="80"/>
        <v>0</v>
      </c>
      <c r="I501" s="24">
        <f t="shared" si="81"/>
        <v>-10295.749654624891</v>
      </c>
      <c r="J501" s="25">
        <f t="shared" si="82"/>
        <v>7.9741404289037643E-3</v>
      </c>
      <c r="K501" s="24">
        <f t="shared" si="87"/>
        <v>9645515.3285216633</v>
      </c>
      <c r="L501" s="24">
        <f t="shared" si="83"/>
        <v>9645515.3285216633</v>
      </c>
      <c r="M501" s="24">
        <f t="shared" si="84"/>
        <v>0</v>
      </c>
      <c r="N501" s="24">
        <f>IF(M501&lt;=0,0,IF($E$2-A501&lt;12,(M501-E501)*Dashboard!$B$18,IF($Q$2+A501&gt;=$R$2,MAX(0,M501-E501*POWER(1+$C$2,$E$2-A501))*MAX(Dashboard!$C$18,Dashboard!$B$18),IF($S$2&lt;$R$2,(M501-E501)*0.5*Dashboard!$B$18,(E501*POWER(1+$A$2,$R$2-($Q$2+A501))-E501)*0.5*Dashboard!$B$18+MAX(0,M501-E501*POWER(1+$A$2,$R$2-($Q$2+A501))*POWER(1+$C$2,$S$2-$R$2))*MAX(Dashboard!$C$18,Dashboard!$B$18)))))</f>
        <v>0</v>
      </c>
    </row>
    <row r="502" spans="1:14" x14ac:dyDescent="0.2">
      <c r="A502" s="22">
        <f t="shared" si="85"/>
        <v>497</v>
      </c>
      <c r="B502" s="23">
        <f t="shared" si="86"/>
        <v>59.471461187215191</v>
      </c>
      <c r="C502" t="str">
        <f t="shared" si="77"/>
        <v>59 y 5.66 m</v>
      </c>
      <c r="D502" s="24">
        <f>IF(A502&gt;=$E$2,IF(A502&lt;$E$2+$H$2,$P$2,0),IF(B502&lt;Dashboard!$I$6,0,IF(A502&gt;=$F$2,Dashboard!$C$23*POWER(1+$C$2,A502-$F$2),Dashboard!$C$23)))</f>
        <v>0</v>
      </c>
      <c r="E502" s="24">
        <f>IF(A502&gt;=$F$2,0,IF(A502=0,Dashboard!$G$10,IF(B502&lt;Dashboard!$I$6,IF($J$2&lt;=Dashboard!$H$10,Dashboard!$H$10,MAX(Dashboard!$H$10,MIN($J$2,Dashboard!$H$10*POWER($J$2/Dashboard!$H$10,A502/$D$2)))),$I$2-D502-Dashboard!$I$10-Dashboard!$J$10-Dashboard!$F$10*$I$2)))</f>
        <v>0</v>
      </c>
      <c r="F502" s="24">
        <f t="shared" si="78"/>
        <v>7991.1179835419125</v>
      </c>
      <c r="G502" s="24">
        <f t="shared" si="79"/>
        <v>10319.216166964636</v>
      </c>
      <c r="H502" s="24">
        <f t="shared" si="80"/>
        <v>0</v>
      </c>
      <c r="I502" s="24">
        <f t="shared" si="81"/>
        <v>-10319.216166964636</v>
      </c>
      <c r="J502" s="25">
        <f t="shared" si="82"/>
        <v>7.9741404289037643E-3</v>
      </c>
      <c r="K502" s="24">
        <f t="shared" si="87"/>
        <v>9712028.5192146432</v>
      </c>
      <c r="L502" s="24">
        <f t="shared" si="83"/>
        <v>9712028.5192146432</v>
      </c>
      <c r="M502" s="24">
        <f t="shared" si="84"/>
        <v>0</v>
      </c>
      <c r="N502" s="24">
        <f>IF(M502&lt;=0,0,IF($E$2-A502&lt;12,(M502-E502)*Dashboard!$B$18,IF($Q$2+A502&gt;=$R$2,MAX(0,M502-E502*POWER(1+$C$2,$E$2-A502))*MAX(Dashboard!$C$18,Dashboard!$B$18),IF($S$2&lt;$R$2,(M502-E502)*0.5*Dashboard!$B$18,(E502*POWER(1+$A$2,$R$2-($Q$2+A502))-E502)*0.5*Dashboard!$B$18+MAX(0,M502-E502*POWER(1+$A$2,$R$2-($Q$2+A502))*POWER(1+$C$2,$S$2-$R$2))*MAX(Dashboard!$C$18,Dashboard!$B$18)))))</f>
        <v>0</v>
      </c>
    </row>
    <row r="503" spans="1:14" x14ac:dyDescent="0.2">
      <c r="A503" s="22">
        <f t="shared" si="85"/>
        <v>498</v>
      </c>
      <c r="B503" s="23">
        <f t="shared" si="86"/>
        <v>59.554794520548526</v>
      </c>
      <c r="C503" t="str">
        <f t="shared" si="77"/>
        <v>59 y 6.66 m</v>
      </c>
      <c r="D503" s="24">
        <f>IF(A503&gt;=$E$2,IF(A503&lt;$E$2+$H$2,$P$2,0),IF(B503&lt;Dashboard!$I$6,0,IF(A503&gt;=$F$2,Dashboard!$C$23*POWER(1+$C$2,A503-$F$2),Dashboard!$C$23)))</f>
        <v>0</v>
      </c>
      <c r="E503" s="24">
        <f>IF(A503&gt;=$F$2,0,IF(A503=0,Dashboard!$G$10,IF(B503&lt;Dashboard!$I$6,IF($J$2&lt;=Dashboard!$H$10,Dashboard!$H$10,MAX(Dashboard!$H$10,MIN($J$2,Dashboard!$H$10*POWER($J$2/Dashboard!$H$10,A503/$D$2)))),$I$2-D503-Dashboard!$I$10-Dashboard!$J$10-Dashboard!$F$10*$I$2)))</f>
        <v>0</v>
      </c>
      <c r="F503" s="24">
        <f t="shared" si="78"/>
        <v>8007.5783782010021</v>
      </c>
      <c r="G503" s="24">
        <f t="shared" si="79"/>
        <v>10342.731016477623</v>
      </c>
      <c r="H503" s="24">
        <f t="shared" si="80"/>
        <v>0</v>
      </c>
      <c r="I503" s="24">
        <f t="shared" si="81"/>
        <v>-10342.731016477623</v>
      </c>
      <c r="J503" s="25">
        <f t="shared" si="82"/>
        <v>7.9741404289037643E-3</v>
      </c>
      <c r="K503" s="24">
        <f t="shared" si="87"/>
        <v>9779048.3930703569</v>
      </c>
      <c r="L503" s="24">
        <f t="shared" si="83"/>
        <v>9779048.3930703569</v>
      </c>
      <c r="M503" s="24">
        <f t="shared" si="84"/>
        <v>0</v>
      </c>
      <c r="N503" s="24">
        <f>IF(M503&lt;=0,0,IF($E$2-A503&lt;12,(M503-E503)*Dashboard!$B$18,IF($Q$2+A503&gt;=$R$2,MAX(0,M503-E503*POWER(1+$C$2,$E$2-A503))*MAX(Dashboard!$C$18,Dashboard!$B$18),IF($S$2&lt;$R$2,(M503-E503)*0.5*Dashboard!$B$18,(E503*POWER(1+$A$2,$R$2-($Q$2+A503))-E503)*0.5*Dashboard!$B$18+MAX(0,M503-E503*POWER(1+$A$2,$R$2-($Q$2+A503))*POWER(1+$C$2,$S$2-$R$2))*MAX(Dashboard!$C$18,Dashboard!$B$18)))))</f>
        <v>0</v>
      </c>
    </row>
    <row r="504" spans="1:14" x14ac:dyDescent="0.2">
      <c r="A504" s="22">
        <f t="shared" si="85"/>
        <v>499</v>
      </c>
      <c r="B504" s="23">
        <f t="shared" si="86"/>
        <v>59.638127853881862</v>
      </c>
      <c r="C504" t="str">
        <f t="shared" si="77"/>
        <v>59 y 7.66 m</v>
      </c>
      <c r="D504" s="24">
        <f>IF(A504&gt;=$E$2,IF(A504&lt;$E$2+$H$2,$P$2,0),IF(B504&lt;Dashboard!$I$6,0,IF(A504&gt;=$F$2,Dashboard!$C$23*POWER(1+$C$2,A504-$F$2),Dashboard!$C$23)))</f>
        <v>0</v>
      </c>
      <c r="E504" s="24">
        <f>IF(A504&gt;=$F$2,0,IF(A504=0,Dashboard!$G$10,IF(B504&lt;Dashboard!$I$6,IF($J$2&lt;=Dashboard!$H$10,Dashboard!$H$10,MAX(Dashboard!$H$10,MIN($J$2,Dashboard!$H$10*POWER($J$2/Dashboard!$H$10,A504/$D$2)))),$I$2-D504-Dashboard!$I$10-Dashboard!$J$10-Dashboard!$F$10*$I$2)))</f>
        <v>0</v>
      </c>
      <c r="F504" s="24">
        <f t="shared" si="78"/>
        <v>8024.0726785780316</v>
      </c>
      <c r="G504" s="24">
        <f t="shared" si="79"/>
        <v>10366.294302730521</v>
      </c>
      <c r="H504" s="24">
        <f t="shared" si="80"/>
        <v>0</v>
      </c>
      <c r="I504" s="24">
        <f t="shared" si="81"/>
        <v>-10366.294302730521</v>
      </c>
      <c r="J504" s="25">
        <f t="shared" si="82"/>
        <v>7.9741404289037643E-3</v>
      </c>
      <c r="K504" s="24">
        <f t="shared" si="87"/>
        <v>9846578.9416285176</v>
      </c>
      <c r="L504" s="24">
        <f t="shared" si="83"/>
        <v>9846578.9416285176</v>
      </c>
      <c r="M504" s="24">
        <f t="shared" si="84"/>
        <v>0</v>
      </c>
      <c r="N504" s="24">
        <f>IF(M504&lt;=0,0,IF($E$2-A504&lt;12,(M504-E504)*Dashboard!$B$18,IF($Q$2+A504&gt;=$R$2,MAX(0,M504-E504*POWER(1+$C$2,$E$2-A504))*MAX(Dashboard!$C$18,Dashboard!$B$18),IF($S$2&lt;$R$2,(M504-E504)*0.5*Dashboard!$B$18,(E504*POWER(1+$A$2,$R$2-($Q$2+A504))-E504)*0.5*Dashboard!$B$18+MAX(0,M504-E504*POWER(1+$A$2,$R$2-($Q$2+A504))*POWER(1+$C$2,$S$2-$R$2))*MAX(Dashboard!$C$18,Dashboard!$B$18)))))</f>
        <v>0</v>
      </c>
    </row>
    <row r="505" spans="1:14" x14ac:dyDescent="0.2">
      <c r="A505" s="22">
        <f t="shared" si="85"/>
        <v>500</v>
      </c>
      <c r="B505" s="23">
        <f t="shared" si="86"/>
        <v>59.721461187215198</v>
      </c>
      <c r="C505" t="str">
        <f t="shared" si="77"/>
        <v>59 y 8.66 m</v>
      </c>
      <c r="D505" s="24">
        <f>IF(A505&gt;=$E$2,IF(A505&lt;$E$2+$H$2,$P$2,0),IF(B505&lt;Dashboard!$I$6,0,IF(A505&gt;=$F$2,Dashboard!$C$23*POWER(1+$C$2,A505-$F$2),Dashboard!$C$23)))</f>
        <v>0</v>
      </c>
      <c r="E505" s="24">
        <f>IF(A505&gt;=$F$2,0,IF(A505=0,Dashboard!$G$10,IF(B505&lt;Dashboard!$I$6,IF($J$2&lt;=Dashboard!$H$10,Dashboard!$H$10,MAX(Dashboard!$H$10,MIN($J$2,Dashboard!$H$10*POWER($J$2/Dashboard!$H$10,A505/$D$2)))),$I$2-D505-Dashboard!$I$10-Dashboard!$J$10-Dashboard!$F$10*$I$2)))</f>
        <v>0</v>
      </c>
      <c r="F505" s="24">
        <f t="shared" si="78"/>
        <v>8040.6009545132192</v>
      </c>
      <c r="G505" s="24">
        <f t="shared" si="79"/>
        <v>10389.906125495076</v>
      </c>
      <c r="H505" s="24">
        <f t="shared" si="80"/>
        <v>0</v>
      </c>
      <c r="I505" s="24">
        <f t="shared" si="81"/>
        <v>-10389.906125495076</v>
      </c>
      <c r="J505" s="25">
        <f t="shared" si="82"/>
        <v>7.9741404289037643E-3</v>
      </c>
      <c r="K505" s="24">
        <f t="shared" si="87"/>
        <v>9914624.1881573666</v>
      </c>
      <c r="L505" s="24">
        <f t="shared" si="83"/>
        <v>9914624.1881573666</v>
      </c>
      <c r="M505" s="24">
        <f t="shared" si="84"/>
        <v>0</v>
      </c>
      <c r="N505" s="24">
        <f>IF(M505&lt;=0,0,IF($E$2-A505&lt;12,(M505-E505)*Dashboard!$B$18,IF($Q$2+A505&gt;=$R$2,MAX(0,M505-E505*POWER(1+$C$2,$E$2-A505))*MAX(Dashboard!$C$18,Dashboard!$B$18),IF($S$2&lt;$R$2,(M505-E505)*0.5*Dashboard!$B$18,(E505*POWER(1+$A$2,$R$2-($Q$2+A505))-E505)*0.5*Dashboard!$B$18+MAX(0,M505-E505*POWER(1+$A$2,$R$2-($Q$2+A505))*POWER(1+$C$2,$S$2-$R$2))*MAX(Dashboard!$C$18,Dashboard!$B$18)))))</f>
        <v>0</v>
      </c>
    </row>
    <row r="506" spans="1:14" x14ac:dyDescent="0.2">
      <c r="A506" s="22">
        <f t="shared" si="85"/>
        <v>501</v>
      </c>
      <c r="B506" s="23">
        <f t="shared" si="86"/>
        <v>59.804794520548533</v>
      </c>
      <c r="C506" t="str">
        <f t="shared" si="77"/>
        <v>59 y 9.66 m</v>
      </c>
      <c r="D506" s="24">
        <f>IF(A506&gt;=$E$2,IF(A506&lt;$E$2+$H$2,$P$2,0),IF(B506&lt;Dashboard!$I$6,0,IF(A506&gt;=$F$2,Dashboard!$C$23*POWER(1+$C$2,A506-$F$2),Dashboard!$C$23)))</f>
        <v>0</v>
      </c>
      <c r="E506" s="24">
        <f>IF(A506&gt;=$F$2,0,IF(A506=0,Dashboard!$G$10,IF(B506&lt;Dashboard!$I$6,IF($J$2&lt;=Dashboard!$H$10,Dashboard!$H$10,MAX(Dashboard!$H$10,MIN($J$2,Dashboard!$H$10*POWER($J$2/Dashboard!$H$10,A506/$D$2)))),$I$2-D506-Dashboard!$I$10-Dashboard!$J$10-Dashboard!$F$10*$I$2)))</f>
        <v>0</v>
      </c>
      <c r="F506" s="24">
        <f t="shared" si="78"/>
        <v>8057.1632759906579</v>
      </c>
      <c r="G506" s="24">
        <f t="shared" si="79"/>
        <v>10413.56658474856</v>
      </c>
      <c r="H506" s="24">
        <f t="shared" si="80"/>
        <v>0</v>
      </c>
      <c r="I506" s="24">
        <f t="shared" si="81"/>
        <v>-10413.56658474856</v>
      </c>
      <c r="J506" s="25">
        <f t="shared" si="82"/>
        <v>7.9741404289037643E-3</v>
      </c>
      <c r="K506" s="24">
        <f t="shared" si="87"/>
        <v>9983188.1879064776</v>
      </c>
      <c r="L506" s="24">
        <f t="shared" si="83"/>
        <v>9983188.1879064776</v>
      </c>
      <c r="M506" s="24">
        <f t="shared" si="84"/>
        <v>0</v>
      </c>
      <c r="N506" s="24">
        <f>IF(M506&lt;=0,0,IF($E$2-A506&lt;12,(M506-E506)*Dashboard!$B$18,IF($Q$2+A506&gt;=$R$2,MAX(0,M506-E506*POWER(1+$C$2,$E$2-A506))*MAX(Dashboard!$C$18,Dashboard!$B$18),IF($S$2&lt;$R$2,(M506-E506)*0.5*Dashboard!$B$18,(E506*POWER(1+$A$2,$R$2-($Q$2+A506))-E506)*0.5*Dashboard!$B$18+MAX(0,M506-E506*POWER(1+$A$2,$R$2-($Q$2+A506))*POWER(1+$C$2,$S$2-$R$2))*MAX(Dashboard!$C$18,Dashboard!$B$18)))))</f>
        <v>0</v>
      </c>
    </row>
    <row r="507" spans="1:14" x14ac:dyDescent="0.2">
      <c r="A507" s="22">
        <f t="shared" si="85"/>
        <v>502</v>
      </c>
      <c r="B507" s="23">
        <f t="shared" si="86"/>
        <v>59.888127853881869</v>
      </c>
      <c r="C507" t="str">
        <f t="shared" si="77"/>
        <v>59 y 10.66 m</v>
      </c>
      <c r="D507" s="24">
        <f>IF(A507&gt;=$E$2,IF(A507&lt;$E$2+$H$2,$P$2,0),IF(B507&lt;Dashboard!$I$6,0,IF(A507&gt;=$F$2,Dashboard!$C$23*POWER(1+$C$2,A507-$F$2),Dashboard!$C$23)))</f>
        <v>0</v>
      </c>
      <c r="E507" s="24">
        <f>IF(A507&gt;=$F$2,0,IF(A507=0,Dashboard!$G$10,IF(B507&lt;Dashboard!$I$6,IF($J$2&lt;=Dashboard!$H$10,Dashboard!$H$10,MAX(Dashboard!$H$10,MIN($J$2,Dashboard!$H$10*POWER($J$2/Dashboard!$H$10,A507/$D$2)))),$I$2-D507-Dashboard!$I$10-Dashboard!$J$10-Dashboard!$F$10*$I$2)))</f>
        <v>0</v>
      </c>
      <c r="F507" s="24">
        <f t="shared" si="78"/>
        <v>8073.7597131385892</v>
      </c>
      <c r="G507" s="24">
        <f t="shared" si="79"/>
        <v>10437.275780674176</v>
      </c>
      <c r="H507" s="24">
        <f t="shared" si="80"/>
        <v>0</v>
      </c>
      <c r="I507" s="24">
        <f t="shared" si="81"/>
        <v>-10437.275780674176</v>
      </c>
      <c r="J507" s="25">
        <f t="shared" si="82"/>
        <v>7.9741404289037643E-3</v>
      </c>
      <c r="K507" s="24">
        <f t="shared" si="87"/>
        <v>10052275.028361572</v>
      </c>
      <c r="L507" s="24">
        <f t="shared" si="83"/>
        <v>10052275.028361572</v>
      </c>
      <c r="M507" s="24">
        <f t="shared" si="84"/>
        <v>0</v>
      </c>
      <c r="N507" s="24">
        <f>IF(M507&lt;=0,0,IF($E$2-A507&lt;12,(M507-E507)*Dashboard!$B$18,IF($Q$2+A507&gt;=$R$2,MAX(0,M507-E507*POWER(1+$C$2,$E$2-A507))*MAX(Dashboard!$C$18,Dashboard!$B$18),IF($S$2&lt;$R$2,(M507-E507)*0.5*Dashboard!$B$18,(E507*POWER(1+$A$2,$R$2-($Q$2+A507))-E507)*0.5*Dashboard!$B$18+MAX(0,M507-E507*POWER(1+$A$2,$R$2-($Q$2+A507))*POWER(1+$C$2,$S$2-$R$2))*MAX(Dashboard!$C$18,Dashboard!$B$18)))))</f>
        <v>0</v>
      </c>
    </row>
    <row r="508" spans="1:14" x14ac:dyDescent="0.2">
      <c r="A508" s="22">
        <f t="shared" si="85"/>
        <v>503</v>
      </c>
      <c r="B508" s="23">
        <f t="shared" si="86"/>
        <v>59.971461187215205</v>
      </c>
      <c r="C508" t="str">
        <f t="shared" si="77"/>
        <v>59 y 11.66 m</v>
      </c>
      <c r="D508" s="24">
        <f>IF(A508&gt;=$E$2,IF(A508&lt;$E$2+$H$2,$P$2,0),IF(B508&lt;Dashboard!$I$6,0,IF(A508&gt;=$F$2,Dashboard!$C$23*POWER(1+$C$2,A508-$F$2),Dashboard!$C$23)))</f>
        <v>0</v>
      </c>
      <c r="E508" s="24">
        <f>IF(A508&gt;=$F$2,0,IF(A508=0,Dashboard!$G$10,IF(B508&lt;Dashboard!$I$6,IF($J$2&lt;=Dashboard!$H$10,Dashboard!$H$10,MAX(Dashboard!$H$10,MIN($J$2,Dashboard!$H$10*POWER($J$2/Dashboard!$H$10,A508/$D$2)))),$I$2-D508-Dashboard!$I$10-Dashboard!$J$10-Dashboard!$F$10*$I$2)))</f>
        <v>0</v>
      </c>
      <c r="F508" s="24">
        <f t="shared" si="78"/>
        <v>8090.3903362297078</v>
      </c>
      <c r="G508" s="24">
        <f t="shared" si="79"/>
        <v>10461.033813661488</v>
      </c>
      <c r="H508" s="24">
        <f t="shared" si="80"/>
        <v>0</v>
      </c>
      <c r="I508" s="24">
        <f t="shared" si="81"/>
        <v>-10461.033813661488</v>
      </c>
      <c r="J508" s="25">
        <f t="shared" si="82"/>
        <v>7.9741404289037643E-3</v>
      </c>
      <c r="K508" s="24">
        <f t="shared" si="87"/>
        <v>10121888.829501366</v>
      </c>
      <c r="L508" s="24">
        <f t="shared" si="83"/>
        <v>10121888.829501366</v>
      </c>
      <c r="M508" s="24">
        <f t="shared" si="84"/>
        <v>0</v>
      </c>
      <c r="N508" s="24">
        <f>IF(M508&lt;=0,0,IF($E$2-A508&lt;12,(M508-E508)*Dashboard!$B$18,IF($Q$2+A508&gt;=$R$2,MAX(0,M508-E508*POWER(1+$C$2,$E$2-A508))*MAX(Dashboard!$C$18,Dashboard!$B$18),IF($S$2&lt;$R$2,(M508-E508)*0.5*Dashboard!$B$18,(E508*POWER(1+$A$2,$R$2-($Q$2+A508))-E508)*0.5*Dashboard!$B$18+MAX(0,M508-E508*POWER(1+$A$2,$R$2-($Q$2+A508))*POWER(1+$C$2,$S$2-$R$2))*MAX(Dashboard!$C$18,Dashboard!$B$18)))))</f>
        <v>0</v>
      </c>
    </row>
    <row r="509" spans="1:14" x14ac:dyDescent="0.2">
      <c r="A509" s="22">
        <f t="shared" si="85"/>
        <v>504</v>
      </c>
      <c r="B509" s="23">
        <f t="shared" si="86"/>
        <v>60.054794520548541</v>
      </c>
      <c r="C509" t="str">
        <f t="shared" si="77"/>
        <v>60 y 0.66 m</v>
      </c>
      <c r="D509" s="24">
        <f>IF(A509&gt;=$E$2,IF(A509&lt;$E$2+$H$2,$P$2,0),IF(B509&lt;Dashboard!$I$6,0,IF(A509&gt;=$F$2,Dashboard!$C$23*POWER(1+$C$2,A509-$F$2),Dashboard!$C$23)))</f>
        <v>0</v>
      </c>
      <c r="E509" s="24">
        <f>IF(A509&gt;=$F$2,0,IF(A509=0,Dashboard!$G$10,IF(B509&lt;Dashboard!$I$6,IF($J$2&lt;=Dashboard!$H$10,Dashboard!$H$10,MAX(Dashboard!$H$10,MIN($J$2,Dashboard!$H$10*POWER($J$2/Dashboard!$H$10,A509/$D$2)))),$I$2-D509-Dashboard!$I$10-Dashboard!$J$10-Dashboard!$F$10*$I$2)))</f>
        <v>0</v>
      </c>
      <c r="F509" s="24">
        <f t="shared" si="78"/>
        <v>8107.0552156814583</v>
      </c>
      <c r="G509" s="24">
        <f t="shared" si="79"/>
        <v>10484.840784306845</v>
      </c>
      <c r="H509" s="24">
        <f t="shared" si="80"/>
        <v>0</v>
      </c>
      <c r="I509" s="24">
        <f t="shared" si="81"/>
        <v>-10484.840784306845</v>
      </c>
      <c r="J509" s="25">
        <f t="shared" si="82"/>
        <v>7.9741404289037643E-3</v>
      </c>
      <c r="K509" s="24">
        <f t="shared" si="87"/>
        <v>10192033.744056467</v>
      </c>
      <c r="L509" s="24">
        <f t="shared" si="83"/>
        <v>10192033.744056467</v>
      </c>
      <c r="M509" s="24">
        <f t="shared" si="84"/>
        <v>0</v>
      </c>
      <c r="N509" s="24">
        <f>IF(M509&lt;=0,0,IF($E$2-A509&lt;12,(M509-E509)*Dashboard!$B$18,IF($Q$2+A509&gt;=$R$2,MAX(0,M509-E509*POWER(1+$C$2,$E$2-A509))*MAX(Dashboard!$C$18,Dashboard!$B$18),IF($S$2&lt;$R$2,(M509-E509)*0.5*Dashboard!$B$18,(E509*POWER(1+$A$2,$R$2-($Q$2+A509))-E509)*0.5*Dashboard!$B$18+MAX(0,M509-E509*POWER(1+$A$2,$R$2-($Q$2+A509))*POWER(1+$C$2,$S$2-$R$2))*MAX(Dashboard!$C$18,Dashboard!$B$18)))))</f>
        <v>0</v>
      </c>
    </row>
    <row r="510" spans="1:14" x14ac:dyDescent="0.2">
      <c r="A510" s="22">
        <f t="shared" si="85"/>
        <v>505</v>
      </c>
      <c r="B510" s="23">
        <f t="shared" si="86"/>
        <v>60.138127853881876</v>
      </c>
      <c r="C510" t="str">
        <f t="shared" si="77"/>
        <v>60 y 1.66 m</v>
      </c>
      <c r="D510" s="24">
        <f>IF(A510&gt;=$E$2,IF(A510&lt;$E$2+$H$2,$P$2,0),IF(B510&lt;Dashboard!$I$6,0,IF(A510&gt;=$F$2,Dashboard!$C$23*POWER(1+$C$2,A510-$F$2),Dashboard!$C$23)))</f>
        <v>0</v>
      </c>
      <c r="E510" s="24">
        <f>IF(A510&gt;=$F$2,0,IF(A510=0,Dashboard!$G$10,IF(B510&lt;Dashboard!$I$6,IF($J$2&lt;=Dashboard!$H$10,Dashboard!$H$10,MAX(Dashboard!$H$10,MIN($J$2,Dashboard!$H$10*POWER($J$2/Dashboard!$H$10,A510/$D$2)))),$I$2-D510-Dashboard!$I$10-Dashboard!$J$10-Dashboard!$F$10*$I$2)))</f>
        <v>0</v>
      </c>
      <c r="F510" s="24">
        <f t="shared" si="78"/>
        <v>8123.7544220563359</v>
      </c>
      <c r="G510" s="24">
        <f t="shared" si="79"/>
        <v>10508.696793413814</v>
      </c>
      <c r="H510" s="24">
        <f t="shared" si="80"/>
        <v>0</v>
      </c>
      <c r="I510" s="24">
        <f t="shared" si="81"/>
        <v>-10508.696793413814</v>
      </c>
      <c r="J510" s="25">
        <f t="shared" si="82"/>
        <v>7.9741404289037643E-3</v>
      </c>
      <c r="K510" s="24">
        <f t="shared" si="87"/>
        <v>10262713.957770329</v>
      </c>
      <c r="L510" s="24">
        <f t="shared" si="83"/>
        <v>10262713.957770329</v>
      </c>
      <c r="M510" s="24">
        <f t="shared" si="84"/>
        <v>0</v>
      </c>
      <c r="N510" s="24">
        <f>IF(M510&lt;=0,0,IF($E$2-A510&lt;12,(M510-E510)*Dashboard!$B$18,IF($Q$2+A510&gt;=$R$2,MAX(0,M510-E510*POWER(1+$C$2,$E$2-A510))*MAX(Dashboard!$C$18,Dashboard!$B$18),IF($S$2&lt;$R$2,(M510-E510)*0.5*Dashboard!$B$18,(E510*POWER(1+$A$2,$R$2-($Q$2+A510))-E510)*0.5*Dashboard!$B$18+MAX(0,M510-E510*POWER(1+$A$2,$R$2-($Q$2+A510))*POWER(1+$C$2,$S$2-$R$2))*MAX(Dashboard!$C$18,Dashboard!$B$18)))))</f>
        <v>0</v>
      </c>
    </row>
    <row r="511" spans="1:14" x14ac:dyDescent="0.2">
      <c r="A511" s="22">
        <f t="shared" si="85"/>
        <v>506</v>
      </c>
      <c r="B511" s="23">
        <f t="shared" si="86"/>
        <v>60.221461187215212</v>
      </c>
      <c r="C511" t="str">
        <f t="shared" si="77"/>
        <v>60 y 2.66 m</v>
      </c>
      <c r="D511" s="24">
        <f>IF(A511&gt;=$E$2,IF(A511&lt;$E$2+$H$2,$P$2,0),IF(B511&lt;Dashboard!$I$6,0,IF(A511&gt;=$F$2,Dashboard!$C$23*POWER(1+$C$2,A511-$F$2),Dashboard!$C$23)))</f>
        <v>0</v>
      </c>
      <c r="E511" s="24">
        <f>IF(A511&gt;=$F$2,0,IF(A511=0,Dashboard!$G$10,IF(B511&lt;Dashboard!$I$6,IF($J$2&lt;=Dashboard!$H$10,Dashboard!$H$10,MAX(Dashboard!$H$10,MIN($J$2,Dashboard!$H$10*POWER($J$2/Dashboard!$H$10,A511/$D$2)))),$I$2-D511-Dashboard!$I$10-Dashboard!$J$10-Dashboard!$F$10*$I$2)))</f>
        <v>0</v>
      </c>
      <c r="F511" s="24">
        <f t="shared" si="78"/>
        <v>8140.4880260621831</v>
      </c>
      <c r="G511" s="24">
        <f t="shared" si="79"/>
        <v>10532.601941993595</v>
      </c>
      <c r="H511" s="24">
        <f t="shared" si="80"/>
        <v>0</v>
      </c>
      <c r="I511" s="24">
        <f t="shared" si="81"/>
        <v>-10532.601941993595</v>
      </c>
      <c r="J511" s="25">
        <f t="shared" si="82"/>
        <v>7.9741404289037643E-3</v>
      </c>
      <c r="K511" s="24">
        <f t="shared" si="87"/>
        <v>10333933.6896623</v>
      </c>
      <c r="L511" s="24">
        <f t="shared" si="83"/>
        <v>10333933.6896623</v>
      </c>
      <c r="M511" s="24">
        <f t="shared" si="84"/>
        <v>0</v>
      </c>
      <c r="N511" s="24">
        <f>IF(M511&lt;=0,0,IF($E$2-A511&lt;12,(M511-E511)*Dashboard!$B$18,IF($Q$2+A511&gt;=$R$2,MAX(0,M511-E511*POWER(1+$C$2,$E$2-A511))*MAX(Dashboard!$C$18,Dashboard!$B$18),IF($S$2&lt;$R$2,(M511-E511)*0.5*Dashboard!$B$18,(E511*POWER(1+$A$2,$R$2-($Q$2+A511))-E511)*0.5*Dashboard!$B$18+MAX(0,M511-E511*POWER(1+$A$2,$R$2-($Q$2+A511))*POWER(1+$C$2,$S$2-$R$2))*MAX(Dashboard!$C$18,Dashboard!$B$18)))))</f>
        <v>0</v>
      </c>
    </row>
    <row r="512" spans="1:14" x14ac:dyDescent="0.2">
      <c r="A512" s="22">
        <f t="shared" si="85"/>
        <v>507</v>
      </c>
      <c r="B512" s="23">
        <f t="shared" si="86"/>
        <v>60.304794520548548</v>
      </c>
      <c r="C512" t="str">
        <f t="shared" si="77"/>
        <v>60 y 3.66 m</v>
      </c>
      <c r="D512" s="24">
        <f>IF(A512&gt;=$E$2,IF(A512&lt;$E$2+$H$2,$P$2,0),IF(B512&lt;Dashboard!$I$6,0,IF(A512&gt;=$F$2,Dashboard!$C$23*POWER(1+$C$2,A512-$F$2),Dashboard!$C$23)))</f>
        <v>0</v>
      </c>
      <c r="E512" s="24">
        <f>IF(A512&gt;=$F$2,0,IF(A512=0,Dashboard!$G$10,IF(B512&lt;Dashboard!$I$6,IF($J$2&lt;=Dashboard!$H$10,Dashboard!$H$10,MAX(Dashboard!$H$10,MIN($J$2,Dashboard!$H$10*POWER($J$2/Dashboard!$H$10,A512/$D$2)))),$I$2-D512-Dashboard!$I$10-Dashboard!$J$10-Dashboard!$F$10*$I$2)))</f>
        <v>0</v>
      </c>
      <c r="F512" s="24">
        <f t="shared" si="78"/>
        <v>8157.2560985524879</v>
      </c>
      <c r="G512" s="24">
        <f t="shared" si="79"/>
        <v>10556.556331265459</v>
      </c>
      <c r="H512" s="24">
        <f t="shared" si="80"/>
        <v>0</v>
      </c>
      <c r="I512" s="24">
        <f t="shared" si="81"/>
        <v>-10556.556331265459</v>
      </c>
      <c r="J512" s="25">
        <f t="shared" si="82"/>
        <v>7.9741404289037643E-3</v>
      </c>
      <c r="K512" s="24">
        <f t="shared" si="87"/>
        <v>10405697.19229275</v>
      </c>
      <c r="L512" s="24">
        <f t="shared" si="83"/>
        <v>10405697.19229275</v>
      </c>
      <c r="M512" s="24">
        <f t="shared" si="84"/>
        <v>0</v>
      </c>
      <c r="N512" s="24">
        <f>IF(M512&lt;=0,0,IF($E$2-A512&lt;12,(M512-E512)*Dashboard!$B$18,IF($Q$2+A512&gt;=$R$2,MAX(0,M512-E512*POWER(1+$C$2,$E$2-A512))*MAX(Dashboard!$C$18,Dashboard!$B$18),IF($S$2&lt;$R$2,(M512-E512)*0.5*Dashboard!$B$18,(E512*POWER(1+$A$2,$R$2-($Q$2+A512))-E512)*0.5*Dashboard!$B$18+MAX(0,M512-E512*POWER(1+$A$2,$R$2-($Q$2+A512))*POWER(1+$C$2,$S$2-$R$2))*MAX(Dashboard!$C$18,Dashboard!$B$18)))))</f>
        <v>0</v>
      </c>
    </row>
    <row r="513" spans="1:14" x14ac:dyDescent="0.2">
      <c r="A513" s="22">
        <f t="shared" si="85"/>
        <v>508</v>
      </c>
      <c r="B513" s="23">
        <f t="shared" si="86"/>
        <v>60.388127853881883</v>
      </c>
      <c r="C513" t="str">
        <f t="shared" si="77"/>
        <v>60 y 4.66 m</v>
      </c>
      <c r="D513" s="24">
        <f>IF(A513&gt;=$E$2,IF(A513&lt;$E$2+$H$2,$P$2,0),IF(B513&lt;Dashboard!$I$6,0,IF(A513&gt;=$F$2,Dashboard!$C$23*POWER(1+$C$2,A513-$F$2),Dashboard!$C$23)))</f>
        <v>0</v>
      </c>
      <c r="E513" s="24">
        <f>IF(A513&gt;=$F$2,0,IF(A513=0,Dashboard!$G$10,IF(B513&lt;Dashboard!$I$6,IF($J$2&lt;=Dashboard!$H$10,Dashboard!$H$10,MAX(Dashboard!$H$10,MIN($J$2,Dashboard!$H$10*POWER($J$2/Dashboard!$H$10,A513/$D$2)))),$I$2-D513-Dashboard!$I$10-Dashboard!$J$10-Dashboard!$F$10*$I$2)))</f>
        <v>0</v>
      </c>
      <c r="F513" s="24">
        <f t="shared" si="78"/>
        <v>8174.0587105266795</v>
      </c>
      <c r="G513" s="24">
        <f t="shared" si="79"/>
        <v>10580.560062657163</v>
      </c>
      <c r="H513" s="24">
        <f t="shared" si="80"/>
        <v>0</v>
      </c>
      <c r="I513" s="24">
        <f t="shared" si="81"/>
        <v>-10580.560062657163</v>
      </c>
      <c r="J513" s="25">
        <f t="shared" si="82"/>
        <v>7.9741404289037643E-3</v>
      </c>
      <c r="K513" s="24">
        <f t="shared" si="87"/>
        <v>10478008.752030328</v>
      </c>
      <c r="L513" s="24">
        <f t="shared" si="83"/>
        <v>10478008.752030328</v>
      </c>
      <c r="M513" s="24">
        <f t="shared" si="84"/>
        <v>0</v>
      </c>
      <c r="N513" s="24">
        <f>IF(M513&lt;=0,0,IF($E$2-A513&lt;12,(M513-E513)*Dashboard!$B$18,IF($Q$2+A513&gt;=$R$2,MAX(0,M513-E513*POWER(1+$C$2,$E$2-A513))*MAX(Dashboard!$C$18,Dashboard!$B$18),IF($S$2&lt;$R$2,(M513-E513)*0.5*Dashboard!$B$18,(E513*POWER(1+$A$2,$R$2-($Q$2+A513))-E513)*0.5*Dashboard!$B$18+MAX(0,M513-E513*POWER(1+$A$2,$R$2-($Q$2+A513))*POWER(1+$C$2,$S$2-$R$2))*MAX(Dashboard!$C$18,Dashboard!$B$18)))))</f>
        <v>0</v>
      </c>
    </row>
    <row r="514" spans="1:14" x14ac:dyDescent="0.2">
      <c r="A514" s="22">
        <f t="shared" si="85"/>
        <v>509</v>
      </c>
      <c r="B514" s="23">
        <f t="shared" si="86"/>
        <v>60.471461187215219</v>
      </c>
      <c r="C514" t="str">
        <f t="shared" si="77"/>
        <v>60 y 5.66 m</v>
      </c>
      <c r="D514" s="24">
        <f>IF(A514&gt;=$E$2,IF(A514&lt;$E$2+$H$2,$P$2,0),IF(B514&lt;Dashboard!$I$6,0,IF(A514&gt;=$F$2,Dashboard!$C$23*POWER(1+$C$2,A514-$F$2),Dashboard!$C$23)))</f>
        <v>0</v>
      </c>
      <c r="E514" s="24">
        <f>IF(A514&gt;=$F$2,0,IF(A514=0,Dashboard!$G$10,IF(B514&lt;Dashboard!$I$6,IF($J$2&lt;=Dashboard!$H$10,Dashboard!$H$10,MAX(Dashboard!$H$10,MIN($J$2,Dashboard!$H$10*POWER($J$2/Dashboard!$H$10,A514/$D$2)))),$I$2-D514-Dashboard!$I$10-Dashboard!$J$10-Dashboard!$F$10*$I$2)))</f>
        <v>0</v>
      </c>
      <c r="F514" s="24">
        <f t="shared" si="78"/>
        <v>8190.8959331304468</v>
      </c>
      <c r="G514" s="24">
        <f t="shared" si="79"/>
        <v>10604.613237805401</v>
      </c>
      <c r="H514" s="24">
        <f t="shared" si="80"/>
        <v>0</v>
      </c>
      <c r="I514" s="24">
        <f t="shared" si="81"/>
        <v>-10604.613237805401</v>
      </c>
      <c r="J514" s="25">
        <f t="shared" si="82"/>
        <v>7.9741404289037643E-3</v>
      </c>
      <c r="K514" s="24">
        <f t="shared" si="87"/>
        <v>10550872.689321343</v>
      </c>
      <c r="L514" s="24">
        <f t="shared" si="83"/>
        <v>10550872.689321343</v>
      </c>
      <c r="M514" s="24">
        <f t="shared" si="84"/>
        <v>0</v>
      </c>
      <c r="N514" s="24">
        <f>IF(M514&lt;=0,0,IF($E$2-A514&lt;12,(M514-E514)*Dashboard!$B$18,IF($Q$2+A514&gt;=$R$2,MAX(0,M514-E514*POWER(1+$C$2,$E$2-A514))*MAX(Dashboard!$C$18,Dashboard!$B$18),IF($S$2&lt;$R$2,(M514-E514)*0.5*Dashboard!$B$18,(E514*POWER(1+$A$2,$R$2-($Q$2+A514))-E514)*0.5*Dashboard!$B$18+MAX(0,M514-E514*POWER(1+$A$2,$R$2-($Q$2+A514))*POWER(1+$C$2,$S$2-$R$2))*MAX(Dashboard!$C$18,Dashboard!$B$18)))))</f>
        <v>0</v>
      </c>
    </row>
    <row r="515" spans="1:14" x14ac:dyDescent="0.2">
      <c r="A515" s="22">
        <f t="shared" si="85"/>
        <v>510</v>
      </c>
      <c r="B515" s="23">
        <f t="shared" si="86"/>
        <v>60.554794520548555</v>
      </c>
      <c r="C515" t="str">
        <f t="shared" si="77"/>
        <v>60 y 6.66 m</v>
      </c>
      <c r="D515" s="24">
        <f>IF(A515&gt;=$E$2,IF(A515&lt;$E$2+$H$2,$P$2,0),IF(B515&lt;Dashboard!$I$6,0,IF(A515&gt;=$F$2,Dashboard!$C$23*POWER(1+$C$2,A515-$F$2),Dashboard!$C$23)))</f>
        <v>0</v>
      </c>
      <c r="E515" s="24">
        <f>IF(A515&gt;=$F$2,0,IF(A515=0,Dashboard!$G$10,IF(B515&lt;Dashboard!$I$6,IF($J$2&lt;=Dashboard!$H$10,Dashboard!$H$10,MAX(Dashboard!$H$10,MIN($J$2,Dashboard!$H$10*POWER($J$2/Dashboard!$H$10,A515/$D$2)))),$I$2-D515-Dashboard!$I$10-Dashboard!$J$10-Dashboard!$F$10*$I$2)))</f>
        <v>0</v>
      </c>
      <c r="F515" s="24">
        <f t="shared" si="78"/>
        <v>8207.7678376560179</v>
      </c>
      <c r="G515" s="24">
        <f t="shared" si="79"/>
        <v>10628.715958556217</v>
      </c>
      <c r="H515" s="24">
        <f t="shared" si="80"/>
        <v>0</v>
      </c>
      <c r="I515" s="24">
        <f t="shared" si="81"/>
        <v>-10628.715958556217</v>
      </c>
      <c r="J515" s="25">
        <f t="shared" si="82"/>
        <v>7.9741404289037643E-3</v>
      </c>
      <c r="K515" s="24">
        <f t="shared" si="87"/>
        <v>10624293.358961288</v>
      </c>
      <c r="L515" s="24">
        <f t="shared" si="83"/>
        <v>10624293.358961288</v>
      </c>
      <c r="M515" s="24">
        <f t="shared" si="84"/>
        <v>0</v>
      </c>
      <c r="N515" s="24">
        <f>IF(M515&lt;=0,0,IF($E$2-A515&lt;12,(M515-E515)*Dashboard!$B$18,IF($Q$2+A515&gt;=$R$2,MAX(0,M515-E515*POWER(1+$C$2,$E$2-A515))*MAX(Dashboard!$C$18,Dashboard!$B$18),IF($S$2&lt;$R$2,(M515-E515)*0.5*Dashboard!$B$18,(E515*POWER(1+$A$2,$R$2-($Q$2+A515))-E515)*0.5*Dashboard!$B$18+MAX(0,M515-E515*POWER(1+$A$2,$R$2-($Q$2+A515))*POWER(1+$C$2,$S$2-$R$2))*MAX(Dashboard!$C$18,Dashboard!$B$18)))))</f>
        <v>0</v>
      </c>
    </row>
    <row r="516" spans="1:14" x14ac:dyDescent="0.2">
      <c r="A516" s="22">
        <f t="shared" si="85"/>
        <v>511</v>
      </c>
      <c r="B516" s="23">
        <f t="shared" si="86"/>
        <v>60.63812785388189</v>
      </c>
      <c r="C516" t="str">
        <f t="shared" si="77"/>
        <v>60 y 7.66 m</v>
      </c>
      <c r="D516" s="24">
        <f>IF(A516&gt;=$E$2,IF(A516&lt;$E$2+$H$2,$P$2,0),IF(B516&lt;Dashboard!$I$6,0,IF(A516&gt;=$F$2,Dashboard!$C$23*POWER(1+$C$2,A516-$F$2),Dashboard!$C$23)))</f>
        <v>0</v>
      </c>
      <c r="E516" s="24">
        <f>IF(A516&gt;=$F$2,0,IF(A516=0,Dashboard!$G$10,IF(B516&lt;Dashboard!$I$6,IF($J$2&lt;=Dashboard!$H$10,Dashboard!$H$10,MAX(Dashboard!$H$10,MIN($J$2,Dashboard!$H$10*POWER($J$2/Dashboard!$H$10,A516/$D$2)))),$I$2-D516-Dashboard!$I$10-Dashboard!$J$10-Dashboard!$F$10*$I$2)))</f>
        <v>0</v>
      </c>
      <c r="F516" s="24">
        <f t="shared" si="78"/>
        <v>8224.6744955424692</v>
      </c>
      <c r="G516" s="24">
        <f t="shared" si="79"/>
        <v>10652.868326965434</v>
      </c>
      <c r="H516" s="24">
        <f t="shared" si="80"/>
        <v>0</v>
      </c>
      <c r="I516" s="24">
        <f t="shared" si="81"/>
        <v>-10652.868326965434</v>
      </c>
      <c r="J516" s="25">
        <f t="shared" si="82"/>
        <v>7.9741404289037643E-3</v>
      </c>
      <c r="K516" s="24">
        <f t="shared" si="87"/>
        <v>10698275.15036854</v>
      </c>
      <c r="L516" s="24">
        <f t="shared" si="83"/>
        <v>10698275.15036854</v>
      </c>
      <c r="M516" s="24">
        <f t="shared" si="84"/>
        <v>0</v>
      </c>
      <c r="N516" s="24">
        <f>IF(M516&lt;=0,0,IF($E$2-A516&lt;12,(M516-E516)*Dashboard!$B$18,IF($Q$2+A516&gt;=$R$2,MAX(0,M516-E516*POWER(1+$C$2,$E$2-A516))*MAX(Dashboard!$C$18,Dashboard!$B$18),IF($S$2&lt;$R$2,(M516-E516)*0.5*Dashboard!$B$18,(E516*POWER(1+$A$2,$R$2-($Q$2+A516))-E516)*0.5*Dashboard!$B$18+MAX(0,M516-E516*POWER(1+$A$2,$R$2-($Q$2+A516))*POWER(1+$C$2,$S$2-$R$2))*MAX(Dashboard!$C$18,Dashboard!$B$18)))))</f>
        <v>0</v>
      </c>
    </row>
    <row r="517" spans="1:14" x14ac:dyDescent="0.2">
      <c r="A517" s="22">
        <f t="shared" si="85"/>
        <v>512</v>
      </c>
      <c r="B517" s="23">
        <f t="shared" si="86"/>
        <v>60.721461187215226</v>
      </c>
      <c r="C517" t="str">
        <f t="shared" ref="C517:C580" si="88">INT(B517)&amp;" y "&amp;ROUND((B517-INT(B517))*12,2)&amp;" m"</f>
        <v>60 y 8.66 m</v>
      </c>
      <c r="D517" s="24">
        <f>IF(A517&gt;=$E$2,IF(A517&lt;$E$2+$H$2,$P$2,0),IF(B517&lt;Dashboard!$I$6,0,IF(A517&gt;=$F$2,Dashboard!$C$23*POWER(1+$C$2,A517-$F$2),Dashboard!$C$23)))</f>
        <v>0</v>
      </c>
      <c r="E517" s="24">
        <f>IF(A517&gt;=$F$2,0,IF(A517=0,Dashboard!$G$10,IF(B517&lt;Dashboard!$I$6,IF($J$2&lt;=Dashboard!$H$10,Dashboard!$H$10,MAX(Dashboard!$H$10,MIN($J$2,Dashboard!$H$10*POWER($J$2/Dashboard!$H$10,A517/$D$2)))),$I$2-D517-Dashboard!$I$10-Dashboard!$J$10-Dashboard!$F$10*$I$2)))</f>
        <v>0</v>
      </c>
      <c r="F517" s="24">
        <f t="shared" ref="F517:F580" si="89">IF(A517&gt;=$F$2,$X$2*POWER(1+$C$2,A517-$F$2)+D517,0)</f>
        <v>8241.6159783760395</v>
      </c>
      <c r="G517" s="24">
        <f t="shared" ref="G517:G580" si="90">IF(F517&lt;=0,0,IF(F517*12&lt;=18200,F517,IF(F517*12&lt;=40712,(18200+(F517*12-18200)/0.84)/12,IF(F517*12&lt;=103712,(45000+(F517*12-40712)/0.7)/12,IF(F517*12&lt;=138362,(135000+(F517*12-103712)/0.63)/12,(190000+(F517*12-138362)/0.55)/12)))))</f>
        <v>10677.070445299105</v>
      </c>
      <c r="H517" s="24">
        <f t="shared" ref="H517:H580" si="91">IF(A517=$E$2,$W$2,0)</f>
        <v>0</v>
      </c>
      <c r="I517" s="24">
        <f t="shared" ref="I517:I580" si="92">E517-G517-H517</f>
        <v>-10677.070445299105</v>
      </c>
      <c r="J517" s="25">
        <f t="shared" ref="J517:J580" si="93">IF(A517&gt;=$F$2,$B$2,$A$2)</f>
        <v>7.9741404289037643E-3</v>
      </c>
      <c r="K517" s="24">
        <f t="shared" si="87"/>
        <v>10772822.487860231</v>
      </c>
      <c r="L517" s="24">
        <f t="shared" ref="L517:L580" si="94">IF(A517&gt;=$F$2,K517,"")</f>
        <v>10772822.487860231</v>
      </c>
      <c r="M517" s="24">
        <f t="shared" ref="M517:M580" si="95">IF(AND(A517&lt;$E$2,E517&gt;0),E517*POWER(1+$A$2,$E$2-A517),0)</f>
        <v>0</v>
      </c>
      <c r="N517" s="24">
        <f>IF(M517&lt;=0,0,IF($E$2-A517&lt;12,(M517-E517)*Dashboard!$B$18,IF($Q$2+A517&gt;=$R$2,MAX(0,M517-E517*POWER(1+$C$2,$E$2-A517))*MAX(Dashboard!$C$18,Dashboard!$B$18),IF($S$2&lt;$R$2,(M517-E517)*0.5*Dashboard!$B$18,(E517*POWER(1+$A$2,$R$2-($Q$2+A517))-E517)*0.5*Dashboard!$B$18+MAX(0,M517-E517*POWER(1+$A$2,$R$2-($Q$2+A517))*POWER(1+$C$2,$S$2-$R$2))*MAX(Dashboard!$C$18,Dashboard!$B$18)))))</f>
        <v>0</v>
      </c>
    </row>
    <row r="518" spans="1:14" x14ac:dyDescent="0.2">
      <c r="A518" s="22">
        <f t="shared" ref="A518:A581" si="96">A517+1</f>
        <v>513</v>
      </c>
      <c r="B518" s="23">
        <f t="shared" ref="B518:B581" si="97">B517+1/12</f>
        <v>60.804794520548562</v>
      </c>
      <c r="C518" t="str">
        <f t="shared" si="88"/>
        <v>60 y 9.66 m</v>
      </c>
      <c r="D518" s="24">
        <f>IF(A518&gt;=$E$2,IF(A518&lt;$E$2+$H$2,$P$2,0),IF(B518&lt;Dashboard!$I$6,0,IF(A518&gt;=$F$2,Dashboard!$C$23*POWER(1+$C$2,A518-$F$2),Dashboard!$C$23)))</f>
        <v>0</v>
      </c>
      <c r="E518" s="24">
        <f>IF(A518&gt;=$F$2,0,IF(A518=0,Dashboard!$G$10,IF(B518&lt;Dashboard!$I$6,IF($J$2&lt;=Dashboard!$H$10,Dashboard!$H$10,MAX(Dashboard!$H$10,MIN($J$2,Dashboard!$H$10*POWER($J$2/Dashboard!$H$10,A518/$D$2)))),$I$2-D518-Dashboard!$I$10-Dashboard!$J$10-Dashboard!$F$10*$I$2)))</f>
        <v>0</v>
      </c>
      <c r="F518" s="24">
        <f t="shared" si="89"/>
        <v>8258.592357890413</v>
      </c>
      <c r="G518" s="24">
        <f t="shared" si="90"/>
        <v>10701.322416033925</v>
      </c>
      <c r="H518" s="24">
        <f t="shared" si="91"/>
        <v>0</v>
      </c>
      <c r="I518" s="24">
        <f t="shared" si="92"/>
        <v>-10701.322416033925</v>
      </c>
      <c r="J518" s="25">
        <f t="shared" si="93"/>
        <v>7.9741404289037643E-3</v>
      </c>
      <c r="K518" s="24">
        <f t="shared" ref="K518:K581" si="98">(K517+I518)*(1+J518)</f>
        <v>10847939.830930326</v>
      </c>
      <c r="L518" s="24">
        <f t="shared" si="94"/>
        <v>10847939.830930326</v>
      </c>
      <c r="M518" s="24">
        <f t="shared" si="95"/>
        <v>0</v>
      </c>
      <c r="N518" s="24">
        <f>IF(M518&lt;=0,0,IF($E$2-A518&lt;12,(M518-E518)*Dashboard!$B$18,IF($Q$2+A518&gt;=$R$2,MAX(0,M518-E518*POWER(1+$C$2,$E$2-A518))*MAX(Dashboard!$C$18,Dashboard!$B$18),IF($S$2&lt;$R$2,(M518-E518)*0.5*Dashboard!$B$18,(E518*POWER(1+$A$2,$R$2-($Q$2+A518))-E518)*0.5*Dashboard!$B$18+MAX(0,M518-E518*POWER(1+$A$2,$R$2-($Q$2+A518))*POWER(1+$C$2,$S$2-$R$2))*MAX(Dashboard!$C$18,Dashboard!$B$18)))))</f>
        <v>0</v>
      </c>
    </row>
    <row r="519" spans="1:14" x14ac:dyDescent="0.2">
      <c r="A519" s="22">
        <f t="shared" si="96"/>
        <v>514</v>
      </c>
      <c r="B519" s="23">
        <f t="shared" si="97"/>
        <v>60.888127853881898</v>
      </c>
      <c r="C519" t="str">
        <f t="shared" si="88"/>
        <v>60 y 10.66 m</v>
      </c>
      <c r="D519" s="24">
        <f>IF(A519&gt;=$E$2,IF(A519&lt;$E$2+$H$2,$P$2,0),IF(B519&lt;Dashboard!$I$6,0,IF(A519&gt;=$F$2,Dashboard!$C$23*POWER(1+$C$2,A519-$F$2),Dashboard!$C$23)))</f>
        <v>0</v>
      </c>
      <c r="E519" s="24">
        <f>IF(A519&gt;=$F$2,0,IF(A519=0,Dashboard!$G$10,IF(B519&lt;Dashboard!$I$6,IF($J$2&lt;=Dashboard!$H$10,Dashboard!$H$10,MAX(Dashboard!$H$10,MIN($J$2,Dashboard!$H$10*POWER($J$2/Dashboard!$H$10,A519/$D$2)))),$I$2-D519-Dashboard!$I$10-Dashboard!$J$10-Dashboard!$F$10*$I$2)))</f>
        <v>0</v>
      </c>
      <c r="F519" s="24">
        <f t="shared" si="89"/>
        <v>8275.6037059670416</v>
      </c>
      <c r="G519" s="24">
        <f t="shared" si="90"/>
        <v>10725.62434185768</v>
      </c>
      <c r="H519" s="24">
        <f t="shared" si="91"/>
        <v>0</v>
      </c>
      <c r="I519" s="24">
        <f t="shared" si="92"/>
        <v>-10725.62434185768</v>
      </c>
      <c r="J519" s="25">
        <f t="shared" si="93"/>
        <v>7.9741404289037643E-3</v>
      </c>
      <c r="K519" s="24">
        <f t="shared" si="98"/>
        <v>10923631.674529916</v>
      </c>
      <c r="L519" s="24">
        <f t="shared" si="94"/>
        <v>10923631.674529916</v>
      </c>
      <c r="M519" s="24">
        <f t="shared" si="95"/>
        <v>0</v>
      </c>
      <c r="N519" s="24">
        <f>IF(M519&lt;=0,0,IF($E$2-A519&lt;12,(M519-E519)*Dashboard!$B$18,IF($Q$2+A519&gt;=$R$2,MAX(0,M519-E519*POWER(1+$C$2,$E$2-A519))*MAX(Dashboard!$C$18,Dashboard!$B$18),IF($S$2&lt;$R$2,(M519-E519)*0.5*Dashboard!$B$18,(E519*POWER(1+$A$2,$R$2-($Q$2+A519))-E519)*0.5*Dashboard!$B$18+MAX(0,M519-E519*POWER(1+$A$2,$R$2-($Q$2+A519))*POWER(1+$C$2,$S$2-$R$2))*MAX(Dashboard!$C$18,Dashboard!$B$18)))))</f>
        <v>0</v>
      </c>
    </row>
    <row r="520" spans="1:14" x14ac:dyDescent="0.2">
      <c r="A520" s="22">
        <f t="shared" si="96"/>
        <v>515</v>
      </c>
      <c r="B520" s="23">
        <f t="shared" si="97"/>
        <v>60.971461187215233</v>
      </c>
      <c r="C520" t="str">
        <f t="shared" si="88"/>
        <v>60 y 11.66 m</v>
      </c>
      <c r="D520" s="24">
        <f>IF(A520&gt;=$E$2,IF(A520&lt;$E$2+$H$2,$P$2,0),IF(B520&lt;Dashboard!$I$6,0,IF(A520&gt;=$F$2,Dashboard!$C$23*POWER(1+$C$2,A520-$F$2),Dashboard!$C$23)))</f>
        <v>0</v>
      </c>
      <c r="E520" s="24">
        <f>IF(A520&gt;=$F$2,0,IF(A520=0,Dashboard!$G$10,IF(B520&lt;Dashboard!$I$6,IF($J$2&lt;=Dashboard!$H$10,Dashboard!$H$10,MAX(Dashboard!$H$10,MIN($J$2,Dashboard!$H$10*POWER($J$2/Dashboard!$H$10,A520/$D$2)))),$I$2-D520-Dashboard!$I$10-Dashboard!$J$10-Dashboard!$F$10*$I$2)))</f>
        <v>0</v>
      </c>
      <c r="F520" s="24">
        <f t="shared" si="89"/>
        <v>8292.6500946354372</v>
      </c>
      <c r="G520" s="24">
        <f t="shared" si="90"/>
        <v>10749.976325669673</v>
      </c>
      <c r="H520" s="24">
        <f t="shared" si="91"/>
        <v>0</v>
      </c>
      <c r="I520" s="24">
        <f t="shared" si="92"/>
        <v>-10749.976325669673</v>
      </c>
      <c r="J520" s="25">
        <f t="shared" si="93"/>
        <v>7.9741404289037643E-3</v>
      </c>
      <c r="K520" s="24">
        <f t="shared" si="98"/>
        <v>10999902.54934974</v>
      </c>
      <c r="L520" s="24">
        <f t="shared" si="94"/>
        <v>10999902.54934974</v>
      </c>
      <c r="M520" s="24">
        <f t="shared" si="95"/>
        <v>0</v>
      </c>
      <c r="N520" s="24">
        <f>IF(M520&lt;=0,0,IF($E$2-A520&lt;12,(M520-E520)*Dashboard!$B$18,IF($Q$2+A520&gt;=$R$2,MAX(0,M520-E520*POWER(1+$C$2,$E$2-A520))*MAX(Dashboard!$C$18,Dashboard!$B$18),IF($S$2&lt;$R$2,(M520-E520)*0.5*Dashboard!$B$18,(E520*POWER(1+$A$2,$R$2-($Q$2+A520))-E520)*0.5*Dashboard!$B$18+MAX(0,M520-E520*POWER(1+$A$2,$R$2-($Q$2+A520))*POWER(1+$C$2,$S$2-$R$2))*MAX(Dashboard!$C$18,Dashboard!$B$18)))))</f>
        <v>0</v>
      </c>
    </row>
    <row r="521" spans="1:14" x14ac:dyDescent="0.2">
      <c r="A521" s="22">
        <f t="shared" si="96"/>
        <v>516</v>
      </c>
      <c r="B521" s="23">
        <f t="shared" si="97"/>
        <v>61.054794520548569</v>
      </c>
      <c r="C521" t="str">
        <f t="shared" si="88"/>
        <v>61 y 0.66 m</v>
      </c>
      <c r="D521" s="24">
        <f>IF(A521&gt;=$E$2,IF(A521&lt;$E$2+$H$2,$P$2,0),IF(B521&lt;Dashboard!$I$6,0,IF(A521&gt;=$F$2,Dashboard!$C$23*POWER(1+$C$2,A521-$F$2),Dashboard!$C$23)))</f>
        <v>0</v>
      </c>
      <c r="E521" s="24">
        <f>IF(A521&gt;=$F$2,0,IF(A521=0,Dashboard!$G$10,IF(B521&lt;Dashboard!$I$6,IF($J$2&lt;=Dashboard!$H$10,Dashboard!$H$10,MAX(Dashboard!$H$10,MIN($J$2,Dashboard!$H$10*POWER($J$2/Dashboard!$H$10,A521/$D$2)))),$I$2-D521-Dashboard!$I$10-Dashboard!$J$10-Dashboard!$F$10*$I$2)))</f>
        <v>0</v>
      </c>
      <c r="F521" s="24">
        <f t="shared" si="89"/>
        <v>8309.7315960734832</v>
      </c>
      <c r="G521" s="24">
        <f t="shared" si="90"/>
        <v>10774.378470581165</v>
      </c>
      <c r="H521" s="24">
        <f t="shared" si="91"/>
        <v>0</v>
      </c>
      <c r="I521" s="24">
        <f t="shared" si="92"/>
        <v>-10774.378470581165</v>
      </c>
      <c r="J521" s="25">
        <f t="shared" si="93"/>
        <v>7.9741404289037643E-3</v>
      </c>
      <c r="K521" s="24">
        <f t="shared" si="98"/>
        <v>11076757.022104971</v>
      </c>
      <c r="L521" s="24">
        <f t="shared" si="94"/>
        <v>11076757.022104971</v>
      </c>
      <c r="M521" s="24">
        <f t="shared" si="95"/>
        <v>0</v>
      </c>
      <c r="N521" s="24">
        <f>IF(M521&lt;=0,0,IF($E$2-A521&lt;12,(M521-E521)*Dashboard!$B$18,IF($Q$2+A521&gt;=$R$2,MAX(0,M521-E521*POWER(1+$C$2,$E$2-A521))*MAX(Dashboard!$C$18,Dashboard!$B$18),IF($S$2&lt;$R$2,(M521-E521)*0.5*Dashboard!$B$18,(E521*POWER(1+$A$2,$R$2-($Q$2+A521))-E521)*0.5*Dashboard!$B$18+MAX(0,M521-E521*POWER(1+$A$2,$R$2-($Q$2+A521))*POWER(1+$C$2,$S$2-$R$2))*MAX(Dashboard!$C$18,Dashboard!$B$18)))))</f>
        <v>0</v>
      </c>
    </row>
    <row r="522" spans="1:14" x14ac:dyDescent="0.2">
      <c r="A522" s="22">
        <f t="shared" si="96"/>
        <v>517</v>
      </c>
      <c r="B522" s="23">
        <f t="shared" si="97"/>
        <v>61.138127853881905</v>
      </c>
      <c r="C522" t="str">
        <f t="shared" si="88"/>
        <v>61 y 1.66 m</v>
      </c>
      <c r="D522" s="24">
        <f>IF(A522&gt;=$E$2,IF(A522&lt;$E$2+$H$2,$P$2,0),IF(B522&lt;Dashboard!$I$6,0,IF(A522&gt;=$F$2,Dashboard!$C$23*POWER(1+$C$2,A522-$F$2),Dashboard!$C$23)))</f>
        <v>0</v>
      </c>
      <c r="E522" s="24">
        <f>IF(A522&gt;=$F$2,0,IF(A522=0,Dashboard!$G$10,IF(B522&lt;Dashboard!$I$6,IF($J$2&lt;=Dashboard!$H$10,Dashboard!$H$10,MAX(Dashboard!$H$10,MIN($J$2,Dashboard!$H$10*POWER($J$2/Dashboard!$H$10,A522/$D$2)))),$I$2-D522-Dashboard!$I$10-Dashboard!$J$10-Dashboard!$F$10*$I$2)))</f>
        <v>0</v>
      </c>
      <c r="F522" s="24">
        <f t="shared" si="89"/>
        <v>8326.8482826077325</v>
      </c>
      <c r="G522" s="24">
        <f t="shared" si="90"/>
        <v>10798.830879915809</v>
      </c>
      <c r="H522" s="24">
        <f t="shared" si="91"/>
        <v>0</v>
      </c>
      <c r="I522" s="24">
        <f t="shared" si="92"/>
        <v>-10798.830879915809</v>
      </c>
      <c r="J522" s="25">
        <f t="shared" si="93"/>
        <v>7.9741404289037643E-3</v>
      </c>
      <c r="K522" s="24">
        <f t="shared" si="98"/>
        <v>11154199.695822261</v>
      </c>
      <c r="L522" s="24">
        <f t="shared" si="94"/>
        <v>11154199.695822261</v>
      </c>
      <c r="M522" s="24">
        <f t="shared" si="95"/>
        <v>0</v>
      </c>
      <c r="N522" s="24">
        <f>IF(M522&lt;=0,0,IF($E$2-A522&lt;12,(M522-E522)*Dashboard!$B$18,IF($Q$2+A522&gt;=$R$2,MAX(0,M522-E522*POWER(1+$C$2,$E$2-A522))*MAX(Dashboard!$C$18,Dashboard!$B$18),IF($S$2&lt;$R$2,(M522-E522)*0.5*Dashboard!$B$18,(E522*POWER(1+$A$2,$R$2-($Q$2+A522))-E522)*0.5*Dashboard!$B$18+MAX(0,M522-E522*POWER(1+$A$2,$R$2-($Q$2+A522))*POWER(1+$C$2,$S$2-$R$2))*MAX(Dashboard!$C$18,Dashboard!$B$18)))))</f>
        <v>0</v>
      </c>
    </row>
    <row r="523" spans="1:14" x14ac:dyDescent="0.2">
      <c r="A523" s="22">
        <f t="shared" si="96"/>
        <v>518</v>
      </c>
      <c r="B523" s="23">
        <f t="shared" si="97"/>
        <v>61.22146118721524</v>
      </c>
      <c r="C523" t="str">
        <f t="shared" si="88"/>
        <v>61 y 2.66 m</v>
      </c>
      <c r="D523" s="24">
        <f>IF(A523&gt;=$E$2,IF(A523&lt;$E$2+$H$2,$P$2,0),IF(B523&lt;Dashboard!$I$6,0,IF(A523&gt;=$F$2,Dashboard!$C$23*POWER(1+$C$2,A523-$F$2),Dashboard!$C$23)))</f>
        <v>0</v>
      </c>
      <c r="E523" s="24">
        <f>IF(A523&gt;=$F$2,0,IF(A523=0,Dashboard!$G$10,IF(B523&lt;Dashboard!$I$6,IF($J$2&lt;=Dashboard!$H$10,Dashboard!$H$10,MAX(Dashboard!$H$10,MIN($J$2,Dashboard!$H$10*POWER($J$2/Dashboard!$H$10,A523/$D$2)))),$I$2-D523-Dashboard!$I$10-Dashboard!$J$10-Dashboard!$F$10*$I$2)))</f>
        <v>0</v>
      </c>
      <c r="F523" s="24">
        <f t="shared" si="89"/>
        <v>8344.0002267137261</v>
      </c>
      <c r="G523" s="24">
        <f t="shared" si="90"/>
        <v>10823.333657210087</v>
      </c>
      <c r="H523" s="24">
        <f t="shared" si="91"/>
        <v>0</v>
      </c>
      <c r="I523" s="24">
        <f t="shared" si="92"/>
        <v>-10823.333657210087</v>
      </c>
      <c r="J523" s="25">
        <f t="shared" si="93"/>
        <v>7.9741404289037643E-3</v>
      </c>
      <c r="K523" s="24">
        <f t="shared" si="98"/>
        <v>11232235.210129082</v>
      </c>
      <c r="L523" s="24">
        <f t="shared" si="94"/>
        <v>11232235.210129082</v>
      </c>
      <c r="M523" s="24">
        <f t="shared" si="95"/>
        <v>0</v>
      </c>
      <c r="N523" s="24">
        <f>IF(M523&lt;=0,0,IF($E$2-A523&lt;12,(M523-E523)*Dashboard!$B$18,IF($Q$2+A523&gt;=$R$2,MAX(0,M523-E523*POWER(1+$C$2,$E$2-A523))*MAX(Dashboard!$C$18,Dashboard!$B$18),IF($S$2&lt;$R$2,(M523-E523)*0.5*Dashboard!$B$18,(E523*POWER(1+$A$2,$R$2-($Q$2+A523))-E523)*0.5*Dashboard!$B$18+MAX(0,M523-E523*POWER(1+$A$2,$R$2-($Q$2+A523))*POWER(1+$C$2,$S$2-$R$2))*MAX(Dashboard!$C$18,Dashboard!$B$18)))))</f>
        <v>0</v>
      </c>
    </row>
    <row r="524" spans="1:14" x14ac:dyDescent="0.2">
      <c r="A524" s="22">
        <f t="shared" si="96"/>
        <v>519</v>
      </c>
      <c r="B524" s="23">
        <f t="shared" si="97"/>
        <v>61.304794520548576</v>
      </c>
      <c r="C524" t="str">
        <f t="shared" si="88"/>
        <v>61 y 3.66 m</v>
      </c>
      <c r="D524" s="24">
        <f>IF(A524&gt;=$E$2,IF(A524&lt;$E$2+$H$2,$P$2,0),IF(B524&lt;Dashboard!$I$6,0,IF(A524&gt;=$F$2,Dashboard!$C$23*POWER(1+$C$2,A524-$F$2),Dashboard!$C$23)))</f>
        <v>0</v>
      </c>
      <c r="E524" s="24">
        <f>IF(A524&gt;=$F$2,0,IF(A524=0,Dashboard!$G$10,IF(B524&lt;Dashboard!$I$6,IF($J$2&lt;=Dashboard!$H$10,Dashboard!$H$10,MAX(Dashboard!$H$10,MIN($J$2,Dashboard!$H$10*POWER($J$2/Dashboard!$H$10,A524/$D$2)))),$I$2-D524-Dashboard!$I$10-Dashboard!$J$10-Dashboard!$F$10*$I$2)))</f>
        <v>0</v>
      </c>
      <c r="F524" s="24">
        <f t="shared" si="89"/>
        <v>8361.1875010162858</v>
      </c>
      <c r="G524" s="24">
        <f t="shared" si="90"/>
        <v>10847.886906213744</v>
      </c>
      <c r="H524" s="24">
        <f t="shared" si="91"/>
        <v>0</v>
      </c>
      <c r="I524" s="24">
        <f t="shared" si="92"/>
        <v>-10847.886906213744</v>
      </c>
      <c r="J524" s="25">
        <f t="shared" si="93"/>
        <v>7.9741404289037643E-3</v>
      </c>
      <c r="K524" s="24">
        <f t="shared" si="98"/>
        <v>11310868.241545368</v>
      </c>
      <c r="L524" s="24">
        <f t="shared" si="94"/>
        <v>11310868.241545368</v>
      </c>
      <c r="M524" s="24">
        <f t="shared" si="95"/>
        <v>0</v>
      </c>
      <c r="N524" s="24">
        <f>IF(M524&lt;=0,0,IF($E$2-A524&lt;12,(M524-E524)*Dashboard!$B$18,IF($Q$2+A524&gt;=$R$2,MAX(0,M524-E524*POWER(1+$C$2,$E$2-A524))*MAX(Dashboard!$C$18,Dashboard!$B$18),IF($S$2&lt;$R$2,(M524-E524)*0.5*Dashboard!$B$18,(E524*POWER(1+$A$2,$R$2-($Q$2+A524))-E524)*0.5*Dashboard!$B$18+MAX(0,M524-E524*POWER(1+$A$2,$R$2-($Q$2+A524))*POWER(1+$C$2,$S$2-$R$2))*MAX(Dashboard!$C$18,Dashboard!$B$18)))))</f>
        <v>0</v>
      </c>
    </row>
    <row r="525" spans="1:14" x14ac:dyDescent="0.2">
      <c r="A525" s="22">
        <f t="shared" si="96"/>
        <v>520</v>
      </c>
      <c r="B525" s="23">
        <f t="shared" si="97"/>
        <v>61.388127853881912</v>
      </c>
      <c r="C525" t="str">
        <f t="shared" si="88"/>
        <v>61 y 4.66 m</v>
      </c>
      <c r="D525" s="24">
        <f>IF(A525&gt;=$E$2,IF(A525&lt;$E$2+$H$2,$P$2,0),IF(B525&lt;Dashboard!$I$6,0,IF(A525&gt;=$F$2,Dashboard!$C$23*POWER(1+$C$2,A525-$F$2),Dashboard!$C$23)))</f>
        <v>0</v>
      </c>
      <c r="E525" s="24">
        <f>IF(A525&gt;=$F$2,0,IF(A525=0,Dashboard!$G$10,IF(B525&lt;Dashboard!$I$6,IF($J$2&lt;=Dashboard!$H$10,Dashboard!$H$10,MAX(Dashboard!$H$10,MIN($J$2,Dashboard!$H$10*POWER($J$2/Dashboard!$H$10,A525/$D$2)))),$I$2-D525-Dashboard!$I$10-Dashboard!$J$10-Dashboard!$F$10*$I$2)))</f>
        <v>0</v>
      </c>
      <c r="F525" s="24">
        <f t="shared" si="89"/>
        <v>8378.410178289836</v>
      </c>
      <c r="G525" s="24">
        <f t="shared" si="90"/>
        <v>10872.490730890242</v>
      </c>
      <c r="H525" s="24">
        <f t="shared" si="91"/>
        <v>0</v>
      </c>
      <c r="I525" s="24">
        <f t="shared" si="92"/>
        <v>-10872.490730890242</v>
      </c>
      <c r="J525" s="25">
        <f t="shared" si="93"/>
        <v>7.9741404289037643E-3</v>
      </c>
      <c r="K525" s="24">
        <f t="shared" si="98"/>
        <v>11390103.503777487</v>
      </c>
      <c r="L525" s="24">
        <f t="shared" si="94"/>
        <v>11390103.503777487</v>
      </c>
      <c r="M525" s="24">
        <f t="shared" si="95"/>
        <v>0</v>
      </c>
      <c r="N525" s="24">
        <f>IF(M525&lt;=0,0,IF($E$2-A525&lt;12,(M525-E525)*Dashboard!$B$18,IF($Q$2+A525&gt;=$R$2,MAX(0,M525-E525*POWER(1+$C$2,$E$2-A525))*MAX(Dashboard!$C$18,Dashboard!$B$18),IF($S$2&lt;$R$2,(M525-E525)*0.5*Dashboard!$B$18,(E525*POWER(1+$A$2,$R$2-($Q$2+A525))-E525)*0.5*Dashboard!$B$18+MAX(0,M525-E525*POWER(1+$A$2,$R$2-($Q$2+A525))*POWER(1+$C$2,$S$2-$R$2))*MAX(Dashboard!$C$18,Dashboard!$B$18)))))</f>
        <v>0</v>
      </c>
    </row>
    <row r="526" spans="1:14" x14ac:dyDescent="0.2">
      <c r="A526" s="22">
        <f t="shared" si="96"/>
        <v>521</v>
      </c>
      <c r="B526" s="23">
        <f t="shared" si="97"/>
        <v>61.471461187215247</v>
      </c>
      <c r="C526" t="str">
        <f t="shared" si="88"/>
        <v>61 y 5.66 m</v>
      </c>
      <c r="D526" s="24">
        <f>IF(A526&gt;=$E$2,IF(A526&lt;$E$2+$H$2,$P$2,0),IF(B526&lt;Dashboard!$I$6,0,IF(A526&gt;=$F$2,Dashboard!$C$23*POWER(1+$C$2,A526-$F$2),Dashboard!$C$23)))</f>
        <v>0</v>
      </c>
      <c r="E526" s="24">
        <f>IF(A526&gt;=$F$2,0,IF(A526=0,Dashboard!$G$10,IF(B526&lt;Dashboard!$I$6,IF($J$2&lt;=Dashboard!$H$10,Dashboard!$H$10,MAX(Dashboard!$H$10,MIN($J$2,Dashboard!$H$10*POWER($J$2/Dashboard!$H$10,A526/$D$2)))),$I$2-D526-Dashboard!$I$10-Dashboard!$J$10-Dashboard!$F$10*$I$2)))</f>
        <v>0</v>
      </c>
      <c r="F526" s="24">
        <f t="shared" si="89"/>
        <v>8395.6683314586971</v>
      </c>
      <c r="G526" s="24">
        <f t="shared" si="90"/>
        <v>10897.145235417187</v>
      </c>
      <c r="H526" s="24">
        <f t="shared" si="91"/>
        <v>0</v>
      </c>
      <c r="I526" s="24">
        <f t="shared" si="92"/>
        <v>-10897.145235417187</v>
      </c>
      <c r="J526" s="25">
        <f t="shared" si="93"/>
        <v>7.9741404289037643E-3</v>
      </c>
      <c r="K526" s="24">
        <f t="shared" si="98"/>
        <v>11469945.748014558</v>
      </c>
      <c r="L526" s="24">
        <f t="shared" si="94"/>
        <v>11469945.748014558</v>
      </c>
      <c r="M526" s="24">
        <f t="shared" si="95"/>
        <v>0</v>
      </c>
      <c r="N526" s="24">
        <f>IF(M526&lt;=0,0,IF($E$2-A526&lt;12,(M526-E526)*Dashboard!$B$18,IF($Q$2+A526&gt;=$R$2,MAX(0,M526-E526*POWER(1+$C$2,$E$2-A526))*MAX(Dashboard!$C$18,Dashboard!$B$18),IF($S$2&lt;$R$2,(M526-E526)*0.5*Dashboard!$B$18,(E526*POWER(1+$A$2,$R$2-($Q$2+A526))-E526)*0.5*Dashboard!$B$18+MAX(0,M526-E526*POWER(1+$A$2,$R$2-($Q$2+A526))*POWER(1+$C$2,$S$2-$R$2))*MAX(Dashboard!$C$18,Dashboard!$B$18)))))</f>
        <v>0</v>
      </c>
    </row>
    <row r="527" spans="1:14" x14ac:dyDescent="0.2">
      <c r="A527" s="22">
        <f t="shared" si="96"/>
        <v>522</v>
      </c>
      <c r="B527" s="23">
        <f t="shared" si="97"/>
        <v>61.554794520548583</v>
      </c>
      <c r="C527" t="str">
        <f t="shared" si="88"/>
        <v>61 y 6.66 m</v>
      </c>
      <c r="D527" s="24">
        <f>IF(A527&gt;=$E$2,IF(A527&lt;$E$2+$H$2,$P$2,0),IF(B527&lt;Dashboard!$I$6,0,IF(A527&gt;=$F$2,Dashboard!$C$23*POWER(1+$C$2,A527-$F$2),Dashboard!$C$23)))</f>
        <v>0</v>
      </c>
      <c r="E527" s="24">
        <f>IF(A527&gt;=$F$2,0,IF(A527=0,Dashboard!$G$10,IF(B527&lt;Dashboard!$I$6,IF($J$2&lt;=Dashboard!$H$10,Dashboard!$H$10,MAX(Dashboard!$H$10,MIN($J$2,Dashboard!$H$10*POWER($J$2/Dashboard!$H$10,A527/$D$2)))),$I$2-D527-Dashboard!$I$10-Dashboard!$J$10-Dashboard!$F$10*$I$2)))</f>
        <v>0</v>
      </c>
      <c r="F527" s="24">
        <f t="shared" si="89"/>
        <v>8412.9620335974068</v>
      </c>
      <c r="G527" s="24">
        <f t="shared" si="90"/>
        <v>10921.850524186773</v>
      </c>
      <c r="H527" s="24">
        <f t="shared" si="91"/>
        <v>0</v>
      </c>
      <c r="I527" s="24">
        <f t="shared" si="92"/>
        <v>-10921.850524186773</v>
      </c>
      <c r="J527" s="25">
        <f t="shared" si="93"/>
        <v>7.9741404289037643E-3</v>
      </c>
      <c r="K527" s="24">
        <f t="shared" si="98"/>
        <v>11550399.763227124</v>
      </c>
      <c r="L527" s="24">
        <f t="shared" si="94"/>
        <v>11550399.763227124</v>
      </c>
      <c r="M527" s="24">
        <f t="shared" si="95"/>
        <v>0</v>
      </c>
      <c r="N527" s="24">
        <f>IF(M527&lt;=0,0,IF($E$2-A527&lt;12,(M527-E527)*Dashboard!$B$18,IF($Q$2+A527&gt;=$R$2,MAX(0,M527-E527*POWER(1+$C$2,$E$2-A527))*MAX(Dashboard!$C$18,Dashboard!$B$18),IF($S$2&lt;$R$2,(M527-E527)*0.5*Dashboard!$B$18,(E527*POWER(1+$A$2,$R$2-($Q$2+A527))-E527)*0.5*Dashboard!$B$18+MAX(0,M527-E527*POWER(1+$A$2,$R$2-($Q$2+A527))*POWER(1+$C$2,$S$2-$R$2))*MAX(Dashboard!$C$18,Dashboard!$B$18)))))</f>
        <v>0</v>
      </c>
    </row>
    <row r="528" spans="1:14" x14ac:dyDescent="0.2">
      <c r="A528" s="22">
        <f t="shared" si="96"/>
        <v>523</v>
      </c>
      <c r="B528" s="23">
        <f t="shared" si="97"/>
        <v>61.638127853881919</v>
      </c>
      <c r="C528" t="str">
        <f t="shared" si="88"/>
        <v>61 y 7.66 m</v>
      </c>
      <c r="D528" s="24">
        <f>IF(A528&gt;=$E$2,IF(A528&lt;$E$2+$H$2,$P$2,0),IF(B528&lt;Dashboard!$I$6,0,IF(A528&gt;=$F$2,Dashboard!$C$23*POWER(1+$C$2,A528-$F$2),Dashboard!$C$23)))</f>
        <v>0</v>
      </c>
      <c r="E528" s="24">
        <f>IF(A528&gt;=$F$2,0,IF(A528=0,Dashboard!$G$10,IF(B528&lt;Dashboard!$I$6,IF($J$2&lt;=Dashboard!$H$10,Dashboard!$H$10,MAX(Dashboard!$H$10,MIN($J$2,Dashboard!$H$10*POWER($J$2/Dashboard!$H$10,A528/$D$2)))),$I$2-D528-Dashboard!$I$10-Dashboard!$J$10-Dashboard!$F$10*$I$2)))</f>
        <v>0</v>
      </c>
      <c r="F528" s="24">
        <f t="shared" si="89"/>
        <v>8430.2913579310207</v>
      </c>
      <c r="G528" s="24">
        <f t="shared" si="90"/>
        <v>10946.606701806222</v>
      </c>
      <c r="H528" s="24">
        <f t="shared" si="91"/>
        <v>0</v>
      </c>
      <c r="I528" s="24">
        <f t="shared" si="92"/>
        <v>-10946.606701806222</v>
      </c>
      <c r="J528" s="25">
        <f t="shared" si="93"/>
        <v>7.9741404289037643E-3</v>
      </c>
      <c r="K528" s="24">
        <f t="shared" si="98"/>
        <v>11631470.376468208</v>
      </c>
      <c r="L528" s="24">
        <f t="shared" si="94"/>
        <v>11631470.376468208</v>
      </c>
      <c r="M528" s="24">
        <f t="shared" si="95"/>
        <v>0</v>
      </c>
      <c r="N528" s="24">
        <f>IF(M528&lt;=0,0,IF($E$2-A528&lt;12,(M528-E528)*Dashboard!$B$18,IF($Q$2+A528&gt;=$R$2,MAX(0,M528-E528*POWER(1+$C$2,$E$2-A528))*MAX(Dashboard!$C$18,Dashboard!$B$18),IF($S$2&lt;$R$2,(M528-E528)*0.5*Dashboard!$B$18,(E528*POWER(1+$A$2,$R$2-($Q$2+A528))-E528)*0.5*Dashboard!$B$18+MAX(0,M528-E528*POWER(1+$A$2,$R$2-($Q$2+A528))*POWER(1+$C$2,$S$2-$R$2))*MAX(Dashboard!$C$18,Dashboard!$B$18)))))</f>
        <v>0</v>
      </c>
    </row>
    <row r="529" spans="1:14" x14ac:dyDescent="0.2">
      <c r="A529" s="22">
        <f t="shared" si="96"/>
        <v>524</v>
      </c>
      <c r="B529" s="23">
        <f t="shared" si="97"/>
        <v>61.721461187215255</v>
      </c>
      <c r="C529" t="str">
        <f t="shared" si="88"/>
        <v>61 y 8.66 m</v>
      </c>
      <c r="D529" s="24">
        <f>IF(A529&gt;=$E$2,IF(A529&lt;$E$2+$H$2,$P$2,0),IF(B529&lt;Dashboard!$I$6,0,IF(A529&gt;=$F$2,Dashboard!$C$23*POWER(1+$C$2,A529-$F$2),Dashboard!$C$23)))</f>
        <v>0</v>
      </c>
      <c r="E529" s="24">
        <f>IF(A529&gt;=$F$2,0,IF(A529=0,Dashboard!$G$10,IF(B529&lt;Dashboard!$I$6,IF($J$2&lt;=Dashboard!$H$10,Dashboard!$H$10,MAX(Dashboard!$H$10,MIN($J$2,Dashboard!$H$10*POWER($J$2/Dashboard!$H$10,A529/$D$2)))),$I$2-D529-Dashboard!$I$10-Dashboard!$J$10-Dashboard!$F$10*$I$2)))</f>
        <v>0</v>
      </c>
      <c r="F529" s="24">
        <f t="shared" si="89"/>
        <v>8447.6563778354266</v>
      </c>
      <c r="G529" s="24">
        <f t="shared" si="90"/>
        <v>10971.41387309823</v>
      </c>
      <c r="H529" s="24">
        <f t="shared" si="91"/>
        <v>0</v>
      </c>
      <c r="I529" s="24">
        <f t="shared" si="92"/>
        <v>-10971.41387309823</v>
      </c>
      <c r="J529" s="25">
        <f t="shared" si="93"/>
        <v>7.9741404289037643E-3</v>
      </c>
      <c r="K529" s="24">
        <f t="shared" si="98"/>
        <v>11713162.453176772</v>
      </c>
      <c r="L529" s="24">
        <f t="shared" si="94"/>
        <v>11713162.453176772</v>
      </c>
      <c r="M529" s="24">
        <f t="shared" si="95"/>
        <v>0</v>
      </c>
      <c r="N529" s="24">
        <f>IF(M529&lt;=0,0,IF($E$2-A529&lt;12,(M529-E529)*Dashboard!$B$18,IF($Q$2+A529&gt;=$R$2,MAX(0,M529-E529*POWER(1+$C$2,$E$2-A529))*MAX(Dashboard!$C$18,Dashboard!$B$18),IF($S$2&lt;$R$2,(M529-E529)*0.5*Dashboard!$B$18,(E529*POWER(1+$A$2,$R$2-($Q$2+A529))-E529)*0.5*Dashboard!$B$18+MAX(0,M529-E529*POWER(1+$A$2,$R$2-($Q$2+A529))*POWER(1+$C$2,$S$2-$R$2))*MAX(Dashboard!$C$18,Dashboard!$B$18)))))</f>
        <v>0</v>
      </c>
    </row>
    <row r="530" spans="1:14" x14ac:dyDescent="0.2">
      <c r="A530" s="22">
        <f t="shared" si="96"/>
        <v>525</v>
      </c>
      <c r="B530" s="23">
        <f t="shared" si="97"/>
        <v>61.80479452054859</v>
      </c>
      <c r="C530" t="str">
        <f t="shared" si="88"/>
        <v>61 y 9.66 m</v>
      </c>
      <c r="D530" s="24">
        <f>IF(A530&gt;=$E$2,IF(A530&lt;$E$2+$H$2,$P$2,0),IF(B530&lt;Dashboard!$I$6,0,IF(A530&gt;=$F$2,Dashboard!$C$23*POWER(1+$C$2,A530-$F$2),Dashboard!$C$23)))</f>
        <v>0</v>
      </c>
      <c r="E530" s="24">
        <f>IF(A530&gt;=$F$2,0,IF(A530=0,Dashboard!$G$10,IF(B530&lt;Dashboard!$I$6,IF($J$2&lt;=Dashboard!$H$10,Dashboard!$H$10,MAX(Dashboard!$H$10,MIN($J$2,Dashboard!$H$10*POWER($J$2/Dashboard!$H$10,A530/$D$2)))),$I$2-D530-Dashboard!$I$10-Dashboard!$J$10-Dashboard!$F$10*$I$2)))</f>
        <v>0</v>
      </c>
      <c r="F530" s="24">
        <f t="shared" si="89"/>
        <v>8465.0571668376615</v>
      </c>
      <c r="G530" s="24">
        <f t="shared" si="90"/>
        <v>10996.272143101422</v>
      </c>
      <c r="H530" s="24">
        <f t="shared" si="91"/>
        <v>0</v>
      </c>
      <c r="I530" s="24">
        <f t="shared" si="92"/>
        <v>-10996.272143101422</v>
      </c>
      <c r="J530" s="25">
        <f t="shared" si="93"/>
        <v>7.9741404289037643E-3</v>
      </c>
      <c r="K530" s="24">
        <f t="shared" si="98"/>
        <v>11795480.897483602</v>
      </c>
      <c r="L530" s="24">
        <f t="shared" si="94"/>
        <v>11795480.897483602</v>
      </c>
      <c r="M530" s="24">
        <f t="shared" si="95"/>
        <v>0</v>
      </c>
      <c r="N530" s="24">
        <f>IF(M530&lt;=0,0,IF($E$2-A530&lt;12,(M530-E530)*Dashboard!$B$18,IF($Q$2+A530&gt;=$R$2,MAX(0,M530-E530*POWER(1+$C$2,$E$2-A530))*MAX(Dashboard!$C$18,Dashboard!$B$18),IF($S$2&lt;$R$2,(M530-E530)*0.5*Dashboard!$B$18,(E530*POWER(1+$A$2,$R$2-($Q$2+A530))-E530)*0.5*Dashboard!$B$18+MAX(0,M530-E530*POWER(1+$A$2,$R$2-($Q$2+A530))*POWER(1+$C$2,$S$2-$R$2))*MAX(Dashboard!$C$18,Dashboard!$B$18)))))</f>
        <v>0</v>
      </c>
    </row>
    <row r="531" spans="1:14" x14ac:dyDescent="0.2">
      <c r="A531" s="22">
        <f t="shared" si="96"/>
        <v>526</v>
      </c>
      <c r="B531" s="23">
        <f t="shared" si="97"/>
        <v>61.888127853881926</v>
      </c>
      <c r="C531" t="str">
        <f t="shared" si="88"/>
        <v>61 y 10.66 m</v>
      </c>
      <c r="D531" s="24">
        <f>IF(A531&gt;=$E$2,IF(A531&lt;$E$2+$H$2,$P$2,0),IF(B531&lt;Dashboard!$I$6,0,IF(A531&gt;=$F$2,Dashboard!$C$23*POWER(1+$C$2,A531-$F$2),Dashboard!$C$23)))</f>
        <v>0</v>
      </c>
      <c r="E531" s="24">
        <f>IF(A531&gt;=$F$2,0,IF(A531=0,Dashboard!$G$10,IF(B531&lt;Dashboard!$I$6,IF($J$2&lt;=Dashboard!$H$10,Dashboard!$H$10,MAX(Dashboard!$H$10,MIN($J$2,Dashboard!$H$10*POWER($J$2/Dashboard!$H$10,A531/$D$2)))),$I$2-D531-Dashboard!$I$10-Dashboard!$J$10-Dashboard!$F$10*$I$2)))</f>
        <v>0</v>
      </c>
      <c r="F531" s="24">
        <f t="shared" si="89"/>
        <v>8482.4937986162058</v>
      </c>
      <c r="G531" s="24">
        <f t="shared" si="90"/>
        <v>11021.18161707077</v>
      </c>
      <c r="H531" s="24">
        <f t="shared" si="91"/>
        <v>0</v>
      </c>
      <c r="I531" s="24">
        <f t="shared" si="92"/>
        <v>-11021.18161707077</v>
      </c>
      <c r="J531" s="25">
        <f t="shared" si="93"/>
        <v>7.9741404289037643E-3</v>
      </c>
      <c r="K531" s="24">
        <f t="shared" si="98"/>
        <v>11878430.652519612</v>
      </c>
      <c r="L531" s="24">
        <f t="shared" si="94"/>
        <v>11878430.652519612</v>
      </c>
      <c r="M531" s="24">
        <f t="shared" si="95"/>
        <v>0</v>
      </c>
      <c r="N531" s="24">
        <f>IF(M531&lt;=0,0,IF($E$2-A531&lt;12,(M531-E531)*Dashboard!$B$18,IF($Q$2+A531&gt;=$R$2,MAX(0,M531-E531*POWER(1+$C$2,$E$2-A531))*MAX(Dashboard!$C$18,Dashboard!$B$18),IF($S$2&lt;$R$2,(M531-E531)*0.5*Dashboard!$B$18,(E531*POWER(1+$A$2,$R$2-($Q$2+A531))-E531)*0.5*Dashboard!$B$18+MAX(0,M531-E531*POWER(1+$A$2,$R$2-($Q$2+A531))*POWER(1+$C$2,$S$2-$R$2))*MAX(Dashboard!$C$18,Dashboard!$B$18)))))</f>
        <v>0</v>
      </c>
    </row>
    <row r="532" spans="1:14" x14ac:dyDescent="0.2">
      <c r="A532" s="22">
        <f t="shared" si="96"/>
        <v>527</v>
      </c>
      <c r="B532" s="23">
        <f t="shared" si="97"/>
        <v>61.971461187215262</v>
      </c>
      <c r="C532" t="str">
        <f t="shared" si="88"/>
        <v>61 y 11.66 m</v>
      </c>
      <c r="D532" s="24">
        <f>IF(A532&gt;=$E$2,IF(A532&lt;$E$2+$H$2,$P$2,0),IF(B532&lt;Dashboard!$I$6,0,IF(A532&gt;=$F$2,Dashboard!$C$23*POWER(1+$C$2,A532-$F$2),Dashboard!$C$23)))</f>
        <v>0</v>
      </c>
      <c r="E532" s="24">
        <f>IF(A532&gt;=$F$2,0,IF(A532=0,Dashboard!$G$10,IF(B532&lt;Dashboard!$I$6,IF($J$2&lt;=Dashboard!$H$10,Dashboard!$H$10,MAX(Dashboard!$H$10,MIN($J$2,Dashboard!$H$10*POWER($J$2/Dashboard!$H$10,A532/$D$2)))),$I$2-D532-Dashboard!$I$10-Dashboard!$J$10-Dashboard!$F$10*$I$2)))</f>
        <v>0</v>
      </c>
      <c r="F532" s="24">
        <f t="shared" si="89"/>
        <v>8499.9663470013111</v>
      </c>
      <c r="G532" s="24">
        <f t="shared" si="90"/>
        <v>11046.142400478064</v>
      </c>
      <c r="H532" s="24">
        <f t="shared" si="91"/>
        <v>0</v>
      </c>
      <c r="I532" s="24">
        <f t="shared" si="92"/>
        <v>-11046.142400478064</v>
      </c>
      <c r="J532" s="25">
        <f t="shared" si="93"/>
        <v>7.9741404289037643E-3</v>
      </c>
      <c r="K532" s="24">
        <f t="shared" si="98"/>
        <v>11962016.700726621</v>
      </c>
      <c r="L532" s="24">
        <f t="shared" si="94"/>
        <v>11962016.700726621</v>
      </c>
      <c r="M532" s="24">
        <f t="shared" si="95"/>
        <v>0</v>
      </c>
      <c r="N532" s="24">
        <f>IF(M532&lt;=0,0,IF($E$2-A532&lt;12,(M532-E532)*Dashboard!$B$18,IF($Q$2+A532&gt;=$R$2,MAX(0,M532-E532*POWER(1+$C$2,$E$2-A532))*MAX(Dashboard!$C$18,Dashboard!$B$18),IF($S$2&lt;$R$2,(M532-E532)*0.5*Dashboard!$B$18,(E532*POWER(1+$A$2,$R$2-($Q$2+A532))-E532)*0.5*Dashboard!$B$18+MAX(0,M532-E532*POWER(1+$A$2,$R$2-($Q$2+A532))*POWER(1+$C$2,$S$2-$R$2))*MAX(Dashboard!$C$18,Dashboard!$B$18)))))</f>
        <v>0</v>
      </c>
    </row>
    <row r="533" spans="1:14" x14ac:dyDescent="0.2">
      <c r="A533" s="22">
        <f t="shared" si="96"/>
        <v>528</v>
      </c>
      <c r="B533" s="23">
        <f t="shared" si="97"/>
        <v>62.054794520548597</v>
      </c>
      <c r="C533" t="str">
        <f t="shared" si="88"/>
        <v>62 y 0.66 m</v>
      </c>
      <c r="D533" s="24">
        <f>IF(A533&gt;=$E$2,IF(A533&lt;$E$2+$H$2,$P$2,0),IF(B533&lt;Dashboard!$I$6,0,IF(A533&gt;=$F$2,Dashboard!$C$23*POWER(1+$C$2,A533-$F$2),Dashboard!$C$23)))</f>
        <v>0</v>
      </c>
      <c r="E533" s="24">
        <f>IF(A533&gt;=$F$2,0,IF(A533=0,Dashboard!$G$10,IF(B533&lt;Dashboard!$I$6,IF($J$2&lt;=Dashboard!$H$10,Dashboard!$H$10,MAX(Dashboard!$H$10,MIN($J$2,Dashboard!$H$10*POWER($J$2/Dashboard!$H$10,A533/$D$2)))),$I$2-D533-Dashboard!$I$10-Dashboard!$J$10-Dashboard!$F$10*$I$2)))</f>
        <v>0</v>
      </c>
      <c r="F533" s="24">
        <f t="shared" si="89"/>
        <v>8517.474885975309</v>
      </c>
      <c r="G533" s="24">
        <f t="shared" si="90"/>
        <v>11071.154599012347</v>
      </c>
      <c r="H533" s="24">
        <f t="shared" si="91"/>
        <v>0</v>
      </c>
      <c r="I533" s="24">
        <f t="shared" si="92"/>
        <v>-11071.154599012347</v>
      </c>
      <c r="J533" s="25">
        <f t="shared" si="93"/>
        <v>7.9741404289037643E-3</v>
      </c>
      <c r="K533" s="24">
        <f t="shared" si="98"/>
        <v>12046244.064170612</v>
      </c>
      <c r="L533" s="24">
        <f t="shared" si="94"/>
        <v>12046244.064170612</v>
      </c>
      <c r="M533" s="24">
        <f t="shared" si="95"/>
        <v>0</v>
      </c>
      <c r="N533" s="24">
        <f>IF(M533&lt;=0,0,IF($E$2-A533&lt;12,(M533-E533)*Dashboard!$B$18,IF($Q$2+A533&gt;=$R$2,MAX(0,M533-E533*POWER(1+$C$2,$E$2-A533))*MAX(Dashboard!$C$18,Dashboard!$B$18),IF($S$2&lt;$R$2,(M533-E533)*0.5*Dashboard!$B$18,(E533*POWER(1+$A$2,$R$2-($Q$2+A533))-E533)*0.5*Dashboard!$B$18+MAX(0,M533-E533*POWER(1+$A$2,$R$2-($Q$2+A533))*POWER(1+$C$2,$S$2-$R$2))*MAX(Dashboard!$C$18,Dashboard!$B$18)))))</f>
        <v>0</v>
      </c>
    </row>
    <row r="534" spans="1:14" x14ac:dyDescent="0.2">
      <c r="A534" s="22">
        <f t="shared" si="96"/>
        <v>529</v>
      </c>
      <c r="B534" s="23">
        <f t="shared" si="97"/>
        <v>62.138127853881933</v>
      </c>
      <c r="C534" t="str">
        <f t="shared" si="88"/>
        <v>62 y 1.66 m</v>
      </c>
      <c r="D534" s="24">
        <f>IF(A534&gt;=$E$2,IF(A534&lt;$E$2+$H$2,$P$2,0),IF(B534&lt;Dashboard!$I$6,0,IF(A534&gt;=$F$2,Dashboard!$C$23*POWER(1+$C$2,A534-$F$2),Dashboard!$C$23)))</f>
        <v>0</v>
      </c>
      <c r="E534" s="24">
        <f>IF(A534&gt;=$F$2,0,IF(A534=0,Dashboard!$G$10,IF(B534&lt;Dashboard!$I$6,IF($J$2&lt;=Dashboard!$H$10,Dashboard!$H$10,MAX(Dashboard!$H$10,MIN($J$2,Dashboard!$H$10*POWER($J$2/Dashboard!$H$10,A534/$D$2)))),$I$2-D534-Dashboard!$I$10-Dashboard!$J$10-Dashboard!$F$10*$I$2)))</f>
        <v>0</v>
      </c>
      <c r="F534" s="24">
        <f t="shared" si="89"/>
        <v>8535.0194896729136</v>
      </c>
      <c r="G534" s="24">
        <f t="shared" si="90"/>
        <v>11096.218318580353</v>
      </c>
      <c r="H534" s="24">
        <f t="shared" si="91"/>
        <v>0</v>
      </c>
      <c r="I534" s="24">
        <f t="shared" si="92"/>
        <v>-11096.218318580353</v>
      </c>
      <c r="J534" s="25">
        <f t="shared" si="93"/>
        <v>7.9741404289037643E-3</v>
      </c>
      <c r="K534" s="24">
        <f t="shared" si="98"/>
        <v>12131117.804857476</v>
      </c>
      <c r="L534" s="24">
        <f t="shared" si="94"/>
        <v>12131117.804857476</v>
      </c>
      <c r="M534" s="24">
        <f t="shared" si="95"/>
        <v>0</v>
      </c>
      <c r="N534" s="24">
        <f>IF(M534&lt;=0,0,IF($E$2-A534&lt;12,(M534-E534)*Dashboard!$B$18,IF($Q$2+A534&gt;=$R$2,MAX(0,M534-E534*POWER(1+$C$2,$E$2-A534))*MAX(Dashboard!$C$18,Dashboard!$B$18),IF($S$2&lt;$R$2,(M534-E534)*0.5*Dashboard!$B$18,(E534*POWER(1+$A$2,$R$2-($Q$2+A534))-E534)*0.5*Dashboard!$B$18+MAX(0,M534-E534*POWER(1+$A$2,$R$2-($Q$2+A534))*POWER(1+$C$2,$S$2-$R$2))*MAX(Dashboard!$C$18,Dashboard!$B$18)))))</f>
        <v>0</v>
      </c>
    </row>
    <row r="535" spans="1:14" x14ac:dyDescent="0.2">
      <c r="A535" s="22">
        <f t="shared" si="96"/>
        <v>530</v>
      </c>
      <c r="B535" s="23">
        <f t="shared" si="97"/>
        <v>62.221461187215269</v>
      </c>
      <c r="C535" t="str">
        <f t="shared" si="88"/>
        <v>62 y 2.66 m</v>
      </c>
      <c r="D535" s="24">
        <f>IF(A535&gt;=$E$2,IF(A535&lt;$E$2+$H$2,$P$2,0),IF(B535&lt;Dashboard!$I$6,0,IF(A535&gt;=$F$2,Dashboard!$C$23*POWER(1+$C$2,A535-$F$2),Dashboard!$C$23)))</f>
        <v>0</v>
      </c>
      <c r="E535" s="24">
        <f>IF(A535&gt;=$F$2,0,IF(A535=0,Dashboard!$G$10,IF(B535&lt;Dashboard!$I$6,IF($J$2&lt;=Dashboard!$H$10,Dashboard!$H$10,MAX(Dashboard!$H$10,MIN($J$2,Dashboard!$H$10*POWER($J$2/Dashboard!$H$10,A535/$D$2)))),$I$2-D535-Dashboard!$I$10-Dashboard!$J$10-Dashboard!$F$10*$I$2)))</f>
        <v>0</v>
      </c>
      <c r="F535" s="24">
        <f t="shared" si="89"/>
        <v>8552.6002323815574</v>
      </c>
      <c r="G535" s="24">
        <f t="shared" si="90"/>
        <v>11121.333665306987</v>
      </c>
      <c r="H535" s="24">
        <f t="shared" si="91"/>
        <v>0</v>
      </c>
      <c r="I535" s="24">
        <f t="shared" si="92"/>
        <v>-11121.333665306987</v>
      </c>
      <c r="J535" s="25">
        <f t="shared" si="93"/>
        <v>7.9741404289037643E-3</v>
      </c>
      <c r="K535" s="24">
        <f t="shared" si="98"/>
        <v>12216643.025051273</v>
      </c>
      <c r="L535" s="24">
        <f t="shared" si="94"/>
        <v>12216643.025051273</v>
      </c>
      <c r="M535" s="24">
        <f t="shared" si="95"/>
        <v>0</v>
      </c>
      <c r="N535" s="24">
        <f>IF(M535&lt;=0,0,IF($E$2-A535&lt;12,(M535-E535)*Dashboard!$B$18,IF($Q$2+A535&gt;=$R$2,MAX(0,M535-E535*POWER(1+$C$2,$E$2-A535))*MAX(Dashboard!$C$18,Dashboard!$B$18),IF($S$2&lt;$R$2,(M535-E535)*0.5*Dashboard!$B$18,(E535*POWER(1+$A$2,$R$2-($Q$2+A535))-E535)*0.5*Dashboard!$B$18+MAX(0,M535-E535*POWER(1+$A$2,$R$2-($Q$2+A535))*POWER(1+$C$2,$S$2-$R$2))*MAX(Dashboard!$C$18,Dashboard!$B$18)))))</f>
        <v>0</v>
      </c>
    </row>
    <row r="536" spans="1:14" x14ac:dyDescent="0.2">
      <c r="A536" s="22">
        <f t="shared" si="96"/>
        <v>531</v>
      </c>
      <c r="B536" s="23">
        <f t="shared" si="97"/>
        <v>62.304794520548604</v>
      </c>
      <c r="C536" t="str">
        <f t="shared" si="88"/>
        <v>62 y 3.66 m</v>
      </c>
      <c r="D536" s="24">
        <f>IF(A536&gt;=$E$2,IF(A536&lt;$E$2+$H$2,$P$2,0),IF(B536&lt;Dashboard!$I$6,0,IF(A536&gt;=$F$2,Dashboard!$C$23*POWER(1+$C$2,A536-$F$2),Dashboard!$C$23)))</f>
        <v>0</v>
      </c>
      <c r="E536" s="24">
        <f>IF(A536&gt;=$F$2,0,IF(A536=0,Dashboard!$G$10,IF(B536&lt;Dashboard!$I$6,IF($J$2&lt;=Dashboard!$H$10,Dashboard!$H$10,MAX(Dashboard!$H$10,MIN($J$2,Dashboard!$H$10*POWER($J$2/Dashboard!$H$10,A536/$D$2)))),$I$2-D536-Dashboard!$I$10-Dashboard!$J$10-Dashboard!$F$10*$I$2)))</f>
        <v>0</v>
      </c>
      <c r="F536" s="24">
        <f t="shared" si="89"/>
        <v>8570.2171885416828</v>
      </c>
      <c r="G536" s="24">
        <f t="shared" si="90"/>
        <v>11146.500745535739</v>
      </c>
      <c r="H536" s="24">
        <f t="shared" si="91"/>
        <v>0</v>
      </c>
      <c r="I536" s="24">
        <f t="shared" si="92"/>
        <v>-11146.500745535739</v>
      </c>
      <c r="J536" s="25">
        <f t="shared" si="93"/>
        <v>7.9741404289037643E-3</v>
      </c>
      <c r="K536" s="24">
        <f t="shared" si="98"/>
        <v>12302824.867595049</v>
      </c>
      <c r="L536" s="24">
        <f t="shared" si="94"/>
        <v>12302824.867595049</v>
      </c>
      <c r="M536" s="24">
        <f t="shared" si="95"/>
        <v>0</v>
      </c>
      <c r="N536" s="24">
        <f>IF(M536&lt;=0,0,IF($E$2-A536&lt;12,(M536-E536)*Dashboard!$B$18,IF($Q$2+A536&gt;=$R$2,MAX(0,M536-E536*POWER(1+$C$2,$E$2-A536))*MAX(Dashboard!$C$18,Dashboard!$B$18),IF($S$2&lt;$R$2,(M536-E536)*0.5*Dashboard!$B$18,(E536*POWER(1+$A$2,$R$2-($Q$2+A536))-E536)*0.5*Dashboard!$B$18+MAX(0,M536-E536*POWER(1+$A$2,$R$2-($Q$2+A536))*POWER(1+$C$2,$S$2-$R$2))*MAX(Dashboard!$C$18,Dashboard!$B$18)))))</f>
        <v>0</v>
      </c>
    </row>
    <row r="537" spans="1:14" x14ac:dyDescent="0.2">
      <c r="A537" s="22">
        <f t="shared" si="96"/>
        <v>532</v>
      </c>
      <c r="B537" s="23">
        <f t="shared" si="97"/>
        <v>62.38812785388194</v>
      </c>
      <c r="C537" t="str">
        <f t="shared" si="88"/>
        <v>62 y 4.66 m</v>
      </c>
      <c r="D537" s="24">
        <f>IF(A537&gt;=$E$2,IF(A537&lt;$E$2+$H$2,$P$2,0),IF(B537&lt;Dashboard!$I$6,0,IF(A537&gt;=$F$2,Dashboard!$C$23*POWER(1+$C$2,A537-$F$2),Dashboard!$C$23)))</f>
        <v>0</v>
      </c>
      <c r="E537" s="24">
        <f>IF(A537&gt;=$F$2,0,IF(A537=0,Dashboard!$G$10,IF(B537&lt;Dashboard!$I$6,IF($J$2&lt;=Dashboard!$H$10,Dashboard!$H$10,MAX(Dashboard!$H$10,MIN($J$2,Dashboard!$H$10*POWER($J$2/Dashboard!$H$10,A537/$D$2)))),$I$2-D537-Dashboard!$I$10-Dashboard!$J$10-Dashboard!$F$10*$I$2)))</f>
        <v>0</v>
      </c>
      <c r="F537" s="24">
        <f t="shared" si="89"/>
        <v>8587.8704327470696</v>
      </c>
      <c r="G537" s="24">
        <f t="shared" si="90"/>
        <v>11171.719665829149</v>
      </c>
      <c r="H537" s="24">
        <f t="shared" si="91"/>
        <v>0</v>
      </c>
      <c r="I537" s="24">
        <f t="shared" si="92"/>
        <v>-11171.719665829149</v>
      </c>
      <c r="J537" s="25">
        <f t="shared" si="93"/>
        <v>7.9741404289037643E-3</v>
      </c>
      <c r="K537" s="24">
        <f t="shared" si="98"/>
        <v>12389668.516234184</v>
      </c>
      <c r="L537" s="24">
        <f t="shared" si="94"/>
        <v>12389668.516234184</v>
      </c>
      <c r="M537" s="24">
        <f t="shared" si="95"/>
        <v>0</v>
      </c>
      <c r="N537" s="24">
        <f>IF(M537&lt;=0,0,IF($E$2-A537&lt;12,(M537-E537)*Dashboard!$B$18,IF($Q$2+A537&gt;=$R$2,MAX(0,M537-E537*POWER(1+$C$2,$E$2-A537))*MAX(Dashboard!$C$18,Dashboard!$B$18),IF($S$2&lt;$R$2,(M537-E537)*0.5*Dashboard!$B$18,(E537*POWER(1+$A$2,$R$2-($Q$2+A537))-E537)*0.5*Dashboard!$B$18+MAX(0,M537-E537*POWER(1+$A$2,$R$2-($Q$2+A537))*POWER(1+$C$2,$S$2-$R$2))*MAX(Dashboard!$C$18,Dashboard!$B$18)))))</f>
        <v>0</v>
      </c>
    </row>
    <row r="538" spans="1:14" x14ac:dyDescent="0.2">
      <c r="A538" s="22">
        <f t="shared" si="96"/>
        <v>533</v>
      </c>
      <c r="B538" s="23">
        <f t="shared" si="97"/>
        <v>62.471461187215276</v>
      </c>
      <c r="C538" t="str">
        <f t="shared" si="88"/>
        <v>62 y 5.66 m</v>
      </c>
      <c r="D538" s="24">
        <f>IF(A538&gt;=$E$2,IF(A538&lt;$E$2+$H$2,$P$2,0),IF(B538&lt;Dashboard!$I$6,0,IF(A538&gt;=$F$2,Dashboard!$C$23*POWER(1+$C$2,A538-$F$2),Dashboard!$C$23)))</f>
        <v>0</v>
      </c>
      <c r="E538" s="24">
        <f>IF(A538&gt;=$F$2,0,IF(A538=0,Dashboard!$G$10,IF(B538&lt;Dashboard!$I$6,IF($J$2&lt;=Dashboard!$H$10,Dashboard!$H$10,MAX(Dashboard!$H$10,MIN($J$2,Dashboard!$H$10*POWER($J$2/Dashboard!$H$10,A538/$D$2)))),$I$2-D538-Dashboard!$I$10-Dashboard!$J$10-Dashboard!$F$10*$I$2)))</f>
        <v>0</v>
      </c>
      <c r="F538" s="24">
        <f t="shared" si="89"/>
        <v>8605.5600397451508</v>
      </c>
      <c r="G538" s="24">
        <f t="shared" si="90"/>
        <v>11196.990532969265</v>
      </c>
      <c r="H538" s="24">
        <f t="shared" si="91"/>
        <v>0</v>
      </c>
      <c r="I538" s="24">
        <f t="shared" si="92"/>
        <v>-11196.990532969265</v>
      </c>
      <c r="J538" s="25">
        <f t="shared" si="93"/>
        <v>7.9741404289037643E-3</v>
      </c>
      <c r="K538" s="24">
        <f t="shared" si="98"/>
        <v>12477179.195942342</v>
      </c>
      <c r="L538" s="24">
        <f t="shared" si="94"/>
        <v>12477179.195942342</v>
      </c>
      <c r="M538" s="24">
        <f t="shared" si="95"/>
        <v>0</v>
      </c>
      <c r="N538" s="24">
        <f>IF(M538&lt;=0,0,IF($E$2-A538&lt;12,(M538-E538)*Dashboard!$B$18,IF($Q$2+A538&gt;=$R$2,MAX(0,M538-E538*POWER(1+$C$2,$E$2-A538))*MAX(Dashboard!$C$18,Dashboard!$B$18),IF($S$2&lt;$R$2,(M538-E538)*0.5*Dashboard!$B$18,(E538*POWER(1+$A$2,$R$2-($Q$2+A538))-E538)*0.5*Dashboard!$B$18+MAX(0,M538-E538*POWER(1+$A$2,$R$2-($Q$2+A538))*POWER(1+$C$2,$S$2-$R$2))*MAX(Dashboard!$C$18,Dashboard!$B$18)))))</f>
        <v>0</v>
      </c>
    </row>
    <row r="539" spans="1:14" x14ac:dyDescent="0.2">
      <c r="A539" s="22">
        <f t="shared" si="96"/>
        <v>534</v>
      </c>
      <c r="B539" s="23">
        <f t="shared" si="97"/>
        <v>62.554794520548612</v>
      </c>
      <c r="C539" t="str">
        <f t="shared" si="88"/>
        <v>62 y 6.66 m</v>
      </c>
      <c r="D539" s="24">
        <f>IF(A539&gt;=$E$2,IF(A539&lt;$E$2+$H$2,$P$2,0),IF(B539&lt;Dashboard!$I$6,0,IF(A539&gt;=$F$2,Dashboard!$C$23*POWER(1+$C$2,A539-$F$2),Dashboard!$C$23)))</f>
        <v>0</v>
      </c>
      <c r="E539" s="24">
        <f>IF(A539&gt;=$F$2,0,IF(A539=0,Dashboard!$G$10,IF(B539&lt;Dashboard!$I$6,IF($J$2&lt;=Dashboard!$H$10,Dashboard!$H$10,MAX(Dashboard!$H$10,MIN($J$2,Dashboard!$H$10*POWER($J$2/Dashboard!$H$10,A539/$D$2)))),$I$2-D539-Dashboard!$I$10-Dashboard!$J$10-Dashboard!$F$10*$I$2)))</f>
        <v>0</v>
      </c>
      <c r="F539" s="24">
        <f t="shared" si="89"/>
        <v>8623.2860844373299</v>
      </c>
      <c r="G539" s="24">
        <f t="shared" si="90"/>
        <v>11222.313453958093</v>
      </c>
      <c r="H539" s="24">
        <f t="shared" si="91"/>
        <v>0</v>
      </c>
      <c r="I539" s="24">
        <f t="shared" si="92"/>
        <v>-11222.313453958093</v>
      </c>
      <c r="J539" s="25">
        <f t="shared" si="93"/>
        <v>7.9741404289037643E-3</v>
      </c>
      <c r="K539" s="24">
        <f t="shared" si="98"/>
        <v>12565362.173250007</v>
      </c>
      <c r="L539" s="24">
        <f t="shared" si="94"/>
        <v>12565362.173250007</v>
      </c>
      <c r="M539" s="24">
        <f t="shared" si="95"/>
        <v>0</v>
      </c>
      <c r="N539" s="24">
        <f>IF(M539&lt;=0,0,IF($E$2-A539&lt;12,(M539-E539)*Dashboard!$B$18,IF($Q$2+A539&gt;=$R$2,MAX(0,M539-E539*POWER(1+$C$2,$E$2-A539))*MAX(Dashboard!$C$18,Dashboard!$B$18),IF($S$2&lt;$R$2,(M539-E539)*0.5*Dashboard!$B$18,(E539*POWER(1+$A$2,$R$2-($Q$2+A539))-E539)*0.5*Dashboard!$B$18+MAX(0,M539-E539*POWER(1+$A$2,$R$2-($Q$2+A539))*POWER(1+$C$2,$S$2-$R$2))*MAX(Dashboard!$C$18,Dashboard!$B$18)))))</f>
        <v>0</v>
      </c>
    </row>
    <row r="540" spans="1:14" x14ac:dyDescent="0.2">
      <c r="A540" s="22">
        <f t="shared" si="96"/>
        <v>535</v>
      </c>
      <c r="B540" s="23">
        <f t="shared" si="97"/>
        <v>62.638127853881947</v>
      </c>
      <c r="C540" t="str">
        <f t="shared" si="88"/>
        <v>62 y 7.66 m</v>
      </c>
      <c r="D540" s="24">
        <f>IF(A540&gt;=$E$2,IF(A540&lt;$E$2+$H$2,$P$2,0),IF(B540&lt;Dashboard!$I$6,0,IF(A540&gt;=$F$2,Dashboard!$C$23*POWER(1+$C$2,A540-$F$2),Dashboard!$C$23)))</f>
        <v>0</v>
      </c>
      <c r="E540" s="24">
        <f>IF(A540&gt;=$F$2,0,IF(A540=0,Dashboard!$G$10,IF(B540&lt;Dashboard!$I$6,IF($J$2&lt;=Dashboard!$H$10,Dashboard!$H$10,MAX(Dashboard!$H$10,MIN($J$2,Dashboard!$H$10*POWER($J$2/Dashboard!$H$10,A540/$D$2)))),$I$2-D540-Dashboard!$I$10-Dashboard!$J$10-Dashboard!$F$10*$I$2)))</f>
        <v>0</v>
      </c>
      <c r="F540" s="24">
        <f t="shared" si="89"/>
        <v>8641.0486418792825</v>
      </c>
      <c r="G540" s="24">
        <f t="shared" si="90"/>
        <v>11247.688536018022</v>
      </c>
      <c r="H540" s="24">
        <f t="shared" si="91"/>
        <v>0</v>
      </c>
      <c r="I540" s="24">
        <f t="shared" si="92"/>
        <v>-11247.688536018022</v>
      </c>
      <c r="J540" s="25">
        <f t="shared" si="93"/>
        <v>7.9741404289037643E-3</v>
      </c>
      <c r="K540" s="24">
        <f t="shared" si="98"/>
        <v>12654222.756575633</v>
      </c>
      <c r="L540" s="24">
        <f t="shared" si="94"/>
        <v>12654222.756575633</v>
      </c>
      <c r="M540" s="24">
        <f t="shared" si="95"/>
        <v>0</v>
      </c>
      <c r="N540" s="24">
        <f>IF(M540&lt;=0,0,IF($E$2-A540&lt;12,(M540-E540)*Dashboard!$B$18,IF($Q$2+A540&gt;=$R$2,MAX(0,M540-E540*POWER(1+$C$2,$E$2-A540))*MAX(Dashboard!$C$18,Dashboard!$B$18),IF($S$2&lt;$R$2,(M540-E540)*0.5*Dashboard!$B$18,(E540*POWER(1+$A$2,$R$2-($Q$2+A540))-E540)*0.5*Dashboard!$B$18+MAX(0,M540-E540*POWER(1+$A$2,$R$2-($Q$2+A540))*POWER(1+$C$2,$S$2-$R$2))*MAX(Dashboard!$C$18,Dashboard!$B$18)))))</f>
        <v>0</v>
      </c>
    </row>
    <row r="541" spans="1:14" x14ac:dyDescent="0.2">
      <c r="A541" s="22">
        <f t="shared" si="96"/>
        <v>536</v>
      </c>
      <c r="B541" s="23">
        <f t="shared" si="97"/>
        <v>62.721461187215283</v>
      </c>
      <c r="C541" t="str">
        <f t="shared" si="88"/>
        <v>62 y 8.66 m</v>
      </c>
      <c r="D541" s="24">
        <f>IF(A541&gt;=$E$2,IF(A541&lt;$E$2+$H$2,$P$2,0),IF(B541&lt;Dashboard!$I$6,0,IF(A541&gt;=$F$2,Dashboard!$C$23*POWER(1+$C$2,A541-$F$2),Dashboard!$C$23)))</f>
        <v>0</v>
      </c>
      <c r="E541" s="24">
        <f>IF(A541&gt;=$F$2,0,IF(A541=0,Dashboard!$G$10,IF(B541&lt;Dashboard!$I$6,IF($J$2&lt;=Dashboard!$H$10,Dashboard!$H$10,MAX(Dashboard!$H$10,MIN($J$2,Dashboard!$H$10*POWER($J$2/Dashboard!$H$10,A541/$D$2)))),$I$2-D541-Dashboard!$I$10-Dashboard!$J$10-Dashboard!$F$10*$I$2)))</f>
        <v>0</v>
      </c>
      <c r="F541" s="24">
        <f t="shared" si="89"/>
        <v>8658.8477872813037</v>
      </c>
      <c r="G541" s="24">
        <f t="shared" si="90"/>
        <v>11275.684318435933</v>
      </c>
      <c r="H541" s="24">
        <f t="shared" si="91"/>
        <v>0</v>
      </c>
      <c r="I541" s="24">
        <f t="shared" si="92"/>
        <v>-11275.684318435933</v>
      </c>
      <c r="J541" s="25">
        <f t="shared" si="93"/>
        <v>7.9741404289037643E-3</v>
      </c>
      <c r="K541" s="24">
        <f t="shared" si="98"/>
        <v>12743763.707646573</v>
      </c>
      <c r="L541" s="24">
        <f t="shared" si="94"/>
        <v>12743763.707646573</v>
      </c>
      <c r="M541" s="24">
        <f t="shared" si="95"/>
        <v>0</v>
      </c>
      <c r="N541" s="24">
        <f>IF(M541&lt;=0,0,IF($E$2-A541&lt;12,(M541-E541)*Dashboard!$B$18,IF($Q$2+A541&gt;=$R$2,MAX(0,M541-E541*POWER(1+$C$2,$E$2-A541))*MAX(Dashboard!$C$18,Dashboard!$B$18),IF($S$2&lt;$R$2,(M541-E541)*0.5*Dashboard!$B$18,(E541*POWER(1+$A$2,$R$2-($Q$2+A541))-E541)*0.5*Dashboard!$B$18+MAX(0,M541-E541*POWER(1+$A$2,$R$2-($Q$2+A541))*POWER(1+$C$2,$S$2-$R$2))*MAX(Dashboard!$C$18,Dashboard!$B$18)))))</f>
        <v>0</v>
      </c>
    </row>
    <row r="542" spans="1:14" x14ac:dyDescent="0.2">
      <c r="A542" s="22">
        <f t="shared" si="96"/>
        <v>537</v>
      </c>
      <c r="B542" s="23">
        <f t="shared" si="97"/>
        <v>62.804794520548619</v>
      </c>
      <c r="C542" t="str">
        <f t="shared" si="88"/>
        <v>62 y 9.66 m</v>
      </c>
      <c r="D542" s="24">
        <f>IF(A542&gt;=$E$2,IF(A542&lt;$E$2+$H$2,$P$2,0),IF(B542&lt;Dashboard!$I$6,0,IF(A542&gt;=$F$2,Dashboard!$C$23*POWER(1+$C$2,A542-$F$2),Dashboard!$C$23)))</f>
        <v>0</v>
      </c>
      <c r="E542" s="24">
        <f>IF(A542&gt;=$F$2,0,IF(A542=0,Dashboard!$G$10,IF(B542&lt;Dashboard!$I$6,IF($J$2&lt;=Dashboard!$H$10,Dashboard!$H$10,MAX(Dashboard!$H$10,MIN($J$2,Dashboard!$H$10*POWER($J$2/Dashboard!$H$10,A542/$D$2)))),$I$2-D542-Dashboard!$I$10-Dashboard!$J$10-Dashboard!$F$10*$I$2)))</f>
        <v>0</v>
      </c>
      <c r="F542" s="24">
        <f t="shared" si="89"/>
        <v>8676.6835960085918</v>
      </c>
      <c r="G542" s="24">
        <f t="shared" si="90"/>
        <v>11303.995125939562</v>
      </c>
      <c r="H542" s="24">
        <f t="shared" si="91"/>
        <v>0</v>
      </c>
      <c r="I542" s="24">
        <f t="shared" si="92"/>
        <v>-11303.995125939562</v>
      </c>
      <c r="J542" s="25">
        <f t="shared" si="93"/>
        <v>7.9741404289037643E-3</v>
      </c>
      <c r="K542" s="24">
        <f t="shared" si="98"/>
        <v>12833990.134273631</v>
      </c>
      <c r="L542" s="24">
        <f t="shared" si="94"/>
        <v>12833990.134273631</v>
      </c>
      <c r="M542" s="24">
        <f t="shared" si="95"/>
        <v>0</v>
      </c>
      <c r="N542" s="24">
        <f>IF(M542&lt;=0,0,IF($E$2-A542&lt;12,(M542-E542)*Dashboard!$B$18,IF($Q$2+A542&gt;=$R$2,MAX(0,M542-E542*POWER(1+$C$2,$E$2-A542))*MAX(Dashboard!$C$18,Dashboard!$B$18),IF($S$2&lt;$R$2,(M542-E542)*0.5*Dashboard!$B$18,(E542*POWER(1+$A$2,$R$2-($Q$2+A542))-E542)*0.5*Dashboard!$B$18+MAX(0,M542-E542*POWER(1+$A$2,$R$2-($Q$2+A542))*POWER(1+$C$2,$S$2-$R$2))*MAX(Dashboard!$C$18,Dashboard!$B$18)))))</f>
        <v>0</v>
      </c>
    </row>
    <row r="543" spans="1:14" x14ac:dyDescent="0.2">
      <c r="A543" s="22">
        <f t="shared" si="96"/>
        <v>538</v>
      </c>
      <c r="B543" s="23">
        <f t="shared" si="97"/>
        <v>62.888127853881954</v>
      </c>
      <c r="C543" t="str">
        <f t="shared" si="88"/>
        <v>62 y 10.66 m</v>
      </c>
      <c r="D543" s="24">
        <f>IF(A543&gt;=$E$2,IF(A543&lt;$E$2+$H$2,$P$2,0),IF(B543&lt;Dashboard!$I$6,0,IF(A543&gt;=$F$2,Dashboard!$C$23*POWER(1+$C$2,A543-$F$2),Dashboard!$C$23)))</f>
        <v>0</v>
      </c>
      <c r="E543" s="24">
        <f>IF(A543&gt;=$F$2,0,IF(A543=0,Dashboard!$G$10,IF(B543&lt;Dashboard!$I$6,IF($J$2&lt;=Dashboard!$H$10,Dashboard!$H$10,MAX(Dashboard!$H$10,MIN($J$2,Dashboard!$H$10*POWER($J$2/Dashboard!$H$10,A543/$D$2)))),$I$2-D543-Dashboard!$I$10-Dashboard!$J$10-Dashboard!$F$10*$I$2)))</f>
        <v>0</v>
      </c>
      <c r="F543" s="24">
        <f t="shared" si="89"/>
        <v>8694.556143581598</v>
      </c>
      <c r="G543" s="24">
        <f t="shared" si="90"/>
        <v>11332.364249071319</v>
      </c>
      <c r="H543" s="24">
        <f t="shared" si="91"/>
        <v>0</v>
      </c>
      <c r="I543" s="24">
        <f t="shared" si="92"/>
        <v>-11332.364249071319</v>
      </c>
      <c r="J543" s="25">
        <f t="shared" si="93"/>
        <v>7.9741404289037643E-3</v>
      </c>
      <c r="K543" s="24">
        <f t="shared" si="98"/>
        <v>12924907.443754511</v>
      </c>
      <c r="L543" s="24">
        <f t="shared" si="94"/>
        <v>12924907.443754511</v>
      </c>
      <c r="M543" s="24">
        <f t="shared" si="95"/>
        <v>0</v>
      </c>
      <c r="N543" s="24">
        <f>IF(M543&lt;=0,0,IF($E$2-A543&lt;12,(M543-E543)*Dashboard!$B$18,IF($Q$2+A543&gt;=$R$2,MAX(0,M543-E543*POWER(1+$C$2,$E$2-A543))*MAX(Dashboard!$C$18,Dashboard!$B$18),IF($S$2&lt;$R$2,(M543-E543)*0.5*Dashboard!$B$18,(E543*POWER(1+$A$2,$R$2-($Q$2+A543))-E543)*0.5*Dashboard!$B$18+MAX(0,M543-E543*POWER(1+$A$2,$R$2-($Q$2+A543))*POWER(1+$C$2,$S$2-$R$2))*MAX(Dashboard!$C$18,Dashboard!$B$18)))))</f>
        <v>0</v>
      </c>
    </row>
    <row r="544" spans="1:14" x14ac:dyDescent="0.2">
      <c r="A544" s="22">
        <f t="shared" si="96"/>
        <v>539</v>
      </c>
      <c r="B544" s="23">
        <f t="shared" si="97"/>
        <v>62.97146118721529</v>
      </c>
      <c r="C544" t="str">
        <f t="shared" si="88"/>
        <v>62 y 11.66 m</v>
      </c>
      <c r="D544" s="24">
        <f>IF(A544&gt;=$E$2,IF(A544&lt;$E$2+$H$2,$P$2,0),IF(B544&lt;Dashboard!$I$6,0,IF(A544&gt;=$F$2,Dashboard!$C$23*POWER(1+$C$2,A544-$F$2),Dashboard!$C$23)))</f>
        <v>0</v>
      </c>
      <c r="E544" s="24">
        <f>IF(A544&gt;=$F$2,0,IF(A544=0,Dashboard!$G$10,IF(B544&lt;Dashboard!$I$6,IF($J$2&lt;=Dashboard!$H$10,Dashboard!$H$10,MAX(Dashboard!$H$10,MIN($J$2,Dashboard!$H$10*POWER($J$2/Dashboard!$H$10,A544/$D$2)))),$I$2-D544-Dashboard!$I$10-Dashboard!$J$10-Dashboard!$F$10*$I$2)))</f>
        <v>0</v>
      </c>
      <c r="F544" s="24">
        <f t="shared" si="89"/>
        <v>8712.4655056763331</v>
      </c>
      <c r="G544" s="24">
        <f t="shared" si="90"/>
        <v>11360.791807951851</v>
      </c>
      <c r="H544" s="24">
        <f t="shared" si="91"/>
        <v>0</v>
      </c>
      <c r="I544" s="24">
        <f t="shared" si="92"/>
        <v>-11360.791807951851</v>
      </c>
      <c r="J544" s="25">
        <f t="shared" si="93"/>
        <v>7.9741404289037643E-3</v>
      </c>
      <c r="K544" s="24">
        <f t="shared" si="98"/>
        <v>13016521.086384382</v>
      </c>
      <c r="L544" s="24">
        <f t="shared" si="94"/>
        <v>13016521.086384382</v>
      </c>
      <c r="M544" s="24">
        <f t="shared" si="95"/>
        <v>0</v>
      </c>
      <c r="N544" s="24">
        <f>IF(M544&lt;=0,0,IF($E$2-A544&lt;12,(M544-E544)*Dashboard!$B$18,IF($Q$2+A544&gt;=$R$2,MAX(0,M544-E544*POWER(1+$C$2,$E$2-A544))*MAX(Dashboard!$C$18,Dashboard!$B$18),IF($S$2&lt;$R$2,(M544-E544)*0.5*Dashboard!$B$18,(E544*POWER(1+$A$2,$R$2-($Q$2+A544))-E544)*0.5*Dashboard!$B$18+MAX(0,M544-E544*POWER(1+$A$2,$R$2-($Q$2+A544))*POWER(1+$C$2,$S$2-$R$2))*MAX(Dashboard!$C$18,Dashboard!$B$18)))))</f>
        <v>0</v>
      </c>
    </row>
    <row r="545" spans="1:14" x14ac:dyDescent="0.2">
      <c r="A545" s="22">
        <f t="shared" si="96"/>
        <v>540</v>
      </c>
      <c r="B545" s="23">
        <f t="shared" si="97"/>
        <v>63.054794520548626</v>
      </c>
      <c r="C545" t="str">
        <f t="shared" si="88"/>
        <v>63 y 0.66 m</v>
      </c>
      <c r="D545" s="24">
        <f>IF(A545&gt;=$E$2,IF(A545&lt;$E$2+$H$2,$P$2,0),IF(B545&lt;Dashboard!$I$6,0,IF(A545&gt;=$F$2,Dashboard!$C$23*POWER(1+$C$2,A545-$F$2),Dashboard!$C$23)))</f>
        <v>0</v>
      </c>
      <c r="E545" s="24">
        <f>IF(A545&gt;=$F$2,0,IF(A545=0,Dashboard!$G$10,IF(B545&lt;Dashboard!$I$6,IF($J$2&lt;=Dashboard!$H$10,Dashboard!$H$10,MAX(Dashboard!$H$10,MIN($J$2,Dashboard!$H$10*POWER($J$2/Dashboard!$H$10,A545/$D$2)))),$I$2-D545-Dashboard!$I$10-Dashboard!$J$10-Dashboard!$F$10*$I$2)))</f>
        <v>0</v>
      </c>
      <c r="F545" s="24">
        <f t="shared" si="89"/>
        <v>8730.4117581246774</v>
      </c>
      <c r="G545" s="24">
        <f t="shared" si="90"/>
        <v>11389.277922949224</v>
      </c>
      <c r="H545" s="24">
        <f t="shared" si="91"/>
        <v>0</v>
      </c>
      <c r="I545" s="24">
        <f t="shared" si="92"/>
        <v>-11389.277922949224</v>
      </c>
      <c r="J545" s="25">
        <f t="shared" si="93"/>
        <v>7.9741404289037643E-3</v>
      </c>
      <c r="K545" s="24">
        <f t="shared" si="98"/>
        <v>13108836.555798508</v>
      </c>
      <c r="L545" s="24">
        <f t="shared" si="94"/>
        <v>13108836.555798508</v>
      </c>
      <c r="M545" s="24">
        <f t="shared" si="95"/>
        <v>0</v>
      </c>
      <c r="N545" s="24">
        <f>IF(M545&lt;=0,0,IF($E$2-A545&lt;12,(M545-E545)*Dashboard!$B$18,IF($Q$2+A545&gt;=$R$2,MAX(0,M545-E545*POWER(1+$C$2,$E$2-A545))*MAX(Dashboard!$C$18,Dashboard!$B$18),IF($S$2&lt;$R$2,(M545-E545)*0.5*Dashboard!$B$18,(E545*POWER(1+$A$2,$R$2-($Q$2+A545))-E545)*0.5*Dashboard!$B$18+MAX(0,M545-E545*POWER(1+$A$2,$R$2-($Q$2+A545))*POWER(1+$C$2,$S$2-$R$2))*MAX(Dashboard!$C$18,Dashboard!$B$18)))))</f>
        <v>0</v>
      </c>
    </row>
    <row r="546" spans="1:14" x14ac:dyDescent="0.2">
      <c r="A546" s="22">
        <f t="shared" si="96"/>
        <v>541</v>
      </c>
      <c r="B546" s="23">
        <f t="shared" si="97"/>
        <v>63.138127853881961</v>
      </c>
      <c r="C546" t="str">
        <f t="shared" si="88"/>
        <v>63 y 1.66 m</v>
      </c>
      <c r="D546" s="24">
        <f>IF(A546&gt;=$E$2,IF(A546&lt;$E$2+$H$2,$P$2,0),IF(B546&lt;Dashboard!$I$6,0,IF(A546&gt;=$F$2,Dashboard!$C$23*POWER(1+$C$2,A546-$F$2),Dashboard!$C$23)))</f>
        <v>0</v>
      </c>
      <c r="E546" s="24">
        <f>IF(A546&gt;=$F$2,0,IF(A546=0,Dashboard!$G$10,IF(B546&lt;Dashboard!$I$6,IF($J$2&lt;=Dashboard!$H$10,Dashboard!$H$10,MAX(Dashboard!$H$10,MIN($J$2,Dashboard!$H$10*POWER($J$2/Dashboard!$H$10,A546/$D$2)))),$I$2-D546-Dashboard!$I$10-Dashboard!$J$10-Dashboard!$F$10*$I$2)))</f>
        <v>0</v>
      </c>
      <c r="F546" s="24">
        <f t="shared" si="89"/>
        <v>8748.3949769147239</v>
      </c>
      <c r="G546" s="24">
        <f t="shared" si="90"/>
        <v>11417.822714679458</v>
      </c>
      <c r="H546" s="24">
        <f t="shared" si="91"/>
        <v>0</v>
      </c>
      <c r="I546" s="24">
        <f t="shared" si="92"/>
        <v>-11417.822714679458</v>
      </c>
      <c r="J546" s="25">
        <f t="shared" si="93"/>
        <v>7.9741404289037643E-3</v>
      </c>
      <c r="K546" s="24">
        <f t="shared" si="98"/>
        <v>13201859.389317594</v>
      </c>
      <c r="L546" s="24">
        <f t="shared" si="94"/>
        <v>13201859.389317594</v>
      </c>
      <c r="M546" s="24">
        <f t="shared" si="95"/>
        <v>0</v>
      </c>
      <c r="N546" s="24">
        <f>IF(M546&lt;=0,0,IF($E$2-A546&lt;12,(M546-E546)*Dashboard!$B$18,IF($Q$2+A546&gt;=$R$2,MAX(0,M546-E546*POWER(1+$C$2,$E$2-A546))*MAX(Dashboard!$C$18,Dashboard!$B$18),IF($S$2&lt;$R$2,(M546-E546)*0.5*Dashboard!$B$18,(E546*POWER(1+$A$2,$R$2-($Q$2+A546))-E546)*0.5*Dashboard!$B$18+MAX(0,M546-E546*POWER(1+$A$2,$R$2-($Q$2+A546))*POWER(1+$C$2,$S$2-$R$2))*MAX(Dashboard!$C$18,Dashboard!$B$18)))))</f>
        <v>0</v>
      </c>
    </row>
    <row r="547" spans="1:14" x14ac:dyDescent="0.2">
      <c r="A547" s="22">
        <f t="shared" si="96"/>
        <v>542</v>
      </c>
      <c r="B547" s="23">
        <f t="shared" si="97"/>
        <v>63.221461187215297</v>
      </c>
      <c r="C547" t="str">
        <f t="shared" si="88"/>
        <v>63 y 2.66 m</v>
      </c>
      <c r="D547" s="24">
        <f>IF(A547&gt;=$E$2,IF(A547&lt;$E$2+$H$2,$P$2,0),IF(B547&lt;Dashboard!$I$6,0,IF(A547&gt;=$F$2,Dashboard!$C$23*POWER(1+$C$2,A547-$F$2),Dashboard!$C$23)))</f>
        <v>0</v>
      </c>
      <c r="E547" s="24">
        <f>IF(A547&gt;=$F$2,0,IF(A547=0,Dashboard!$G$10,IF(B547&lt;Dashboard!$I$6,IF($J$2&lt;=Dashboard!$H$10,Dashboard!$H$10,MAX(Dashboard!$H$10,MIN($J$2,Dashboard!$H$10*POWER($J$2/Dashboard!$H$10,A547/$D$2)))),$I$2-D547-Dashboard!$I$10-Dashboard!$J$10-Dashboard!$F$10*$I$2)))</f>
        <v>0</v>
      </c>
      <c r="F547" s="24">
        <f t="shared" si="89"/>
        <v>8766.4152381910844</v>
      </c>
      <c r="G547" s="24">
        <f t="shared" si="90"/>
        <v>11446.426304007013</v>
      </c>
      <c r="H547" s="24">
        <f t="shared" si="91"/>
        <v>0</v>
      </c>
      <c r="I547" s="24">
        <f t="shared" si="92"/>
        <v>-11446.426304007013</v>
      </c>
      <c r="J547" s="25">
        <f t="shared" si="93"/>
        <v>7.9741404289037643E-3</v>
      </c>
      <c r="K547" s="24">
        <f t="shared" si="98"/>
        <v>13295595.16829589</v>
      </c>
      <c r="L547" s="24">
        <f t="shared" si="94"/>
        <v>13295595.16829589</v>
      </c>
      <c r="M547" s="24">
        <f t="shared" si="95"/>
        <v>0</v>
      </c>
      <c r="N547" s="24">
        <f>IF(M547&lt;=0,0,IF($E$2-A547&lt;12,(M547-E547)*Dashboard!$B$18,IF($Q$2+A547&gt;=$R$2,MAX(0,M547-E547*POWER(1+$C$2,$E$2-A547))*MAX(Dashboard!$C$18,Dashboard!$B$18),IF($S$2&lt;$R$2,(M547-E547)*0.5*Dashboard!$B$18,(E547*POWER(1+$A$2,$R$2-($Q$2+A547))-E547)*0.5*Dashboard!$B$18+MAX(0,M547-E547*POWER(1+$A$2,$R$2-($Q$2+A547))*POWER(1+$C$2,$S$2-$R$2))*MAX(Dashboard!$C$18,Dashboard!$B$18)))))</f>
        <v>0</v>
      </c>
    </row>
    <row r="548" spans="1:14" x14ac:dyDescent="0.2">
      <c r="A548" s="22">
        <f t="shared" si="96"/>
        <v>543</v>
      </c>
      <c r="B548" s="23">
        <f t="shared" si="97"/>
        <v>63.304794520548633</v>
      </c>
      <c r="C548" t="str">
        <f t="shared" si="88"/>
        <v>63 y 3.66 m</v>
      </c>
      <c r="D548" s="24">
        <f>IF(A548&gt;=$E$2,IF(A548&lt;$E$2+$H$2,$P$2,0),IF(B548&lt;Dashboard!$I$6,0,IF(A548&gt;=$F$2,Dashboard!$C$23*POWER(1+$C$2,A548-$F$2),Dashboard!$C$23)))</f>
        <v>0</v>
      </c>
      <c r="E548" s="24">
        <f>IF(A548&gt;=$F$2,0,IF(A548=0,Dashboard!$G$10,IF(B548&lt;Dashboard!$I$6,IF($J$2&lt;=Dashboard!$H$10,Dashboard!$H$10,MAX(Dashboard!$H$10,MIN($J$2,Dashboard!$H$10*POWER($J$2/Dashboard!$H$10,A548/$D$2)))),$I$2-D548-Dashboard!$I$10-Dashboard!$J$10-Dashboard!$F$10*$I$2)))</f>
        <v>0</v>
      </c>
      <c r="F548" s="24">
        <f t="shared" si="89"/>
        <v>8784.4726182552113</v>
      </c>
      <c r="G548" s="24">
        <f t="shared" si="90"/>
        <v>11475.088812045309</v>
      </c>
      <c r="H548" s="24">
        <f t="shared" si="91"/>
        <v>0</v>
      </c>
      <c r="I548" s="24">
        <f t="shared" si="92"/>
        <v>-11475.088812045309</v>
      </c>
      <c r="J548" s="25">
        <f t="shared" si="93"/>
        <v>7.9741404289037643E-3</v>
      </c>
      <c r="K548" s="24">
        <f t="shared" si="98"/>
        <v>13390049.518472068</v>
      </c>
      <c r="L548" s="24">
        <f t="shared" si="94"/>
        <v>13390049.518472068</v>
      </c>
      <c r="M548" s="24">
        <f t="shared" si="95"/>
        <v>0</v>
      </c>
      <c r="N548" s="24">
        <f>IF(M548&lt;=0,0,IF($E$2-A548&lt;12,(M548-E548)*Dashboard!$B$18,IF($Q$2+A548&gt;=$R$2,MAX(0,M548-E548*POWER(1+$C$2,$E$2-A548))*MAX(Dashboard!$C$18,Dashboard!$B$18),IF($S$2&lt;$R$2,(M548-E548)*0.5*Dashboard!$B$18,(E548*POWER(1+$A$2,$R$2-($Q$2+A548))-E548)*0.5*Dashboard!$B$18+MAX(0,M548-E548*POWER(1+$A$2,$R$2-($Q$2+A548))*POWER(1+$C$2,$S$2-$R$2))*MAX(Dashboard!$C$18,Dashboard!$B$18)))))</f>
        <v>0</v>
      </c>
    </row>
    <row r="549" spans="1:14" x14ac:dyDescent="0.2">
      <c r="A549" s="22">
        <f t="shared" si="96"/>
        <v>544</v>
      </c>
      <c r="B549" s="23">
        <f t="shared" si="97"/>
        <v>63.388127853881969</v>
      </c>
      <c r="C549" t="str">
        <f t="shared" si="88"/>
        <v>63 y 4.66 m</v>
      </c>
      <c r="D549" s="24">
        <f>IF(A549&gt;=$E$2,IF(A549&lt;$E$2+$H$2,$P$2,0),IF(B549&lt;Dashboard!$I$6,0,IF(A549&gt;=$F$2,Dashboard!$C$23*POWER(1+$C$2,A549-$F$2),Dashboard!$C$23)))</f>
        <v>0</v>
      </c>
      <c r="E549" s="24">
        <f>IF(A549&gt;=$F$2,0,IF(A549=0,Dashboard!$G$10,IF(B549&lt;Dashboard!$I$6,IF($J$2&lt;=Dashboard!$H$10,Dashboard!$H$10,MAX(Dashboard!$H$10,MIN($J$2,Dashboard!$H$10*POWER($J$2/Dashboard!$H$10,A549/$D$2)))),$I$2-D549-Dashboard!$I$10-Dashboard!$J$10-Dashboard!$F$10*$I$2)))</f>
        <v>0</v>
      </c>
      <c r="F549" s="24">
        <f t="shared" si="89"/>
        <v>8802.5671935657319</v>
      </c>
      <c r="G549" s="24">
        <f t="shared" si="90"/>
        <v>11503.810360157246</v>
      </c>
      <c r="H549" s="24">
        <f t="shared" si="91"/>
        <v>0</v>
      </c>
      <c r="I549" s="24">
        <f t="shared" si="92"/>
        <v>-11503.810360157246</v>
      </c>
      <c r="J549" s="25">
        <f t="shared" si="93"/>
        <v>7.9741404289037643E-3</v>
      </c>
      <c r="K549" s="24">
        <f t="shared" si="98"/>
        <v>13485228.110322902</v>
      </c>
      <c r="L549" s="24">
        <f t="shared" si="94"/>
        <v>13485228.110322902</v>
      </c>
      <c r="M549" s="24">
        <f t="shared" si="95"/>
        <v>0</v>
      </c>
      <c r="N549" s="24">
        <f>IF(M549&lt;=0,0,IF($E$2-A549&lt;12,(M549-E549)*Dashboard!$B$18,IF($Q$2+A549&gt;=$R$2,MAX(0,M549-E549*POWER(1+$C$2,$E$2-A549))*MAX(Dashboard!$C$18,Dashboard!$B$18),IF($S$2&lt;$R$2,(M549-E549)*0.5*Dashboard!$B$18,(E549*POWER(1+$A$2,$R$2-($Q$2+A549))-E549)*0.5*Dashboard!$B$18+MAX(0,M549-E549*POWER(1+$A$2,$R$2-($Q$2+A549))*POWER(1+$C$2,$S$2-$R$2))*MAX(Dashboard!$C$18,Dashboard!$B$18)))))</f>
        <v>0</v>
      </c>
    </row>
    <row r="550" spans="1:14" x14ac:dyDescent="0.2">
      <c r="A550" s="22">
        <f t="shared" si="96"/>
        <v>545</v>
      </c>
      <c r="B550" s="23">
        <f t="shared" si="97"/>
        <v>63.471461187215304</v>
      </c>
      <c r="C550" t="str">
        <f t="shared" si="88"/>
        <v>63 y 5.66 m</v>
      </c>
      <c r="D550" s="24">
        <f>IF(A550&gt;=$E$2,IF(A550&lt;$E$2+$H$2,$P$2,0),IF(B550&lt;Dashboard!$I$6,0,IF(A550&gt;=$F$2,Dashboard!$C$23*POWER(1+$C$2,A550-$F$2),Dashboard!$C$23)))</f>
        <v>0</v>
      </c>
      <c r="E550" s="24">
        <f>IF(A550&gt;=$F$2,0,IF(A550=0,Dashboard!$G$10,IF(B550&lt;Dashboard!$I$6,IF($J$2&lt;=Dashboard!$H$10,Dashboard!$H$10,MAX(Dashboard!$H$10,MIN($J$2,Dashboard!$H$10*POWER($J$2/Dashboard!$H$10,A550/$D$2)))),$I$2-D550-Dashboard!$I$10-Dashboard!$J$10-Dashboard!$F$10*$I$2)))</f>
        <v>0</v>
      </c>
      <c r="F550" s="24">
        <f t="shared" si="89"/>
        <v>8820.6990407387675</v>
      </c>
      <c r="G550" s="24">
        <f t="shared" si="90"/>
        <v>11532.591069955715</v>
      </c>
      <c r="H550" s="24">
        <f t="shared" si="91"/>
        <v>0</v>
      </c>
      <c r="I550" s="24">
        <f t="shared" si="92"/>
        <v>-11532.591069955715</v>
      </c>
      <c r="J550" s="25">
        <f t="shared" si="93"/>
        <v>7.9741404289037643E-3</v>
      </c>
      <c r="K550" s="24">
        <f t="shared" si="98"/>
        <v>13581136.65941976</v>
      </c>
      <c r="L550" s="24">
        <f t="shared" si="94"/>
        <v>13581136.65941976</v>
      </c>
      <c r="M550" s="24">
        <f t="shared" si="95"/>
        <v>0</v>
      </c>
      <c r="N550" s="24">
        <f>IF(M550&lt;=0,0,IF($E$2-A550&lt;12,(M550-E550)*Dashboard!$B$18,IF($Q$2+A550&gt;=$R$2,MAX(0,M550-E550*POWER(1+$C$2,$E$2-A550))*MAX(Dashboard!$C$18,Dashboard!$B$18),IF($S$2&lt;$R$2,(M550-E550)*0.5*Dashboard!$B$18,(E550*POWER(1+$A$2,$R$2-($Q$2+A550))-E550)*0.5*Dashboard!$B$18+MAX(0,M550-E550*POWER(1+$A$2,$R$2-($Q$2+A550))*POWER(1+$C$2,$S$2-$R$2))*MAX(Dashboard!$C$18,Dashboard!$B$18)))))</f>
        <v>0</v>
      </c>
    </row>
    <row r="551" spans="1:14" x14ac:dyDescent="0.2">
      <c r="A551" s="22">
        <f t="shared" si="96"/>
        <v>546</v>
      </c>
      <c r="B551" s="23">
        <f t="shared" si="97"/>
        <v>63.55479452054864</v>
      </c>
      <c r="C551" t="str">
        <f t="shared" si="88"/>
        <v>63 y 6.66 m</v>
      </c>
      <c r="D551" s="24">
        <f>IF(A551&gt;=$E$2,IF(A551&lt;$E$2+$H$2,$P$2,0),IF(B551&lt;Dashboard!$I$6,0,IF(A551&gt;=$F$2,Dashboard!$C$23*POWER(1+$C$2,A551-$F$2),Dashboard!$C$23)))</f>
        <v>0</v>
      </c>
      <c r="E551" s="24">
        <f>IF(A551&gt;=$F$2,0,IF(A551=0,Dashboard!$G$10,IF(B551&lt;Dashboard!$I$6,IF($J$2&lt;=Dashboard!$H$10,Dashboard!$H$10,MAX(Dashboard!$H$10,MIN($J$2,Dashboard!$H$10*POWER($J$2/Dashboard!$H$10,A551/$D$2)))),$I$2-D551-Dashboard!$I$10-Dashboard!$J$10-Dashboard!$F$10*$I$2)))</f>
        <v>0</v>
      </c>
      <c r="F551" s="24">
        <f t="shared" si="89"/>
        <v>8838.8682365482491</v>
      </c>
      <c r="G551" s="24">
        <f t="shared" si="90"/>
        <v>11561.4310633041</v>
      </c>
      <c r="H551" s="24">
        <f t="shared" si="91"/>
        <v>0</v>
      </c>
      <c r="I551" s="24">
        <f t="shared" si="92"/>
        <v>-11561.4310633041</v>
      </c>
      <c r="J551" s="25">
        <f t="shared" si="93"/>
        <v>7.9741404289037643E-3</v>
      </c>
      <c r="K551" s="24">
        <f t="shared" si="98"/>
        <v>13677780.926787945</v>
      </c>
      <c r="L551" s="24">
        <f t="shared" si="94"/>
        <v>13677780.926787945</v>
      </c>
      <c r="M551" s="24">
        <f t="shared" si="95"/>
        <v>0</v>
      </c>
      <c r="N551" s="24">
        <f>IF(M551&lt;=0,0,IF($E$2-A551&lt;12,(M551-E551)*Dashboard!$B$18,IF($Q$2+A551&gt;=$R$2,MAX(0,M551-E551*POWER(1+$C$2,$E$2-A551))*MAX(Dashboard!$C$18,Dashboard!$B$18),IF($S$2&lt;$R$2,(M551-E551)*0.5*Dashboard!$B$18,(E551*POWER(1+$A$2,$R$2-($Q$2+A551))-E551)*0.5*Dashboard!$B$18+MAX(0,M551-E551*POWER(1+$A$2,$R$2-($Q$2+A551))*POWER(1+$C$2,$S$2-$R$2))*MAX(Dashboard!$C$18,Dashboard!$B$18)))))</f>
        <v>0</v>
      </c>
    </row>
    <row r="552" spans="1:14" x14ac:dyDescent="0.2">
      <c r="A552" s="22">
        <f t="shared" si="96"/>
        <v>547</v>
      </c>
      <c r="B552" s="23">
        <f t="shared" si="97"/>
        <v>63.638127853881976</v>
      </c>
      <c r="C552" t="str">
        <f t="shared" si="88"/>
        <v>63 y 7.66 m</v>
      </c>
      <c r="D552" s="24">
        <f>IF(A552&gt;=$E$2,IF(A552&lt;$E$2+$H$2,$P$2,0),IF(B552&lt;Dashboard!$I$6,0,IF(A552&gt;=$F$2,Dashboard!$C$23*POWER(1+$C$2,A552-$F$2),Dashboard!$C$23)))</f>
        <v>0</v>
      </c>
      <c r="E552" s="24">
        <f>IF(A552&gt;=$F$2,0,IF(A552=0,Dashboard!$G$10,IF(B552&lt;Dashboard!$I$6,IF($J$2&lt;=Dashboard!$H$10,Dashboard!$H$10,MAX(Dashboard!$H$10,MIN($J$2,Dashboard!$H$10*POWER($J$2/Dashboard!$H$10,A552/$D$2)))),$I$2-D552-Dashboard!$I$10-Dashboard!$J$10-Dashboard!$F$10*$I$2)))</f>
        <v>0</v>
      </c>
      <c r="F552" s="24">
        <f t="shared" si="89"/>
        <v>8857.0748579262527</v>
      </c>
      <c r="G552" s="24">
        <f t="shared" si="90"/>
        <v>11590.330462316802</v>
      </c>
      <c r="H552" s="24">
        <f t="shared" si="91"/>
        <v>0</v>
      </c>
      <c r="I552" s="24">
        <f t="shared" si="92"/>
        <v>-11590.330462316802</v>
      </c>
      <c r="J552" s="25">
        <f t="shared" si="93"/>
        <v>7.9741404289037643E-3</v>
      </c>
      <c r="K552" s="24">
        <f t="shared" si="98"/>
        <v>13775166.719268894</v>
      </c>
      <c r="L552" s="24">
        <f t="shared" si="94"/>
        <v>13775166.719268894</v>
      </c>
      <c r="M552" s="24">
        <f t="shared" si="95"/>
        <v>0</v>
      </c>
      <c r="N552" s="24">
        <f>IF(M552&lt;=0,0,IF($E$2-A552&lt;12,(M552-E552)*Dashboard!$B$18,IF($Q$2+A552&gt;=$R$2,MAX(0,M552-E552*POWER(1+$C$2,$E$2-A552))*MAX(Dashboard!$C$18,Dashboard!$B$18),IF($S$2&lt;$R$2,(M552-E552)*0.5*Dashboard!$B$18,(E552*POWER(1+$A$2,$R$2-($Q$2+A552))-E552)*0.5*Dashboard!$B$18+MAX(0,M552-E552*POWER(1+$A$2,$R$2-($Q$2+A552))*POWER(1+$C$2,$S$2-$R$2))*MAX(Dashboard!$C$18,Dashboard!$B$18)))))</f>
        <v>0</v>
      </c>
    </row>
    <row r="553" spans="1:14" x14ac:dyDescent="0.2">
      <c r="A553" s="22">
        <f t="shared" si="96"/>
        <v>548</v>
      </c>
      <c r="B553" s="23">
        <f t="shared" si="97"/>
        <v>63.721461187215311</v>
      </c>
      <c r="C553" t="str">
        <f t="shared" si="88"/>
        <v>63 y 8.66 m</v>
      </c>
      <c r="D553" s="24">
        <f>IF(A553&gt;=$E$2,IF(A553&lt;$E$2+$H$2,$P$2,0),IF(B553&lt;Dashboard!$I$6,0,IF(A553&gt;=$F$2,Dashboard!$C$23*POWER(1+$C$2,A553-$F$2),Dashboard!$C$23)))</f>
        <v>0</v>
      </c>
      <c r="E553" s="24">
        <f>IF(A553&gt;=$F$2,0,IF(A553=0,Dashboard!$G$10,IF(B553&lt;Dashboard!$I$6,IF($J$2&lt;=Dashboard!$H$10,Dashboard!$H$10,MAX(Dashboard!$H$10,MIN($J$2,Dashboard!$H$10*POWER($J$2/Dashboard!$H$10,A553/$D$2)))),$I$2-D553-Dashboard!$I$10-Dashboard!$J$10-Dashboard!$F$10*$I$2)))</f>
        <v>0</v>
      </c>
      <c r="F553" s="24">
        <f t="shared" si="89"/>
        <v>8875.3189819633226</v>
      </c>
      <c r="G553" s="24">
        <f t="shared" si="90"/>
        <v>11619.289389359772</v>
      </c>
      <c r="H553" s="24">
        <f t="shared" si="91"/>
        <v>0</v>
      </c>
      <c r="I553" s="24">
        <f t="shared" si="92"/>
        <v>-11619.289389359772</v>
      </c>
      <c r="J553" s="25">
        <f t="shared" si="93"/>
        <v>7.9741404289037643E-3</v>
      </c>
      <c r="K553" s="24">
        <f t="shared" si="98"/>
        <v>13873299.889885269</v>
      </c>
      <c r="L553" s="24">
        <f t="shared" si="94"/>
        <v>13873299.889885269</v>
      </c>
      <c r="M553" s="24">
        <f t="shared" si="95"/>
        <v>0</v>
      </c>
      <c r="N553" s="24">
        <f>IF(M553&lt;=0,0,IF($E$2-A553&lt;12,(M553-E553)*Dashboard!$B$18,IF($Q$2+A553&gt;=$R$2,MAX(0,M553-E553*POWER(1+$C$2,$E$2-A553))*MAX(Dashboard!$C$18,Dashboard!$B$18),IF($S$2&lt;$R$2,(M553-E553)*0.5*Dashboard!$B$18,(E553*POWER(1+$A$2,$R$2-($Q$2+A553))-E553)*0.5*Dashboard!$B$18+MAX(0,M553-E553*POWER(1+$A$2,$R$2-($Q$2+A553))*POWER(1+$C$2,$S$2-$R$2))*MAX(Dashboard!$C$18,Dashboard!$B$18)))))</f>
        <v>0</v>
      </c>
    </row>
    <row r="554" spans="1:14" x14ac:dyDescent="0.2">
      <c r="A554" s="22">
        <f t="shared" si="96"/>
        <v>549</v>
      </c>
      <c r="B554" s="23">
        <f t="shared" si="97"/>
        <v>63.804794520548647</v>
      </c>
      <c r="C554" t="str">
        <f t="shared" si="88"/>
        <v>63 y 9.66 m</v>
      </c>
      <c r="D554" s="24">
        <f>IF(A554&gt;=$E$2,IF(A554&lt;$E$2+$H$2,$P$2,0),IF(B554&lt;Dashboard!$I$6,0,IF(A554&gt;=$F$2,Dashboard!$C$23*POWER(1+$C$2,A554-$F$2),Dashboard!$C$23)))</f>
        <v>0</v>
      </c>
      <c r="E554" s="24">
        <f>IF(A554&gt;=$F$2,0,IF(A554=0,Dashboard!$G$10,IF(B554&lt;Dashboard!$I$6,IF($J$2&lt;=Dashboard!$H$10,Dashboard!$H$10,MAX(Dashboard!$H$10,MIN($J$2,Dashboard!$H$10*POWER($J$2/Dashboard!$H$10,A554/$D$2)))),$I$2-D554-Dashboard!$I$10-Dashboard!$J$10-Dashboard!$F$10*$I$2)))</f>
        <v>0</v>
      </c>
      <c r="F554" s="24">
        <f t="shared" si="89"/>
        <v>8893.600685908792</v>
      </c>
      <c r="G554" s="24">
        <f t="shared" si="90"/>
        <v>11648.307967050991</v>
      </c>
      <c r="H554" s="24">
        <f t="shared" si="91"/>
        <v>0</v>
      </c>
      <c r="I554" s="24">
        <f t="shared" si="92"/>
        <v>-11648.307967050991</v>
      </c>
      <c r="J554" s="25">
        <f t="shared" si="93"/>
        <v>7.9741404289037643E-3</v>
      </c>
      <c r="K554" s="24">
        <f t="shared" si="98"/>
        <v>13972186.33820897</v>
      </c>
      <c r="L554" s="24">
        <f t="shared" si="94"/>
        <v>13972186.33820897</v>
      </c>
      <c r="M554" s="24">
        <f t="shared" si="95"/>
        <v>0</v>
      </c>
      <c r="N554" s="24">
        <f>IF(M554&lt;=0,0,IF($E$2-A554&lt;12,(M554-E554)*Dashboard!$B$18,IF($Q$2+A554&gt;=$R$2,MAX(0,M554-E554*POWER(1+$C$2,$E$2-A554))*MAX(Dashboard!$C$18,Dashboard!$B$18),IF($S$2&lt;$R$2,(M554-E554)*0.5*Dashboard!$B$18,(E554*POWER(1+$A$2,$R$2-($Q$2+A554))-E554)*0.5*Dashboard!$B$18+MAX(0,M554-E554*POWER(1+$A$2,$R$2-($Q$2+A554))*POWER(1+$C$2,$S$2-$R$2))*MAX(Dashboard!$C$18,Dashboard!$B$18)))))</f>
        <v>0</v>
      </c>
    </row>
    <row r="555" spans="1:14" x14ac:dyDescent="0.2">
      <c r="A555" s="22">
        <f t="shared" si="96"/>
        <v>550</v>
      </c>
      <c r="B555" s="23">
        <f t="shared" si="97"/>
        <v>63.888127853881983</v>
      </c>
      <c r="C555" t="str">
        <f t="shared" si="88"/>
        <v>63 y 10.66 m</v>
      </c>
      <c r="D555" s="24">
        <f>IF(A555&gt;=$E$2,IF(A555&lt;$E$2+$H$2,$P$2,0),IF(B555&lt;Dashboard!$I$6,0,IF(A555&gt;=$F$2,Dashboard!$C$23*POWER(1+$C$2,A555-$F$2),Dashboard!$C$23)))</f>
        <v>0</v>
      </c>
      <c r="E555" s="24">
        <f>IF(A555&gt;=$F$2,0,IF(A555=0,Dashboard!$G$10,IF(B555&lt;Dashboard!$I$6,IF($J$2&lt;=Dashboard!$H$10,Dashboard!$H$10,MAX(Dashboard!$H$10,MIN($J$2,Dashboard!$H$10*POWER($J$2/Dashboard!$H$10,A555/$D$2)))),$I$2-D555-Dashboard!$I$10-Dashboard!$J$10-Dashboard!$F$10*$I$2)))</f>
        <v>0</v>
      </c>
      <c r="F555" s="24">
        <f t="shared" si="89"/>
        <v>8911.9200471711283</v>
      </c>
      <c r="G555" s="24">
        <f t="shared" si="90"/>
        <v>11677.386318261049</v>
      </c>
      <c r="H555" s="24">
        <f t="shared" si="91"/>
        <v>0</v>
      </c>
      <c r="I555" s="24">
        <f t="shared" si="92"/>
        <v>-11677.386318261049</v>
      </c>
      <c r="J555" s="25">
        <f t="shared" si="93"/>
        <v>7.9741404289037643E-3</v>
      </c>
      <c r="K555" s="24">
        <f t="shared" si="98"/>
        <v>14071832.010732053</v>
      </c>
      <c r="L555" s="24">
        <f t="shared" si="94"/>
        <v>14071832.010732053</v>
      </c>
      <c r="M555" s="24">
        <f t="shared" si="95"/>
        <v>0</v>
      </c>
      <c r="N555" s="24">
        <f>IF(M555&lt;=0,0,IF($E$2-A555&lt;12,(M555-E555)*Dashboard!$B$18,IF($Q$2+A555&gt;=$R$2,MAX(0,M555-E555*POWER(1+$C$2,$E$2-A555))*MAX(Dashboard!$C$18,Dashboard!$B$18),IF($S$2&lt;$R$2,(M555-E555)*0.5*Dashboard!$B$18,(E555*POWER(1+$A$2,$R$2-($Q$2+A555))-E555)*0.5*Dashboard!$B$18+MAX(0,M555-E555*POWER(1+$A$2,$R$2-($Q$2+A555))*POWER(1+$C$2,$S$2-$R$2))*MAX(Dashboard!$C$18,Dashboard!$B$18)))))</f>
        <v>0</v>
      </c>
    </row>
    <row r="556" spans="1:14" x14ac:dyDescent="0.2">
      <c r="A556" s="22">
        <f t="shared" si="96"/>
        <v>551</v>
      </c>
      <c r="B556" s="23">
        <f t="shared" si="97"/>
        <v>63.971461187215318</v>
      </c>
      <c r="C556" t="str">
        <f t="shared" si="88"/>
        <v>63 y 11.66 m</v>
      </c>
      <c r="D556" s="24">
        <f>IF(A556&gt;=$E$2,IF(A556&lt;$E$2+$H$2,$P$2,0),IF(B556&lt;Dashboard!$I$6,0,IF(A556&gt;=$F$2,Dashboard!$C$23*POWER(1+$C$2,A556-$F$2),Dashboard!$C$23)))</f>
        <v>0</v>
      </c>
      <c r="E556" s="24">
        <f>IF(A556&gt;=$F$2,0,IF(A556=0,Dashboard!$G$10,IF(B556&lt;Dashboard!$I$6,IF($J$2&lt;=Dashboard!$H$10,Dashboard!$H$10,MAX(Dashboard!$H$10,MIN($J$2,Dashboard!$H$10*POWER($J$2/Dashboard!$H$10,A556/$D$2)))),$I$2-D556-Dashboard!$I$10-Dashboard!$J$10-Dashboard!$F$10*$I$2)))</f>
        <v>0</v>
      </c>
      <c r="F556" s="24">
        <f t="shared" si="89"/>
        <v>8930.2771433182279</v>
      </c>
      <c r="G556" s="24">
        <f t="shared" si="90"/>
        <v>11706.52456611359</v>
      </c>
      <c r="H556" s="24">
        <f t="shared" si="91"/>
        <v>0</v>
      </c>
      <c r="I556" s="24">
        <f t="shared" si="92"/>
        <v>-11706.52456611359</v>
      </c>
      <c r="J556" s="25">
        <f t="shared" si="93"/>
        <v>7.9741404289037643E-3</v>
      </c>
      <c r="K556" s="24">
        <f t="shared" si="98"/>
        <v>14172242.901240636</v>
      </c>
      <c r="L556" s="24">
        <f t="shared" si="94"/>
        <v>14172242.901240636</v>
      </c>
      <c r="M556" s="24">
        <f t="shared" si="95"/>
        <v>0</v>
      </c>
      <c r="N556" s="24">
        <f>IF(M556&lt;=0,0,IF($E$2-A556&lt;12,(M556-E556)*Dashboard!$B$18,IF($Q$2+A556&gt;=$R$2,MAX(0,M556-E556*POWER(1+$C$2,$E$2-A556))*MAX(Dashboard!$C$18,Dashboard!$B$18),IF($S$2&lt;$R$2,(M556-E556)*0.5*Dashboard!$B$18,(E556*POWER(1+$A$2,$R$2-($Q$2+A556))-E556)*0.5*Dashboard!$B$18+MAX(0,M556-E556*POWER(1+$A$2,$R$2-($Q$2+A556))*POWER(1+$C$2,$S$2-$R$2))*MAX(Dashboard!$C$18,Dashboard!$B$18)))))</f>
        <v>0</v>
      </c>
    </row>
    <row r="557" spans="1:14" x14ac:dyDescent="0.2">
      <c r="A557" s="22">
        <f t="shared" si="96"/>
        <v>552</v>
      </c>
      <c r="B557" s="23">
        <f t="shared" si="97"/>
        <v>64.054794520548654</v>
      </c>
      <c r="C557" t="str">
        <f t="shared" si="88"/>
        <v>64 y 0.66 m</v>
      </c>
      <c r="D557" s="24">
        <f>IF(A557&gt;=$E$2,IF(A557&lt;$E$2+$H$2,$P$2,0),IF(B557&lt;Dashboard!$I$6,0,IF(A557&gt;=$F$2,Dashboard!$C$23*POWER(1+$C$2,A557-$F$2),Dashboard!$C$23)))</f>
        <v>0</v>
      </c>
      <c r="E557" s="24">
        <f>IF(A557&gt;=$F$2,0,IF(A557=0,Dashboard!$G$10,IF(B557&lt;Dashboard!$I$6,IF($J$2&lt;=Dashboard!$H$10,Dashboard!$H$10,MAX(Dashboard!$H$10,MIN($J$2,Dashboard!$H$10*POWER($J$2/Dashboard!$H$10,A557/$D$2)))),$I$2-D557-Dashboard!$I$10-Dashboard!$J$10-Dashboard!$F$10*$I$2)))</f>
        <v>0</v>
      </c>
      <c r="F557" s="24">
        <f t="shared" si="89"/>
        <v>8948.6720520777835</v>
      </c>
      <c r="G557" s="24">
        <f t="shared" si="90"/>
        <v>11735.722833985901</v>
      </c>
      <c r="H557" s="24">
        <f t="shared" si="91"/>
        <v>0</v>
      </c>
      <c r="I557" s="24">
        <f t="shared" si="92"/>
        <v>-11735.722833985901</v>
      </c>
      <c r="J557" s="25">
        <f t="shared" si="93"/>
        <v>7.9741404289037643E-3</v>
      </c>
      <c r="K557" s="24">
        <f t="shared" si="98"/>
        <v>14273425.051191764</v>
      </c>
      <c r="L557" s="24">
        <f t="shared" si="94"/>
        <v>14273425.051191764</v>
      </c>
      <c r="M557" s="24">
        <f t="shared" si="95"/>
        <v>0</v>
      </c>
      <c r="N557" s="24">
        <f>IF(M557&lt;=0,0,IF($E$2-A557&lt;12,(M557-E557)*Dashboard!$B$18,IF($Q$2+A557&gt;=$R$2,MAX(0,M557-E557*POWER(1+$C$2,$E$2-A557))*MAX(Dashboard!$C$18,Dashboard!$B$18),IF($S$2&lt;$R$2,(M557-E557)*0.5*Dashboard!$B$18,(E557*POWER(1+$A$2,$R$2-($Q$2+A557))-E557)*0.5*Dashboard!$B$18+MAX(0,M557-E557*POWER(1+$A$2,$R$2-($Q$2+A557))*POWER(1+$C$2,$S$2-$R$2))*MAX(Dashboard!$C$18,Dashboard!$B$18)))))</f>
        <v>0</v>
      </c>
    </row>
    <row r="558" spans="1:14" x14ac:dyDescent="0.2">
      <c r="A558" s="22">
        <f t="shared" si="96"/>
        <v>553</v>
      </c>
      <c r="B558" s="23">
        <f t="shared" si="97"/>
        <v>64.138127853881983</v>
      </c>
      <c r="C558" t="str">
        <f t="shared" si="88"/>
        <v>64 y 1.66 m</v>
      </c>
      <c r="D558" s="24">
        <f>IF(A558&gt;=$E$2,IF(A558&lt;$E$2+$H$2,$P$2,0),IF(B558&lt;Dashboard!$I$6,0,IF(A558&gt;=$F$2,Dashboard!$C$23*POWER(1+$C$2,A558-$F$2),Dashboard!$C$23)))</f>
        <v>0</v>
      </c>
      <c r="E558" s="24">
        <f>IF(A558&gt;=$F$2,0,IF(A558=0,Dashboard!$G$10,IF(B558&lt;Dashboard!$I$6,IF($J$2&lt;=Dashboard!$H$10,Dashboard!$H$10,MAX(Dashboard!$H$10,MIN($J$2,Dashboard!$H$10*POWER($J$2/Dashboard!$H$10,A558/$D$2)))),$I$2-D558-Dashboard!$I$10-Dashboard!$J$10-Dashboard!$F$10*$I$2)))</f>
        <v>0</v>
      </c>
      <c r="F558" s="24">
        <f t="shared" si="89"/>
        <v>8967.1048513375808</v>
      </c>
      <c r="G558" s="24">
        <f t="shared" si="90"/>
        <v>11764.981245509387</v>
      </c>
      <c r="H558" s="24">
        <f t="shared" si="91"/>
        <v>0</v>
      </c>
      <c r="I558" s="24">
        <f t="shared" si="92"/>
        <v>-11764.981245509387</v>
      </c>
      <c r="J558" s="25">
        <f t="shared" si="93"/>
        <v>7.9741404289037643E-3</v>
      </c>
      <c r="K558" s="24">
        <f t="shared" si="98"/>
        <v>14375384.550093295</v>
      </c>
      <c r="L558" s="24">
        <f t="shared" si="94"/>
        <v>14375384.550093295</v>
      </c>
      <c r="M558" s="24">
        <f t="shared" si="95"/>
        <v>0</v>
      </c>
      <c r="N558" s="24">
        <f>IF(M558&lt;=0,0,IF($E$2-A558&lt;12,(M558-E558)*Dashboard!$B$18,IF($Q$2+A558&gt;=$R$2,MAX(0,M558-E558*POWER(1+$C$2,$E$2-A558))*MAX(Dashboard!$C$18,Dashboard!$B$18),IF($S$2&lt;$R$2,(M558-E558)*0.5*Dashboard!$B$18,(E558*POWER(1+$A$2,$R$2-($Q$2+A558))-E558)*0.5*Dashboard!$B$18+MAX(0,M558-E558*POWER(1+$A$2,$R$2-($Q$2+A558))*POWER(1+$C$2,$S$2-$R$2))*MAX(Dashboard!$C$18,Dashboard!$B$18)))))</f>
        <v>0</v>
      </c>
    </row>
    <row r="559" spans="1:14" x14ac:dyDescent="0.2">
      <c r="A559" s="22">
        <f t="shared" si="96"/>
        <v>554</v>
      </c>
      <c r="B559" s="23">
        <f t="shared" si="97"/>
        <v>64.221461187215311</v>
      </c>
      <c r="C559" t="str">
        <f t="shared" si="88"/>
        <v>64 y 2.66 m</v>
      </c>
      <c r="D559" s="24">
        <f>IF(A559&gt;=$E$2,IF(A559&lt;$E$2+$H$2,$P$2,0),IF(B559&lt;Dashboard!$I$6,0,IF(A559&gt;=$F$2,Dashboard!$C$23*POWER(1+$C$2,A559-$F$2),Dashboard!$C$23)))</f>
        <v>0</v>
      </c>
      <c r="E559" s="24">
        <f>IF(A559&gt;=$F$2,0,IF(A559=0,Dashboard!$G$10,IF(B559&lt;Dashboard!$I$6,IF($J$2&lt;=Dashboard!$H$10,Dashboard!$H$10,MAX(Dashboard!$H$10,MIN($J$2,Dashboard!$H$10*POWER($J$2/Dashboard!$H$10,A559/$D$2)))),$I$2-D559-Dashboard!$I$10-Dashboard!$J$10-Dashboard!$F$10*$I$2)))</f>
        <v>0</v>
      </c>
      <c r="F559" s="24">
        <f t="shared" si="89"/>
        <v>8985.5756191458477</v>
      </c>
      <c r="G559" s="24">
        <f t="shared" si="90"/>
        <v>11794.299924570128</v>
      </c>
      <c r="H559" s="24">
        <f t="shared" si="91"/>
        <v>0</v>
      </c>
      <c r="I559" s="24">
        <f t="shared" si="92"/>
        <v>-11794.299924570128</v>
      </c>
      <c r="J559" s="25">
        <f t="shared" si="93"/>
        <v>7.9741404289037643E-3</v>
      </c>
      <c r="K559" s="24">
        <f t="shared" si="98"/>
        <v>14478127.535886804</v>
      </c>
      <c r="L559" s="24">
        <f t="shared" si="94"/>
        <v>14478127.535886804</v>
      </c>
      <c r="M559" s="24">
        <f t="shared" si="95"/>
        <v>0</v>
      </c>
      <c r="N559" s="24">
        <f>IF(M559&lt;=0,0,IF($E$2-A559&lt;12,(M559-E559)*Dashboard!$B$18,IF($Q$2+A559&gt;=$R$2,MAX(0,M559-E559*POWER(1+$C$2,$E$2-A559))*MAX(Dashboard!$C$18,Dashboard!$B$18),IF($S$2&lt;$R$2,(M559-E559)*0.5*Dashboard!$B$18,(E559*POWER(1+$A$2,$R$2-($Q$2+A559))-E559)*0.5*Dashboard!$B$18+MAX(0,M559-E559*POWER(1+$A$2,$R$2-($Q$2+A559))*POWER(1+$C$2,$S$2-$R$2))*MAX(Dashboard!$C$18,Dashboard!$B$18)))))</f>
        <v>0</v>
      </c>
    </row>
    <row r="560" spans="1:14" x14ac:dyDescent="0.2">
      <c r="A560" s="22">
        <f t="shared" si="96"/>
        <v>555</v>
      </c>
      <c r="B560" s="23">
        <f t="shared" si="97"/>
        <v>64.30479452054864</v>
      </c>
      <c r="C560" t="str">
        <f t="shared" si="88"/>
        <v>64 y 3.66 m</v>
      </c>
      <c r="D560" s="24">
        <f>IF(A560&gt;=$E$2,IF(A560&lt;$E$2+$H$2,$P$2,0),IF(B560&lt;Dashboard!$I$6,0,IF(A560&gt;=$F$2,Dashboard!$C$23*POWER(1+$C$2,A560-$F$2),Dashboard!$C$23)))</f>
        <v>0</v>
      </c>
      <c r="E560" s="24">
        <f>IF(A560&gt;=$F$2,0,IF(A560=0,Dashboard!$G$10,IF(B560&lt;Dashboard!$I$6,IF($J$2&lt;=Dashboard!$H$10,Dashboard!$H$10,MAX(Dashboard!$H$10,MIN($J$2,Dashboard!$H$10*POWER($J$2/Dashboard!$H$10,A560/$D$2)))),$I$2-D560-Dashboard!$I$10-Dashboard!$J$10-Dashboard!$F$10*$I$2)))</f>
        <v>0</v>
      </c>
      <c r="F560" s="24">
        <f t="shared" si="89"/>
        <v>9004.0844337115795</v>
      </c>
      <c r="G560" s="24">
        <f t="shared" si="90"/>
        <v>11823.678995309385</v>
      </c>
      <c r="H560" s="24">
        <f t="shared" si="91"/>
        <v>0</v>
      </c>
      <c r="I560" s="24">
        <f t="shared" si="92"/>
        <v>-11823.678995309385</v>
      </c>
      <c r="J560" s="25">
        <f t="shared" si="93"/>
        <v>7.9741404289037643E-3</v>
      </c>
      <c r="K560" s="24">
        <f t="shared" si="98"/>
        <v>14581660.195333539</v>
      </c>
      <c r="L560" s="24">
        <f t="shared" si="94"/>
        <v>14581660.195333539</v>
      </c>
      <c r="M560" s="24">
        <f t="shared" si="95"/>
        <v>0</v>
      </c>
      <c r="N560" s="24">
        <f>IF(M560&lt;=0,0,IF($E$2-A560&lt;12,(M560-E560)*Dashboard!$B$18,IF($Q$2+A560&gt;=$R$2,MAX(0,M560-E560*POWER(1+$C$2,$E$2-A560))*MAX(Dashboard!$C$18,Dashboard!$B$18),IF($S$2&lt;$R$2,(M560-E560)*0.5*Dashboard!$B$18,(E560*POWER(1+$A$2,$R$2-($Q$2+A560))-E560)*0.5*Dashboard!$B$18+MAX(0,M560-E560*POWER(1+$A$2,$R$2-($Q$2+A560))*POWER(1+$C$2,$S$2-$R$2))*MAX(Dashboard!$C$18,Dashboard!$B$18)))))</f>
        <v>0</v>
      </c>
    </row>
    <row r="561" spans="1:14" x14ac:dyDescent="0.2">
      <c r="A561" s="22">
        <f t="shared" si="96"/>
        <v>556</v>
      </c>
      <c r="B561" s="23">
        <f t="shared" si="97"/>
        <v>64.388127853881969</v>
      </c>
      <c r="C561" t="str">
        <f t="shared" si="88"/>
        <v>64 y 4.66 m</v>
      </c>
      <c r="D561" s="24">
        <f>IF(A561&gt;=$E$2,IF(A561&lt;$E$2+$H$2,$P$2,0),IF(B561&lt;Dashboard!$I$6,0,IF(A561&gt;=$F$2,Dashboard!$C$23*POWER(1+$C$2,A561-$F$2),Dashboard!$C$23)))</f>
        <v>0</v>
      </c>
      <c r="E561" s="24">
        <f>IF(A561&gt;=$F$2,0,IF(A561=0,Dashboard!$G$10,IF(B561&lt;Dashboard!$I$6,IF($J$2&lt;=Dashboard!$H$10,Dashboard!$H$10,MAX(Dashboard!$H$10,MIN($J$2,Dashboard!$H$10*POWER($J$2/Dashboard!$H$10,A561/$D$2)))),$I$2-D561-Dashboard!$I$10-Dashboard!$J$10-Dashboard!$F$10*$I$2)))</f>
        <v>0</v>
      </c>
      <c r="F561" s="24">
        <f t="shared" si="89"/>
        <v>9022.6313734048636</v>
      </c>
      <c r="G561" s="24">
        <f t="shared" si="90"/>
        <v>11853.118582124122</v>
      </c>
      <c r="H561" s="24">
        <f t="shared" si="91"/>
        <v>0</v>
      </c>
      <c r="I561" s="24">
        <f t="shared" si="92"/>
        <v>-11853.118582124122</v>
      </c>
      <c r="J561" s="25">
        <f t="shared" si="93"/>
        <v>7.9741404289037643E-3</v>
      </c>
      <c r="K561" s="24">
        <f t="shared" si="98"/>
        <v>14685988.764403466</v>
      </c>
      <c r="L561" s="24">
        <f t="shared" si="94"/>
        <v>14685988.764403466</v>
      </c>
      <c r="M561" s="24">
        <f t="shared" si="95"/>
        <v>0</v>
      </c>
      <c r="N561" s="24">
        <f>IF(M561&lt;=0,0,IF($E$2-A561&lt;12,(M561-E561)*Dashboard!$B$18,IF($Q$2+A561&gt;=$R$2,MAX(0,M561-E561*POWER(1+$C$2,$E$2-A561))*MAX(Dashboard!$C$18,Dashboard!$B$18),IF($S$2&lt;$R$2,(M561-E561)*0.5*Dashboard!$B$18,(E561*POWER(1+$A$2,$R$2-($Q$2+A561))-E561)*0.5*Dashboard!$B$18+MAX(0,M561-E561*POWER(1+$A$2,$R$2-($Q$2+A561))*POWER(1+$C$2,$S$2-$R$2))*MAX(Dashboard!$C$18,Dashboard!$B$18)))))</f>
        <v>0</v>
      </c>
    </row>
    <row r="562" spans="1:14" x14ac:dyDescent="0.2">
      <c r="A562" s="22">
        <f t="shared" si="96"/>
        <v>557</v>
      </c>
      <c r="B562" s="23">
        <f t="shared" si="97"/>
        <v>64.471461187215297</v>
      </c>
      <c r="C562" t="str">
        <f t="shared" si="88"/>
        <v>64 y 5.66 m</v>
      </c>
      <c r="D562" s="24">
        <f>IF(A562&gt;=$E$2,IF(A562&lt;$E$2+$H$2,$P$2,0),IF(B562&lt;Dashboard!$I$6,0,IF(A562&gt;=$F$2,Dashboard!$C$23*POWER(1+$C$2,A562-$F$2),Dashboard!$C$23)))</f>
        <v>0</v>
      </c>
      <c r="E562" s="24">
        <f>IF(A562&gt;=$F$2,0,IF(A562=0,Dashboard!$G$10,IF(B562&lt;Dashboard!$I$6,IF($J$2&lt;=Dashboard!$H$10,Dashboard!$H$10,MAX(Dashboard!$H$10,MIN($J$2,Dashboard!$H$10*POWER($J$2/Dashboard!$H$10,A562/$D$2)))),$I$2-D562-Dashboard!$I$10-Dashboard!$J$10-Dashboard!$F$10*$I$2)))</f>
        <v>0</v>
      </c>
      <c r="F562" s="24">
        <f t="shared" si="89"/>
        <v>9041.2165167572257</v>
      </c>
      <c r="G562" s="24">
        <f t="shared" si="90"/>
        <v>11882.618809667554</v>
      </c>
      <c r="H562" s="24">
        <f t="shared" si="91"/>
        <v>0</v>
      </c>
      <c r="I562" s="24">
        <f t="shared" si="92"/>
        <v>-11882.618809667554</v>
      </c>
      <c r="J562" s="25">
        <f t="shared" si="93"/>
        <v>7.9741404289037643E-3</v>
      </c>
      <c r="K562" s="24">
        <f t="shared" si="98"/>
        <v>14791119.528667403</v>
      </c>
      <c r="L562" s="24">
        <f t="shared" si="94"/>
        <v>14791119.528667403</v>
      </c>
      <c r="M562" s="24">
        <f t="shared" si="95"/>
        <v>0</v>
      </c>
      <c r="N562" s="24">
        <f>IF(M562&lt;=0,0,IF($E$2-A562&lt;12,(M562-E562)*Dashboard!$B$18,IF($Q$2+A562&gt;=$R$2,MAX(0,M562-E562*POWER(1+$C$2,$E$2-A562))*MAX(Dashboard!$C$18,Dashboard!$B$18),IF($S$2&lt;$R$2,(M562-E562)*0.5*Dashboard!$B$18,(E562*POWER(1+$A$2,$R$2-($Q$2+A562))-E562)*0.5*Dashboard!$B$18+MAX(0,M562-E562*POWER(1+$A$2,$R$2-($Q$2+A562))*POWER(1+$C$2,$S$2-$R$2))*MAX(Dashboard!$C$18,Dashboard!$B$18)))))</f>
        <v>0</v>
      </c>
    </row>
    <row r="563" spans="1:14" x14ac:dyDescent="0.2">
      <c r="A563" s="22">
        <f t="shared" si="96"/>
        <v>558</v>
      </c>
      <c r="B563" s="23">
        <f t="shared" si="97"/>
        <v>64.554794520548626</v>
      </c>
      <c r="C563" t="str">
        <f t="shared" si="88"/>
        <v>64 y 6.66 m</v>
      </c>
      <c r="D563" s="24">
        <f>IF(A563&gt;=$E$2,IF(A563&lt;$E$2+$H$2,$P$2,0),IF(B563&lt;Dashboard!$I$6,0,IF(A563&gt;=$F$2,Dashboard!$C$23*POWER(1+$C$2,A563-$F$2),Dashboard!$C$23)))</f>
        <v>0</v>
      </c>
      <c r="E563" s="24">
        <f>IF(A563&gt;=$F$2,0,IF(A563=0,Dashboard!$G$10,IF(B563&lt;Dashboard!$I$6,IF($J$2&lt;=Dashboard!$H$10,Dashboard!$H$10,MAX(Dashboard!$H$10,MIN($J$2,Dashboard!$H$10*POWER($J$2/Dashboard!$H$10,A563/$D$2)))),$I$2-D563-Dashboard!$I$10-Dashboard!$J$10-Dashboard!$F$10*$I$2)))</f>
        <v>0</v>
      </c>
      <c r="F563" s="24">
        <f t="shared" si="89"/>
        <v>9059.8399424619438</v>
      </c>
      <c r="G563" s="24">
        <f t="shared" si="90"/>
        <v>11912.179802849647</v>
      </c>
      <c r="H563" s="24">
        <f t="shared" si="91"/>
        <v>0</v>
      </c>
      <c r="I563" s="24">
        <f t="shared" si="92"/>
        <v>-11912.179802849647</v>
      </c>
      <c r="J563" s="25">
        <f t="shared" si="93"/>
        <v>7.9741404289037643E-3</v>
      </c>
      <c r="K563" s="24">
        <f t="shared" si="98"/>
        <v>14897058.823692286</v>
      </c>
      <c r="L563" s="24">
        <f t="shared" si="94"/>
        <v>14897058.823692286</v>
      </c>
      <c r="M563" s="24">
        <f t="shared" si="95"/>
        <v>0</v>
      </c>
      <c r="N563" s="24">
        <f>IF(M563&lt;=0,0,IF($E$2-A563&lt;12,(M563-E563)*Dashboard!$B$18,IF($Q$2+A563&gt;=$R$2,MAX(0,M563-E563*POWER(1+$C$2,$E$2-A563))*MAX(Dashboard!$C$18,Dashboard!$B$18),IF($S$2&lt;$R$2,(M563-E563)*0.5*Dashboard!$B$18,(E563*POWER(1+$A$2,$R$2-($Q$2+A563))-E563)*0.5*Dashboard!$B$18+MAX(0,M563-E563*POWER(1+$A$2,$R$2-($Q$2+A563))*POWER(1+$C$2,$S$2-$R$2))*MAX(Dashboard!$C$18,Dashboard!$B$18)))))</f>
        <v>0</v>
      </c>
    </row>
    <row r="564" spans="1:14" x14ac:dyDescent="0.2">
      <c r="A564" s="22">
        <f t="shared" si="96"/>
        <v>559</v>
      </c>
      <c r="B564" s="23">
        <f t="shared" si="97"/>
        <v>64.638127853881954</v>
      </c>
      <c r="C564" t="str">
        <f t="shared" si="88"/>
        <v>64 y 7.66 m</v>
      </c>
      <c r="D564" s="24">
        <f>IF(A564&gt;=$E$2,IF(A564&lt;$E$2+$H$2,$P$2,0),IF(B564&lt;Dashboard!$I$6,0,IF(A564&gt;=$F$2,Dashboard!$C$23*POWER(1+$C$2,A564-$F$2),Dashboard!$C$23)))</f>
        <v>0</v>
      </c>
      <c r="E564" s="24">
        <f>IF(A564&gt;=$F$2,0,IF(A564=0,Dashboard!$G$10,IF(B564&lt;Dashboard!$I$6,IF($J$2&lt;=Dashboard!$H$10,Dashboard!$H$10,MAX(Dashboard!$H$10,MIN($J$2,Dashboard!$H$10*POWER($J$2/Dashboard!$H$10,A564/$D$2)))),$I$2-D564-Dashboard!$I$10-Dashboard!$J$10-Dashboard!$F$10*$I$2)))</f>
        <v>0</v>
      </c>
      <c r="F564" s="24">
        <f t="shared" si="89"/>
        <v>9078.5017293743967</v>
      </c>
      <c r="G564" s="24">
        <f t="shared" si="90"/>
        <v>11941.801686837667</v>
      </c>
      <c r="H564" s="24">
        <f t="shared" si="91"/>
        <v>0</v>
      </c>
      <c r="I564" s="24">
        <f t="shared" si="92"/>
        <v>-11941.801686837667</v>
      </c>
      <c r="J564" s="25">
        <f t="shared" si="93"/>
        <v>7.9741404289037643E-3</v>
      </c>
      <c r="K564" s="24">
        <f t="shared" si="98"/>
        <v>15003813.035439586</v>
      </c>
      <c r="L564" s="24">
        <f t="shared" si="94"/>
        <v>15003813.035439586</v>
      </c>
      <c r="M564" s="24">
        <f t="shared" si="95"/>
        <v>0</v>
      </c>
      <c r="N564" s="24">
        <f>IF(M564&lt;=0,0,IF($E$2-A564&lt;12,(M564-E564)*Dashboard!$B$18,IF($Q$2+A564&gt;=$R$2,MAX(0,M564-E564*POWER(1+$C$2,$E$2-A564))*MAX(Dashboard!$C$18,Dashboard!$B$18),IF($S$2&lt;$R$2,(M564-E564)*0.5*Dashboard!$B$18,(E564*POWER(1+$A$2,$R$2-($Q$2+A564))-E564)*0.5*Dashboard!$B$18+MAX(0,M564-E564*POWER(1+$A$2,$R$2-($Q$2+A564))*POWER(1+$C$2,$S$2-$R$2))*MAX(Dashboard!$C$18,Dashboard!$B$18)))))</f>
        <v>0</v>
      </c>
    </row>
    <row r="565" spans="1:14" x14ac:dyDescent="0.2">
      <c r="A565" s="22">
        <f t="shared" si="96"/>
        <v>560</v>
      </c>
      <c r="B565" s="23">
        <f t="shared" si="97"/>
        <v>64.721461187215283</v>
      </c>
      <c r="C565" t="str">
        <f t="shared" si="88"/>
        <v>64 y 8.66 m</v>
      </c>
      <c r="D565" s="24">
        <f>IF(A565&gt;=$E$2,IF(A565&lt;$E$2+$H$2,$P$2,0),IF(B565&lt;Dashboard!$I$6,0,IF(A565&gt;=$F$2,Dashboard!$C$23*POWER(1+$C$2,A565-$F$2),Dashboard!$C$23)))</f>
        <v>0</v>
      </c>
      <c r="E565" s="24">
        <f>IF(A565&gt;=$F$2,0,IF(A565=0,Dashboard!$G$10,IF(B565&lt;Dashboard!$I$6,IF($J$2&lt;=Dashboard!$H$10,Dashboard!$H$10,MAX(Dashboard!$H$10,MIN($J$2,Dashboard!$H$10*POWER($J$2/Dashboard!$H$10,A565/$D$2)))),$I$2-D565-Dashboard!$I$10-Dashboard!$J$10-Dashboard!$F$10*$I$2)))</f>
        <v>0</v>
      </c>
      <c r="F565" s="24">
        <f t="shared" si="89"/>
        <v>9097.2019565123919</v>
      </c>
      <c r="G565" s="24">
        <f t="shared" si="90"/>
        <v>11971.484587056708</v>
      </c>
      <c r="H565" s="24">
        <f t="shared" si="91"/>
        <v>0</v>
      </c>
      <c r="I565" s="24">
        <f t="shared" si="92"/>
        <v>-11971.484587056708</v>
      </c>
      <c r="J565" s="25">
        <f t="shared" si="93"/>
        <v>7.9741404289037643E-3</v>
      </c>
      <c r="K565" s="24">
        <f t="shared" si="98"/>
        <v>15111388.600666903</v>
      </c>
      <c r="L565" s="24">
        <f t="shared" si="94"/>
        <v>15111388.600666903</v>
      </c>
      <c r="M565" s="24">
        <f t="shared" si="95"/>
        <v>0</v>
      </c>
      <c r="N565" s="24">
        <f>IF(M565&lt;=0,0,IF($E$2-A565&lt;12,(M565-E565)*Dashboard!$B$18,IF($Q$2+A565&gt;=$R$2,MAX(0,M565-E565*POWER(1+$C$2,$E$2-A565))*MAX(Dashboard!$C$18,Dashboard!$B$18),IF($S$2&lt;$R$2,(M565-E565)*0.5*Dashboard!$B$18,(E565*POWER(1+$A$2,$R$2-($Q$2+A565))-E565)*0.5*Dashboard!$B$18+MAX(0,M565-E565*POWER(1+$A$2,$R$2-($Q$2+A565))*POWER(1+$C$2,$S$2-$R$2))*MAX(Dashboard!$C$18,Dashboard!$B$18)))))</f>
        <v>0</v>
      </c>
    </row>
    <row r="566" spans="1:14" x14ac:dyDescent="0.2">
      <c r="A566" s="22">
        <f t="shared" si="96"/>
        <v>561</v>
      </c>
      <c r="B566" s="23">
        <f t="shared" si="97"/>
        <v>64.804794520548612</v>
      </c>
      <c r="C566" t="str">
        <f t="shared" si="88"/>
        <v>64 y 9.66 m</v>
      </c>
      <c r="D566" s="24">
        <f>IF(A566&gt;=$E$2,IF(A566&lt;$E$2+$H$2,$P$2,0),IF(B566&lt;Dashboard!$I$6,0,IF(A566&gt;=$F$2,Dashboard!$C$23*POWER(1+$C$2,A566-$F$2),Dashboard!$C$23)))</f>
        <v>0</v>
      </c>
      <c r="E566" s="24">
        <f>IF(A566&gt;=$F$2,0,IF(A566=0,Dashboard!$G$10,IF(B566&lt;Dashboard!$I$6,IF($J$2&lt;=Dashboard!$H$10,Dashboard!$H$10,MAX(Dashboard!$H$10,MIN($J$2,Dashboard!$H$10*POWER($J$2/Dashboard!$H$10,A566/$D$2)))),$I$2-D566-Dashboard!$I$10-Dashboard!$J$10-Dashboard!$F$10*$I$2)))</f>
        <v>0</v>
      </c>
      <c r="F566" s="24">
        <f t="shared" si="89"/>
        <v>9115.9407030564998</v>
      </c>
      <c r="G566" s="24">
        <f t="shared" si="90"/>
        <v>12001.228629190213</v>
      </c>
      <c r="H566" s="24">
        <f t="shared" si="91"/>
        <v>0</v>
      </c>
      <c r="I566" s="24">
        <f t="shared" si="92"/>
        <v>-12001.228629190213</v>
      </c>
      <c r="J566" s="25">
        <f t="shared" si="93"/>
        <v>7.9741404289037643E-3</v>
      </c>
      <c r="K566" s="24">
        <f t="shared" si="98"/>
        <v>15219792.007332757</v>
      </c>
      <c r="L566" s="24">
        <f t="shared" si="94"/>
        <v>15219792.007332757</v>
      </c>
      <c r="M566" s="24">
        <f t="shared" si="95"/>
        <v>0</v>
      </c>
      <c r="N566" s="24">
        <f>IF(M566&lt;=0,0,IF($E$2-A566&lt;12,(M566-E566)*Dashboard!$B$18,IF($Q$2+A566&gt;=$R$2,MAX(0,M566-E566*POWER(1+$C$2,$E$2-A566))*MAX(Dashboard!$C$18,Dashboard!$B$18),IF($S$2&lt;$R$2,(M566-E566)*0.5*Dashboard!$B$18,(E566*POWER(1+$A$2,$R$2-($Q$2+A566))-E566)*0.5*Dashboard!$B$18+MAX(0,M566-E566*POWER(1+$A$2,$R$2-($Q$2+A566))*POWER(1+$C$2,$S$2-$R$2))*MAX(Dashboard!$C$18,Dashboard!$B$18)))))</f>
        <v>0</v>
      </c>
    </row>
    <row r="567" spans="1:14" x14ac:dyDescent="0.2">
      <c r="A567" s="22">
        <f t="shared" si="96"/>
        <v>562</v>
      </c>
      <c r="B567" s="23">
        <f t="shared" si="97"/>
        <v>64.88812785388194</v>
      </c>
      <c r="C567" t="str">
        <f t="shared" si="88"/>
        <v>64 y 10.66 m</v>
      </c>
      <c r="D567" s="24">
        <f>IF(A567&gt;=$E$2,IF(A567&lt;$E$2+$H$2,$P$2,0),IF(B567&lt;Dashboard!$I$6,0,IF(A567&gt;=$F$2,Dashboard!$C$23*POWER(1+$C$2,A567-$F$2),Dashboard!$C$23)))</f>
        <v>0</v>
      </c>
      <c r="E567" s="24">
        <f>IF(A567&gt;=$F$2,0,IF(A567=0,Dashboard!$G$10,IF(B567&lt;Dashboard!$I$6,IF($J$2&lt;=Dashboard!$H$10,Dashboard!$H$10,MAX(Dashboard!$H$10,MIN($J$2,Dashboard!$H$10*POWER($J$2/Dashboard!$H$10,A567/$D$2)))),$I$2-D567-Dashboard!$I$10-Dashboard!$J$10-Dashboard!$F$10*$I$2)))</f>
        <v>0</v>
      </c>
      <c r="F567" s="24">
        <f t="shared" si="89"/>
        <v>9134.7180483503889</v>
      </c>
      <c r="G567" s="24">
        <f t="shared" si="90"/>
        <v>12031.03393918051</v>
      </c>
      <c r="H567" s="24">
        <f t="shared" si="91"/>
        <v>0</v>
      </c>
      <c r="I567" s="24">
        <f t="shared" si="92"/>
        <v>-12031.03393918051</v>
      </c>
      <c r="J567" s="25">
        <f t="shared" si="93"/>
        <v>7.9741404289037643E-3</v>
      </c>
      <c r="K567" s="24">
        <f t="shared" si="98"/>
        <v>15329029.795004619</v>
      </c>
      <c r="L567" s="24">
        <f t="shared" si="94"/>
        <v>15329029.795004619</v>
      </c>
      <c r="M567" s="24">
        <f t="shared" si="95"/>
        <v>0</v>
      </c>
      <c r="N567" s="24">
        <f>IF(M567&lt;=0,0,IF($E$2-A567&lt;12,(M567-E567)*Dashboard!$B$18,IF($Q$2+A567&gt;=$R$2,MAX(0,M567-E567*POWER(1+$C$2,$E$2-A567))*MAX(Dashboard!$C$18,Dashboard!$B$18),IF($S$2&lt;$R$2,(M567-E567)*0.5*Dashboard!$B$18,(E567*POWER(1+$A$2,$R$2-($Q$2+A567))-E567)*0.5*Dashboard!$B$18+MAX(0,M567-E567*POWER(1+$A$2,$R$2-($Q$2+A567))*POWER(1+$C$2,$S$2-$R$2))*MAX(Dashboard!$C$18,Dashboard!$B$18)))))</f>
        <v>0</v>
      </c>
    </row>
    <row r="568" spans="1:14" x14ac:dyDescent="0.2">
      <c r="A568" s="22">
        <f t="shared" si="96"/>
        <v>563</v>
      </c>
      <c r="B568" s="23">
        <f t="shared" si="97"/>
        <v>64.971461187215269</v>
      </c>
      <c r="C568" t="str">
        <f t="shared" si="88"/>
        <v>64 y 11.66 m</v>
      </c>
      <c r="D568" s="24">
        <f>IF(A568&gt;=$E$2,IF(A568&lt;$E$2+$H$2,$P$2,0),IF(B568&lt;Dashboard!$I$6,0,IF(A568&gt;=$F$2,Dashboard!$C$23*POWER(1+$C$2,A568-$F$2),Dashboard!$C$23)))</f>
        <v>0</v>
      </c>
      <c r="E568" s="24">
        <f>IF(A568&gt;=$F$2,0,IF(A568=0,Dashboard!$G$10,IF(B568&lt;Dashboard!$I$6,IF($J$2&lt;=Dashboard!$H$10,Dashboard!$H$10,MAX(Dashboard!$H$10,MIN($J$2,Dashboard!$H$10*POWER($J$2/Dashboard!$H$10,A568/$D$2)))),$I$2-D568-Dashboard!$I$10-Dashboard!$J$10-Dashboard!$F$10*$I$2)))</f>
        <v>0</v>
      </c>
      <c r="F568" s="24">
        <f t="shared" si="89"/>
        <v>9153.5340719011729</v>
      </c>
      <c r="G568" s="24">
        <f t="shared" si="90"/>
        <v>12060.900643229375</v>
      </c>
      <c r="H568" s="24">
        <f t="shared" si="91"/>
        <v>0</v>
      </c>
      <c r="I568" s="24">
        <f t="shared" si="92"/>
        <v>-12060.900643229375</v>
      </c>
      <c r="J568" s="25">
        <f t="shared" si="93"/>
        <v>7.9741404289037643E-3</v>
      </c>
      <c r="K568" s="24">
        <f t="shared" si="98"/>
        <v>15439108.555270178</v>
      </c>
      <c r="L568" s="24">
        <f t="shared" si="94"/>
        <v>15439108.555270178</v>
      </c>
      <c r="M568" s="24">
        <f t="shared" si="95"/>
        <v>0</v>
      </c>
      <c r="N568" s="24">
        <f>IF(M568&lt;=0,0,IF($E$2-A568&lt;12,(M568-E568)*Dashboard!$B$18,IF($Q$2+A568&gt;=$R$2,MAX(0,M568-E568*POWER(1+$C$2,$E$2-A568))*MAX(Dashboard!$C$18,Dashboard!$B$18),IF($S$2&lt;$R$2,(M568-E568)*0.5*Dashboard!$B$18,(E568*POWER(1+$A$2,$R$2-($Q$2+A568))-E568)*0.5*Dashboard!$B$18+MAX(0,M568-E568*POWER(1+$A$2,$R$2-($Q$2+A568))*POWER(1+$C$2,$S$2-$R$2))*MAX(Dashboard!$C$18,Dashboard!$B$18)))))</f>
        <v>0</v>
      </c>
    </row>
    <row r="569" spans="1:14" x14ac:dyDescent="0.2">
      <c r="A569" s="22">
        <f t="shared" si="96"/>
        <v>564</v>
      </c>
      <c r="B569" s="23">
        <f t="shared" si="97"/>
        <v>65.054794520548597</v>
      </c>
      <c r="C569" t="str">
        <f t="shared" si="88"/>
        <v>65 y 0.66 m</v>
      </c>
      <c r="D569" s="24">
        <f>IF(A569&gt;=$E$2,IF(A569&lt;$E$2+$H$2,$P$2,0),IF(B569&lt;Dashboard!$I$6,0,IF(A569&gt;=$F$2,Dashboard!$C$23*POWER(1+$C$2,A569-$F$2),Dashboard!$C$23)))</f>
        <v>0</v>
      </c>
      <c r="E569" s="24">
        <f>IF(A569&gt;=$F$2,0,IF(A569=0,Dashboard!$G$10,IF(B569&lt;Dashboard!$I$6,IF($J$2&lt;=Dashboard!$H$10,Dashboard!$H$10,MAX(Dashboard!$H$10,MIN($J$2,Dashboard!$H$10*POWER($J$2/Dashboard!$H$10,A569/$D$2)))),$I$2-D569-Dashboard!$I$10-Dashboard!$J$10-Dashboard!$F$10*$I$2)))</f>
        <v>0</v>
      </c>
      <c r="F569" s="24">
        <f t="shared" si="89"/>
        <v>9172.3888533797126</v>
      </c>
      <c r="G569" s="24">
        <f t="shared" si="90"/>
        <v>12090.828867798484</v>
      </c>
      <c r="H569" s="24">
        <f t="shared" si="91"/>
        <v>0</v>
      </c>
      <c r="I569" s="24">
        <f t="shared" si="92"/>
        <v>-12090.828867798484</v>
      </c>
      <c r="J569" s="25">
        <f t="shared" si="93"/>
        <v>7.9741404289037643E-3</v>
      </c>
      <c r="K569" s="24">
        <f t="shared" si="98"/>
        <v>15550034.932151901</v>
      </c>
      <c r="L569" s="24">
        <f t="shared" si="94"/>
        <v>15550034.932151901</v>
      </c>
      <c r="M569" s="24">
        <f t="shared" si="95"/>
        <v>0</v>
      </c>
      <c r="N569" s="24">
        <f>IF(M569&lt;=0,0,IF($E$2-A569&lt;12,(M569-E569)*Dashboard!$B$18,IF($Q$2+A569&gt;=$R$2,MAX(0,M569-E569*POWER(1+$C$2,$E$2-A569))*MAX(Dashboard!$C$18,Dashboard!$B$18),IF($S$2&lt;$R$2,(M569-E569)*0.5*Dashboard!$B$18,(E569*POWER(1+$A$2,$R$2-($Q$2+A569))-E569)*0.5*Dashboard!$B$18+MAX(0,M569-E569*POWER(1+$A$2,$R$2-($Q$2+A569))*POWER(1+$C$2,$S$2-$R$2))*MAX(Dashboard!$C$18,Dashboard!$B$18)))))</f>
        <v>0</v>
      </c>
    </row>
    <row r="570" spans="1:14" x14ac:dyDescent="0.2">
      <c r="A570" s="22">
        <f t="shared" si="96"/>
        <v>565</v>
      </c>
      <c r="B570" s="23">
        <f t="shared" si="97"/>
        <v>65.138127853881926</v>
      </c>
      <c r="C570" t="str">
        <f t="shared" si="88"/>
        <v>65 y 1.66 m</v>
      </c>
      <c r="D570" s="24">
        <f>IF(A570&gt;=$E$2,IF(A570&lt;$E$2+$H$2,$P$2,0),IF(B570&lt;Dashboard!$I$6,0,IF(A570&gt;=$F$2,Dashboard!$C$23*POWER(1+$C$2,A570-$F$2),Dashboard!$C$23)))</f>
        <v>0</v>
      </c>
      <c r="E570" s="24">
        <f>IF(A570&gt;=$F$2,0,IF(A570=0,Dashboard!$G$10,IF(B570&lt;Dashboard!$I$6,IF($J$2&lt;=Dashboard!$H$10,Dashboard!$H$10,MAX(Dashboard!$H$10,MIN($J$2,Dashboard!$H$10*POWER($J$2/Dashboard!$H$10,A570/$D$2)))),$I$2-D570-Dashboard!$I$10-Dashboard!$J$10-Dashboard!$F$10*$I$2)))</f>
        <v>0</v>
      </c>
      <c r="F570" s="24">
        <f t="shared" si="89"/>
        <v>9191.2824726210074</v>
      </c>
      <c r="G570" s="24">
        <f t="shared" si="90"/>
        <v>12120.818739610064</v>
      </c>
      <c r="H570" s="24">
        <f t="shared" si="91"/>
        <v>0</v>
      </c>
      <c r="I570" s="24">
        <f t="shared" si="92"/>
        <v>-12120.818739610064</v>
      </c>
      <c r="J570" s="25">
        <f t="shared" si="93"/>
        <v>7.9741404289037643E-3</v>
      </c>
      <c r="K570" s="24">
        <f t="shared" si="98"/>
        <v>15661815.622524885</v>
      </c>
      <c r="L570" s="24">
        <f t="shared" si="94"/>
        <v>15661815.622524885</v>
      </c>
      <c r="M570" s="24">
        <f t="shared" si="95"/>
        <v>0</v>
      </c>
      <c r="N570" s="24">
        <f>IF(M570&lt;=0,0,IF($E$2-A570&lt;12,(M570-E570)*Dashboard!$B$18,IF($Q$2+A570&gt;=$R$2,MAX(0,M570-E570*POWER(1+$C$2,$E$2-A570))*MAX(Dashboard!$C$18,Dashboard!$B$18),IF($S$2&lt;$R$2,(M570-E570)*0.5*Dashboard!$B$18,(E570*POWER(1+$A$2,$R$2-($Q$2+A570))-E570)*0.5*Dashboard!$B$18+MAX(0,M570-E570*POWER(1+$A$2,$R$2-($Q$2+A570))*POWER(1+$C$2,$S$2-$R$2))*MAX(Dashboard!$C$18,Dashboard!$B$18)))))</f>
        <v>0</v>
      </c>
    </row>
    <row r="571" spans="1:14" x14ac:dyDescent="0.2">
      <c r="A571" s="22">
        <f t="shared" si="96"/>
        <v>566</v>
      </c>
      <c r="B571" s="23">
        <f t="shared" si="97"/>
        <v>65.221461187215255</v>
      </c>
      <c r="C571" t="str">
        <f t="shared" si="88"/>
        <v>65 y 2.66 m</v>
      </c>
      <c r="D571" s="24">
        <f>IF(A571&gt;=$E$2,IF(A571&lt;$E$2+$H$2,$P$2,0),IF(B571&lt;Dashboard!$I$6,0,IF(A571&gt;=$F$2,Dashboard!$C$23*POWER(1+$C$2,A571-$F$2),Dashboard!$C$23)))</f>
        <v>0</v>
      </c>
      <c r="E571" s="24">
        <f>IF(A571&gt;=$F$2,0,IF(A571=0,Dashboard!$G$10,IF(B571&lt;Dashboard!$I$6,IF($J$2&lt;=Dashboard!$H$10,Dashboard!$H$10,MAX(Dashboard!$H$10,MIN($J$2,Dashboard!$H$10*POWER($J$2/Dashboard!$H$10,A571/$D$2)))),$I$2-D571-Dashboard!$I$10-Dashboard!$J$10-Dashboard!$F$10*$I$2)))</f>
        <v>0</v>
      </c>
      <c r="F571" s="24">
        <f t="shared" si="89"/>
        <v>9210.2150096244823</v>
      </c>
      <c r="G571" s="24">
        <f t="shared" si="90"/>
        <v>12150.870385647328</v>
      </c>
      <c r="H571" s="24">
        <f t="shared" si="91"/>
        <v>0</v>
      </c>
      <c r="I571" s="24">
        <f t="shared" si="92"/>
        <v>-12150.870385647328</v>
      </c>
      <c r="J571" s="25">
        <f t="shared" si="93"/>
        <v>7.9741404289037643E-3</v>
      </c>
      <c r="K571" s="24">
        <f t="shared" si="98"/>
        <v>15774457.376538062</v>
      </c>
      <c r="L571" s="24">
        <f t="shared" si="94"/>
        <v>15774457.376538062</v>
      </c>
      <c r="M571" s="24">
        <f t="shared" si="95"/>
        <v>0</v>
      </c>
      <c r="N571" s="24">
        <f>IF(M571&lt;=0,0,IF($E$2-A571&lt;12,(M571-E571)*Dashboard!$B$18,IF($Q$2+A571&gt;=$R$2,MAX(0,M571-E571*POWER(1+$C$2,$E$2-A571))*MAX(Dashboard!$C$18,Dashboard!$B$18),IF($S$2&lt;$R$2,(M571-E571)*0.5*Dashboard!$B$18,(E571*POWER(1+$A$2,$R$2-($Q$2+A571))-E571)*0.5*Dashboard!$B$18+MAX(0,M571-E571*POWER(1+$A$2,$R$2-($Q$2+A571))*POWER(1+$C$2,$S$2-$R$2))*MAX(Dashboard!$C$18,Dashboard!$B$18)))))</f>
        <v>0</v>
      </c>
    </row>
    <row r="572" spans="1:14" x14ac:dyDescent="0.2">
      <c r="A572" s="22">
        <f t="shared" si="96"/>
        <v>567</v>
      </c>
      <c r="B572" s="23">
        <f t="shared" si="97"/>
        <v>65.304794520548583</v>
      </c>
      <c r="C572" t="str">
        <f t="shared" si="88"/>
        <v>65 y 3.66 m</v>
      </c>
      <c r="D572" s="24">
        <f>IF(A572&gt;=$E$2,IF(A572&lt;$E$2+$H$2,$P$2,0),IF(B572&lt;Dashboard!$I$6,0,IF(A572&gt;=$F$2,Dashboard!$C$23*POWER(1+$C$2,A572-$F$2),Dashboard!$C$23)))</f>
        <v>0</v>
      </c>
      <c r="E572" s="24">
        <f>IF(A572&gt;=$F$2,0,IF(A572=0,Dashboard!$G$10,IF(B572&lt;Dashboard!$I$6,IF($J$2&lt;=Dashboard!$H$10,Dashboard!$H$10,MAX(Dashboard!$H$10,MIN($J$2,Dashboard!$H$10*POWER($J$2/Dashboard!$H$10,A572/$D$2)))),$I$2-D572-Dashboard!$I$10-Dashboard!$J$10-Dashboard!$F$10*$I$2)))</f>
        <v>0</v>
      </c>
      <c r="F572" s="24">
        <f t="shared" si="89"/>
        <v>9229.1865445543572</v>
      </c>
      <c r="G572" s="24">
        <f t="shared" si="90"/>
        <v>12180.983933155063</v>
      </c>
      <c r="H572" s="24">
        <f t="shared" si="91"/>
        <v>0</v>
      </c>
      <c r="I572" s="24">
        <f t="shared" si="92"/>
        <v>-12180.983933155063</v>
      </c>
      <c r="J572" s="25">
        <f t="shared" si="93"/>
        <v>7.9741404289037643E-3</v>
      </c>
      <c r="K572" s="24">
        <f t="shared" si="98"/>
        <v>15887966.998038733</v>
      </c>
      <c r="L572" s="24">
        <f t="shared" si="94"/>
        <v>15887966.998038733</v>
      </c>
      <c r="M572" s="24">
        <f t="shared" si="95"/>
        <v>0</v>
      </c>
      <c r="N572" s="24">
        <f>IF(M572&lt;=0,0,IF($E$2-A572&lt;12,(M572-E572)*Dashboard!$B$18,IF($Q$2+A572&gt;=$R$2,MAX(0,M572-E572*POWER(1+$C$2,$E$2-A572))*MAX(Dashboard!$C$18,Dashboard!$B$18),IF($S$2&lt;$R$2,(M572-E572)*0.5*Dashboard!$B$18,(E572*POWER(1+$A$2,$R$2-($Q$2+A572))-E572)*0.5*Dashboard!$B$18+MAX(0,M572-E572*POWER(1+$A$2,$R$2-($Q$2+A572))*POWER(1+$C$2,$S$2-$R$2))*MAX(Dashboard!$C$18,Dashboard!$B$18)))))</f>
        <v>0</v>
      </c>
    </row>
    <row r="573" spans="1:14" x14ac:dyDescent="0.2">
      <c r="A573" s="22">
        <f t="shared" si="96"/>
        <v>568</v>
      </c>
      <c r="B573" s="23">
        <f t="shared" si="97"/>
        <v>65.388127853881912</v>
      </c>
      <c r="C573" t="str">
        <f t="shared" si="88"/>
        <v>65 y 4.66 m</v>
      </c>
      <c r="D573" s="24">
        <f>IF(A573&gt;=$E$2,IF(A573&lt;$E$2+$H$2,$P$2,0),IF(B573&lt;Dashboard!$I$6,0,IF(A573&gt;=$F$2,Dashboard!$C$23*POWER(1+$C$2,A573-$F$2),Dashboard!$C$23)))</f>
        <v>0</v>
      </c>
      <c r="E573" s="24">
        <f>IF(A573&gt;=$F$2,0,IF(A573=0,Dashboard!$G$10,IF(B573&lt;Dashboard!$I$6,IF($J$2&lt;=Dashboard!$H$10,Dashboard!$H$10,MAX(Dashboard!$H$10,MIN($J$2,Dashboard!$H$10*POWER($J$2/Dashboard!$H$10,A573/$D$2)))),$I$2-D573-Dashboard!$I$10-Dashboard!$J$10-Dashboard!$F$10*$I$2)))</f>
        <v>0</v>
      </c>
      <c r="F573" s="24">
        <f t="shared" si="89"/>
        <v>9248.1971577399745</v>
      </c>
      <c r="G573" s="24">
        <f t="shared" si="90"/>
        <v>12211.159509640171</v>
      </c>
      <c r="H573" s="24">
        <f t="shared" si="91"/>
        <v>0</v>
      </c>
      <c r="I573" s="24">
        <f t="shared" si="92"/>
        <v>-12211.159509640171</v>
      </c>
      <c r="J573" s="25">
        <f t="shared" si="93"/>
        <v>7.9741404289037643E-3</v>
      </c>
      <c r="K573" s="24">
        <f t="shared" si="98"/>
        <v>16002351.345000513</v>
      </c>
      <c r="L573" s="24">
        <f t="shared" si="94"/>
        <v>16002351.345000513</v>
      </c>
      <c r="M573" s="24">
        <f t="shared" si="95"/>
        <v>0</v>
      </c>
      <c r="N573" s="24">
        <f>IF(M573&lt;=0,0,IF($E$2-A573&lt;12,(M573-E573)*Dashboard!$B$18,IF($Q$2+A573&gt;=$R$2,MAX(0,M573-E573*POWER(1+$C$2,$E$2-A573))*MAX(Dashboard!$C$18,Dashboard!$B$18),IF($S$2&lt;$R$2,(M573-E573)*0.5*Dashboard!$B$18,(E573*POWER(1+$A$2,$R$2-($Q$2+A573))-E573)*0.5*Dashboard!$B$18+MAX(0,M573-E573*POWER(1+$A$2,$R$2-($Q$2+A573))*POWER(1+$C$2,$S$2-$R$2))*MAX(Dashboard!$C$18,Dashboard!$B$18)))))</f>
        <v>0</v>
      </c>
    </row>
    <row r="574" spans="1:14" x14ac:dyDescent="0.2">
      <c r="A574" s="22">
        <f t="shared" si="96"/>
        <v>569</v>
      </c>
      <c r="B574" s="23">
        <f t="shared" si="97"/>
        <v>65.47146118721524</v>
      </c>
      <c r="C574" t="str">
        <f t="shared" si="88"/>
        <v>65 y 5.66 m</v>
      </c>
      <c r="D574" s="24">
        <f>IF(A574&gt;=$E$2,IF(A574&lt;$E$2+$H$2,$P$2,0),IF(B574&lt;Dashboard!$I$6,0,IF(A574&gt;=$F$2,Dashboard!$C$23*POWER(1+$C$2,A574-$F$2),Dashboard!$C$23)))</f>
        <v>0</v>
      </c>
      <c r="E574" s="24">
        <f>IF(A574&gt;=$F$2,0,IF(A574=0,Dashboard!$G$10,IF(B574&lt;Dashboard!$I$6,IF($J$2&lt;=Dashboard!$H$10,Dashboard!$H$10,MAX(Dashboard!$H$10,MIN($J$2,Dashboard!$H$10*POWER($J$2/Dashboard!$H$10,A574/$D$2)))),$I$2-D574-Dashboard!$I$10-Dashboard!$J$10-Dashboard!$F$10*$I$2)))</f>
        <v>0</v>
      </c>
      <c r="F574" s="24">
        <f t="shared" si="89"/>
        <v>9267.2469296761428</v>
      </c>
      <c r="G574" s="24">
        <f t="shared" si="90"/>
        <v>12241.397242872185</v>
      </c>
      <c r="H574" s="24">
        <f t="shared" si="91"/>
        <v>0</v>
      </c>
      <c r="I574" s="24">
        <f t="shared" si="92"/>
        <v>-12241.397242872185</v>
      </c>
      <c r="J574" s="25">
        <f t="shared" si="93"/>
        <v>7.9741404289037643E-3</v>
      </c>
      <c r="K574" s="24">
        <f t="shared" si="98"/>
        <v>16117617.329954671</v>
      </c>
      <c r="L574" s="24">
        <f t="shared" si="94"/>
        <v>16117617.329954671</v>
      </c>
      <c r="M574" s="24">
        <f t="shared" si="95"/>
        <v>0</v>
      </c>
      <c r="N574" s="24">
        <f>IF(M574&lt;=0,0,IF($E$2-A574&lt;12,(M574-E574)*Dashboard!$B$18,IF($Q$2+A574&gt;=$R$2,MAX(0,M574-E574*POWER(1+$C$2,$E$2-A574))*MAX(Dashboard!$C$18,Dashboard!$B$18),IF($S$2&lt;$R$2,(M574-E574)*0.5*Dashboard!$B$18,(E574*POWER(1+$A$2,$R$2-($Q$2+A574))-E574)*0.5*Dashboard!$B$18+MAX(0,M574-E574*POWER(1+$A$2,$R$2-($Q$2+A574))*POWER(1+$C$2,$S$2-$R$2))*MAX(Dashboard!$C$18,Dashboard!$B$18)))))</f>
        <v>0</v>
      </c>
    </row>
    <row r="575" spans="1:14" x14ac:dyDescent="0.2">
      <c r="A575" s="22">
        <f t="shared" si="96"/>
        <v>570</v>
      </c>
      <c r="B575" s="23">
        <f t="shared" si="97"/>
        <v>65.554794520548569</v>
      </c>
      <c r="C575" t="str">
        <f t="shared" si="88"/>
        <v>65 y 6.66 m</v>
      </c>
      <c r="D575" s="24">
        <f>IF(A575&gt;=$E$2,IF(A575&lt;$E$2+$H$2,$P$2,0),IF(B575&lt;Dashboard!$I$6,0,IF(A575&gt;=$F$2,Dashboard!$C$23*POWER(1+$C$2,A575-$F$2),Dashboard!$C$23)))</f>
        <v>0</v>
      </c>
      <c r="E575" s="24">
        <f>IF(A575&gt;=$F$2,0,IF(A575=0,Dashboard!$G$10,IF(B575&lt;Dashboard!$I$6,IF($J$2&lt;=Dashboard!$H$10,Dashboard!$H$10,MAX(Dashboard!$H$10,MIN($J$2,Dashboard!$H$10*POWER($J$2/Dashboard!$H$10,A575/$D$2)))),$I$2-D575-Dashboard!$I$10-Dashboard!$J$10-Dashboard!$F$10*$I$2)))</f>
        <v>0</v>
      </c>
      <c r="F575" s="24">
        <f t="shared" si="89"/>
        <v>9286.3359410234789</v>
      </c>
      <c r="G575" s="24">
        <f t="shared" si="90"/>
        <v>12271.697260883831</v>
      </c>
      <c r="H575" s="24">
        <f t="shared" si="91"/>
        <v>0</v>
      </c>
      <c r="I575" s="24">
        <f t="shared" si="92"/>
        <v>-12271.697260883831</v>
      </c>
      <c r="J575" s="25">
        <f t="shared" si="93"/>
        <v>7.9741404289037643E-3</v>
      </c>
      <c r="K575" s="24">
        <f t="shared" si="98"/>
        <v>16233771.920424918</v>
      </c>
      <c r="L575" s="24">
        <f t="shared" si="94"/>
        <v>16233771.920424918</v>
      </c>
      <c r="M575" s="24">
        <f t="shared" si="95"/>
        <v>0</v>
      </c>
      <c r="N575" s="24">
        <f>IF(M575&lt;=0,0,IF($E$2-A575&lt;12,(M575-E575)*Dashboard!$B$18,IF($Q$2+A575&gt;=$R$2,MAX(0,M575-E575*POWER(1+$C$2,$E$2-A575))*MAX(Dashboard!$C$18,Dashboard!$B$18),IF($S$2&lt;$R$2,(M575-E575)*0.5*Dashboard!$B$18,(E575*POWER(1+$A$2,$R$2-($Q$2+A575))-E575)*0.5*Dashboard!$B$18+MAX(0,M575-E575*POWER(1+$A$2,$R$2-($Q$2+A575))*POWER(1+$C$2,$S$2-$R$2))*MAX(Dashboard!$C$18,Dashboard!$B$18)))))</f>
        <v>0</v>
      </c>
    </row>
    <row r="576" spans="1:14" x14ac:dyDescent="0.2">
      <c r="A576" s="22">
        <f t="shared" si="96"/>
        <v>571</v>
      </c>
      <c r="B576" s="23">
        <f t="shared" si="97"/>
        <v>65.638127853881898</v>
      </c>
      <c r="C576" t="str">
        <f t="shared" si="88"/>
        <v>65 y 7.66 m</v>
      </c>
      <c r="D576" s="24">
        <f>IF(A576&gt;=$E$2,IF(A576&lt;$E$2+$H$2,$P$2,0),IF(B576&lt;Dashboard!$I$6,0,IF(A576&gt;=$F$2,Dashboard!$C$23*POWER(1+$C$2,A576-$F$2),Dashboard!$C$23)))</f>
        <v>0</v>
      </c>
      <c r="E576" s="24">
        <f>IF(A576&gt;=$F$2,0,IF(A576=0,Dashboard!$G$10,IF(B576&lt;Dashboard!$I$6,IF($J$2&lt;=Dashboard!$H$10,Dashboard!$H$10,MAX(Dashboard!$H$10,MIN($J$2,Dashboard!$H$10*POWER($J$2/Dashboard!$H$10,A576/$D$2)))),$I$2-D576-Dashboard!$I$10-Dashboard!$J$10-Dashboard!$F$10*$I$2)))</f>
        <v>0</v>
      </c>
      <c r="F576" s="24">
        <f t="shared" si="89"/>
        <v>9305.4642726087441</v>
      </c>
      <c r="G576" s="24">
        <f t="shared" si="90"/>
        <v>12302.059691971552</v>
      </c>
      <c r="H576" s="24">
        <f t="shared" si="91"/>
        <v>0</v>
      </c>
      <c r="I576" s="24">
        <f t="shared" si="92"/>
        <v>-12302.059691971552</v>
      </c>
      <c r="J576" s="25">
        <f t="shared" si="93"/>
        <v>7.9741404289037643E-3</v>
      </c>
      <c r="K576" s="24">
        <f t="shared" si="98"/>
        <v>16350822.139365662</v>
      </c>
      <c r="L576" s="24">
        <f t="shared" si="94"/>
        <v>16350822.139365662</v>
      </c>
      <c r="M576" s="24">
        <f t="shared" si="95"/>
        <v>0</v>
      </c>
      <c r="N576" s="24">
        <f>IF(M576&lt;=0,0,IF($E$2-A576&lt;12,(M576-E576)*Dashboard!$B$18,IF($Q$2+A576&gt;=$R$2,MAX(0,M576-E576*POWER(1+$C$2,$E$2-A576))*MAX(Dashboard!$C$18,Dashboard!$B$18),IF($S$2&lt;$R$2,(M576-E576)*0.5*Dashboard!$B$18,(E576*POWER(1+$A$2,$R$2-($Q$2+A576))-E576)*0.5*Dashboard!$B$18+MAX(0,M576-E576*POWER(1+$A$2,$R$2-($Q$2+A576))*POWER(1+$C$2,$S$2-$R$2))*MAX(Dashboard!$C$18,Dashboard!$B$18)))))</f>
        <v>0</v>
      </c>
    </row>
    <row r="577" spans="1:14" x14ac:dyDescent="0.2">
      <c r="A577" s="22">
        <f t="shared" si="96"/>
        <v>572</v>
      </c>
      <c r="B577" s="23">
        <f t="shared" si="97"/>
        <v>65.721461187215226</v>
      </c>
      <c r="C577" t="str">
        <f t="shared" si="88"/>
        <v>65 y 8.66 m</v>
      </c>
      <c r="D577" s="24">
        <f>IF(A577&gt;=$E$2,IF(A577&lt;$E$2+$H$2,$P$2,0),IF(B577&lt;Dashboard!$I$6,0,IF(A577&gt;=$F$2,Dashboard!$C$23*POWER(1+$C$2,A577-$F$2),Dashboard!$C$23)))</f>
        <v>0</v>
      </c>
      <c r="E577" s="24">
        <f>IF(A577&gt;=$F$2,0,IF(A577=0,Dashboard!$G$10,IF(B577&lt;Dashboard!$I$6,IF($J$2&lt;=Dashboard!$H$10,Dashboard!$H$10,MAX(Dashboard!$H$10,MIN($J$2,Dashboard!$H$10*POWER($J$2/Dashboard!$H$10,A577/$D$2)))),$I$2-D577-Dashboard!$I$10-Dashboard!$J$10-Dashboard!$F$10*$I$2)))</f>
        <v>0</v>
      </c>
      <c r="F577" s="24">
        <f t="shared" si="89"/>
        <v>9324.6320054251883</v>
      </c>
      <c r="G577" s="24">
        <f t="shared" si="90"/>
        <v>12332.484664696065</v>
      </c>
      <c r="H577" s="24">
        <f t="shared" si="91"/>
        <v>0</v>
      </c>
      <c r="I577" s="24">
        <f t="shared" si="92"/>
        <v>-12332.484664696065</v>
      </c>
      <c r="J577" s="25">
        <f t="shared" si="93"/>
        <v>7.9741404289037643E-3</v>
      </c>
      <c r="K577" s="24">
        <f t="shared" si="98"/>
        <v>16468775.065603744</v>
      </c>
      <c r="L577" s="24">
        <f t="shared" si="94"/>
        <v>16468775.065603744</v>
      </c>
      <c r="M577" s="24">
        <f t="shared" si="95"/>
        <v>0</v>
      </c>
      <c r="N577" s="24">
        <f>IF(M577&lt;=0,0,IF($E$2-A577&lt;12,(M577-E577)*Dashboard!$B$18,IF($Q$2+A577&gt;=$R$2,MAX(0,M577-E577*POWER(1+$C$2,$E$2-A577))*MAX(Dashboard!$C$18,Dashboard!$B$18),IF($S$2&lt;$R$2,(M577-E577)*0.5*Dashboard!$B$18,(E577*POWER(1+$A$2,$R$2-($Q$2+A577))-E577)*0.5*Dashboard!$B$18+MAX(0,M577-E577*POWER(1+$A$2,$R$2-($Q$2+A577))*POWER(1+$C$2,$S$2-$R$2))*MAX(Dashboard!$C$18,Dashboard!$B$18)))))</f>
        <v>0</v>
      </c>
    </row>
    <row r="578" spans="1:14" x14ac:dyDescent="0.2">
      <c r="A578" s="22">
        <f t="shared" si="96"/>
        <v>573</v>
      </c>
      <c r="B578" s="23">
        <f t="shared" si="97"/>
        <v>65.804794520548555</v>
      </c>
      <c r="C578" t="str">
        <f t="shared" si="88"/>
        <v>65 y 9.66 m</v>
      </c>
      <c r="D578" s="24">
        <f>IF(A578&gt;=$E$2,IF(A578&lt;$E$2+$H$2,$P$2,0),IF(B578&lt;Dashboard!$I$6,0,IF(A578&gt;=$F$2,Dashboard!$C$23*POWER(1+$C$2,A578-$F$2),Dashboard!$C$23)))</f>
        <v>0</v>
      </c>
      <c r="E578" s="24">
        <f>IF(A578&gt;=$F$2,0,IF(A578=0,Dashboard!$G$10,IF(B578&lt;Dashboard!$I$6,IF($J$2&lt;=Dashboard!$H$10,Dashboard!$H$10,MAX(Dashboard!$H$10,MIN($J$2,Dashboard!$H$10*POWER($J$2/Dashboard!$H$10,A578/$D$2)))),$I$2-D578-Dashboard!$I$10-Dashboard!$J$10-Dashboard!$F$10*$I$2)))</f>
        <v>0</v>
      </c>
      <c r="F578" s="24">
        <f t="shared" si="89"/>
        <v>9343.839220632899</v>
      </c>
      <c r="G578" s="24">
        <f t="shared" si="90"/>
        <v>12362.972307882907</v>
      </c>
      <c r="H578" s="24">
        <f t="shared" si="91"/>
        <v>0</v>
      </c>
      <c r="I578" s="24">
        <f t="shared" si="92"/>
        <v>-12362.972307882907</v>
      </c>
      <c r="J578" s="25">
        <f t="shared" si="93"/>
        <v>7.9741404289037643E-3</v>
      </c>
      <c r="K578" s="24">
        <f t="shared" si="98"/>
        <v>16587637.834283713</v>
      </c>
      <c r="L578" s="24">
        <f t="shared" si="94"/>
        <v>16587637.834283713</v>
      </c>
      <c r="M578" s="24">
        <f t="shared" si="95"/>
        <v>0</v>
      </c>
      <c r="N578" s="24">
        <f>IF(M578&lt;=0,0,IF($E$2-A578&lt;12,(M578-E578)*Dashboard!$B$18,IF($Q$2+A578&gt;=$R$2,MAX(0,M578-E578*POWER(1+$C$2,$E$2-A578))*MAX(Dashboard!$C$18,Dashboard!$B$18),IF($S$2&lt;$R$2,(M578-E578)*0.5*Dashboard!$B$18,(E578*POWER(1+$A$2,$R$2-($Q$2+A578))-E578)*0.5*Dashboard!$B$18+MAX(0,M578-E578*POWER(1+$A$2,$R$2-($Q$2+A578))*POWER(1+$C$2,$S$2-$R$2))*MAX(Dashboard!$C$18,Dashboard!$B$18)))))</f>
        <v>0</v>
      </c>
    </row>
    <row r="579" spans="1:14" x14ac:dyDescent="0.2">
      <c r="A579" s="22">
        <f t="shared" si="96"/>
        <v>574</v>
      </c>
      <c r="B579" s="23">
        <f t="shared" si="97"/>
        <v>65.888127853881883</v>
      </c>
      <c r="C579" t="str">
        <f t="shared" si="88"/>
        <v>65 y 10.66 m</v>
      </c>
      <c r="D579" s="24">
        <f>IF(A579&gt;=$E$2,IF(A579&lt;$E$2+$H$2,$P$2,0),IF(B579&lt;Dashboard!$I$6,0,IF(A579&gt;=$F$2,Dashboard!$C$23*POWER(1+$C$2,A579-$F$2),Dashboard!$C$23)))</f>
        <v>0</v>
      </c>
      <c r="E579" s="24">
        <f>IF(A579&gt;=$F$2,0,IF(A579=0,Dashboard!$G$10,IF(B579&lt;Dashboard!$I$6,IF($J$2&lt;=Dashboard!$H$10,Dashboard!$H$10,MAX(Dashboard!$H$10,MIN($J$2,Dashboard!$H$10*POWER($J$2/Dashboard!$H$10,A579/$D$2)))),$I$2-D579-Dashboard!$I$10-Dashboard!$J$10-Dashboard!$F$10*$I$2)))</f>
        <v>0</v>
      </c>
      <c r="F579" s="24">
        <f t="shared" si="89"/>
        <v>9363.08599955914</v>
      </c>
      <c r="G579" s="24">
        <f t="shared" si="90"/>
        <v>12393.522750622973</v>
      </c>
      <c r="H579" s="24">
        <f t="shared" si="91"/>
        <v>0</v>
      </c>
      <c r="I579" s="24">
        <f t="shared" si="92"/>
        <v>-12393.522750622973</v>
      </c>
      <c r="J579" s="25">
        <f t="shared" si="93"/>
        <v>7.9741404289037643E-3</v>
      </c>
      <c r="K579" s="24">
        <f t="shared" si="98"/>
        <v>16707417.637316642</v>
      </c>
      <c r="L579" s="24">
        <f t="shared" si="94"/>
        <v>16707417.637316642</v>
      </c>
      <c r="M579" s="24">
        <f t="shared" si="95"/>
        <v>0</v>
      </c>
      <c r="N579" s="24">
        <f>IF(M579&lt;=0,0,IF($E$2-A579&lt;12,(M579-E579)*Dashboard!$B$18,IF($Q$2+A579&gt;=$R$2,MAX(0,M579-E579*POWER(1+$C$2,$E$2-A579))*MAX(Dashboard!$C$18,Dashboard!$B$18),IF($S$2&lt;$R$2,(M579-E579)*0.5*Dashboard!$B$18,(E579*POWER(1+$A$2,$R$2-($Q$2+A579))-E579)*0.5*Dashboard!$B$18+MAX(0,M579-E579*POWER(1+$A$2,$R$2-($Q$2+A579))*POWER(1+$C$2,$S$2-$R$2))*MAX(Dashboard!$C$18,Dashboard!$B$18)))))</f>
        <v>0</v>
      </c>
    </row>
    <row r="580" spans="1:14" x14ac:dyDescent="0.2">
      <c r="A580" s="22">
        <f t="shared" si="96"/>
        <v>575</v>
      </c>
      <c r="B580" s="23">
        <f t="shared" si="97"/>
        <v>65.971461187215212</v>
      </c>
      <c r="C580" t="str">
        <f t="shared" si="88"/>
        <v>65 y 11.66 m</v>
      </c>
      <c r="D580" s="24">
        <f>IF(A580&gt;=$E$2,IF(A580&lt;$E$2+$H$2,$P$2,0),IF(B580&lt;Dashboard!$I$6,0,IF(A580&gt;=$F$2,Dashboard!$C$23*POWER(1+$C$2,A580-$F$2),Dashboard!$C$23)))</f>
        <v>0</v>
      </c>
      <c r="E580" s="24">
        <f>IF(A580&gt;=$F$2,0,IF(A580=0,Dashboard!$G$10,IF(B580&lt;Dashboard!$I$6,IF($J$2&lt;=Dashboard!$H$10,Dashboard!$H$10,MAX(Dashboard!$H$10,MIN($J$2,Dashboard!$H$10*POWER($J$2/Dashboard!$H$10,A580/$D$2)))),$I$2-D580-Dashboard!$I$10-Dashboard!$J$10-Dashboard!$F$10*$I$2)))</f>
        <v>0</v>
      </c>
      <c r="F580" s="24">
        <f t="shared" si="89"/>
        <v>9382.3724236986873</v>
      </c>
      <c r="G580" s="24">
        <f t="shared" si="90"/>
        <v>12424.136122273048</v>
      </c>
      <c r="H580" s="24">
        <f t="shared" si="91"/>
        <v>0</v>
      </c>
      <c r="I580" s="24">
        <f t="shared" si="92"/>
        <v>-12424.136122273048</v>
      </c>
      <c r="J580" s="25">
        <f t="shared" si="93"/>
        <v>7.9741404289037643E-3</v>
      </c>
      <c r="K580" s="24">
        <f t="shared" si="98"/>
        <v>16828121.723832529</v>
      </c>
      <c r="L580" s="24">
        <f t="shared" si="94"/>
        <v>16828121.723832529</v>
      </c>
      <c r="M580" s="24">
        <f t="shared" si="95"/>
        <v>0</v>
      </c>
      <c r="N580" s="24">
        <f>IF(M580&lt;=0,0,IF($E$2-A580&lt;12,(M580-E580)*Dashboard!$B$18,IF($Q$2+A580&gt;=$R$2,MAX(0,M580-E580*POWER(1+$C$2,$E$2-A580))*MAX(Dashboard!$C$18,Dashboard!$B$18),IF($S$2&lt;$R$2,(M580-E580)*0.5*Dashboard!$B$18,(E580*POWER(1+$A$2,$R$2-($Q$2+A580))-E580)*0.5*Dashboard!$B$18+MAX(0,M580-E580*POWER(1+$A$2,$R$2-($Q$2+A580))*POWER(1+$C$2,$S$2-$R$2))*MAX(Dashboard!$C$18,Dashboard!$B$18)))))</f>
        <v>0</v>
      </c>
    </row>
    <row r="581" spans="1:14" x14ac:dyDescent="0.2">
      <c r="A581" s="22">
        <f t="shared" si="96"/>
        <v>576</v>
      </c>
      <c r="B581" s="23">
        <f t="shared" si="97"/>
        <v>66.054794520548541</v>
      </c>
      <c r="C581" t="str">
        <f t="shared" ref="C581:C644" si="99">INT(B581)&amp;" y "&amp;ROUND((B581-INT(B581))*12,2)&amp;" m"</f>
        <v>66 y 0.66 m</v>
      </c>
      <c r="D581" s="24">
        <f>IF(A581&gt;=$E$2,IF(A581&lt;$E$2+$H$2,$P$2,0),IF(B581&lt;Dashboard!$I$6,0,IF(A581&gt;=$F$2,Dashboard!$C$23*POWER(1+$C$2,A581-$F$2),Dashboard!$C$23)))</f>
        <v>0</v>
      </c>
      <c r="E581" s="24">
        <f>IF(A581&gt;=$F$2,0,IF(A581=0,Dashboard!$G$10,IF(B581&lt;Dashboard!$I$6,IF($J$2&lt;=Dashboard!$H$10,Dashboard!$H$10,MAX(Dashboard!$H$10,MIN($J$2,Dashboard!$H$10*POWER($J$2/Dashboard!$H$10,A581/$D$2)))),$I$2-D581-Dashboard!$I$10-Dashboard!$J$10-Dashboard!$F$10*$I$2)))</f>
        <v>0</v>
      </c>
      <c r="F581" s="24">
        <f t="shared" ref="F581:F644" si="100">IF(A581&gt;=$F$2,$X$2*POWER(1+$C$2,A581-$F$2)+D581,0)</f>
        <v>9401.6985747141935</v>
      </c>
      <c r="G581" s="24">
        <f t="shared" ref="G581:G644" si="101">IF(F581&lt;=0,0,IF(F581*12&lt;=18200,F581,IF(F581*12&lt;=40712,(18200+(F581*12-18200)/0.84)/12,IF(F581*12&lt;=103712,(45000+(F581*12-40712)/0.7)/12,IF(F581*12&lt;=138362,(135000+(F581*12-103712)/0.63)/12,(190000+(F581*12-138362)/0.55)/12)))))</f>
        <v>12454.812552456389</v>
      </c>
      <c r="H581" s="24">
        <f t="shared" ref="H581:H644" si="102">IF(A581=$E$2,$W$2,0)</f>
        <v>0</v>
      </c>
      <c r="I581" s="24">
        <f t="shared" ref="I581:I644" si="103">E581-G581-H581</f>
        <v>-12454.812552456389</v>
      </c>
      <c r="J581" s="25">
        <f t="shared" ref="J581:J644" si="104">IF(A581&gt;=$F$2,$B$2,$A$2)</f>
        <v>7.9741404289037643E-3</v>
      </c>
      <c r="K581" s="24">
        <f t="shared" si="98"/>
        <v>16949757.400636289</v>
      </c>
      <c r="L581" s="24">
        <f t="shared" ref="L581:L644" si="105">IF(A581&gt;=$F$2,K581,"")</f>
        <v>16949757.400636289</v>
      </c>
      <c r="M581" s="24">
        <f t="shared" ref="M581:M644" si="106">IF(AND(A581&lt;$E$2,E581&gt;0),E581*POWER(1+$A$2,$E$2-A581),0)</f>
        <v>0</v>
      </c>
      <c r="N581" s="24">
        <f>IF(M581&lt;=0,0,IF($E$2-A581&lt;12,(M581-E581)*Dashboard!$B$18,IF($Q$2+A581&gt;=$R$2,MAX(0,M581-E581*POWER(1+$C$2,$E$2-A581))*MAX(Dashboard!$C$18,Dashboard!$B$18),IF($S$2&lt;$R$2,(M581-E581)*0.5*Dashboard!$B$18,(E581*POWER(1+$A$2,$R$2-($Q$2+A581))-E581)*0.5*Dashboard!$B$18+MAX(0,M581-E581*POWER(1+$A$2,$R$2-($Q$2+A581))*POWER(1+$C$2,$S$2-$R$2))*MAX(Dashboard!$C$18,Dashboard!$B$18)))))</f>
        <v>0</v>
      </c>
    </row>
    <row r="582" spans="1:14" x14ac:dyDescent="0.2">
      <c r="A582" s="22">
        <f t="shared" ref="A582:A645" si="107">A581+1</f>
        <v>577</v>
      </c>
      <c r="B582" s="23">
        <f t="shared" ref="B582:B645" si="108">B581+1/12</f>
        <v>66.138127853881869</v>
      </c>
      <c r="C582" t="str">
        <f t="shared" si="99"/>
        <v>66 y 1.66 m</v>
      </c>
      <c r="D582" s="24">
        <f>IF(A582&gt;=$E$2,IF(A582&lt;$E$2+$H$2,$P$2,0),IF(B582&lt;Dashboard!$I$6,0,IF(A582&gt;=$F$2,Dashboard!$C$23*POWER(1+$C$2,A582-$F$2),Dashboard!$C$23)))</f>
        <v>0</v>
      </c>
      <c r="E582" s="24">
        <f>IF(A582&gt;=$F$2,0,IF(A582=0,Dashboard!$G$10,IF(B582&lt;Dashboard!$I$6,IF($J$2&lt;=Dashboard!$H$10,Dashboard!$H$10,MAX(Dashboard!$H$10,MIN($J$2,Dashboard!$H$10*POWER($J$2/Dashboard!$H$10,A582/$D$2)))),$I$2-D582-Dashboard!$I$10-Dashboard!$J$10-Dashboard!$F$10*$I$2)))</f>
        <v>0</v>
      </c>
      <c r="F582" s="24">
        <f t="shared" si="100"/>
        <v>9421.0645344365184</v>
      </c>
      <c r="G582" s="24">
        <f t="shared" si="101"/>
        <v>12485.552171063258</v>
      </c>
      <c r="H582" s="24">
        <f t="shared" si="102"/>
        <v>0</v>
      </c>
      <c r="I582" s="24">
        <f t="shared" si="103"/>
        <v>-12485.552171063258</v>
      </c>
      <c r="J582" s="25">
        <f t="shared" si="104"/>
        <v>7.9741404289037643E-3</v>
      </c>
      <c r="K582" s="24">
        <f t="shared" ref="K582:K645" si="109">(K581+I582)*(1+J582)</f>
        <v>17072332.032667406</v>
      </c>
      <c r="L582" s="24">
        <f t="shared" si="105"/>
        <v>17072332.032667406</v>
      </c>
      <c r="M582" s="24">
        <f t="shared" si="106"/>
        <v>0</v>
      </c>
      <c r="N582" s="24">
        <f>IF(M582&lt;=0,0,IF($E$2-A582&lt;12,(M582-E582)*Dashboard!$B$18,IF($Q$2+A582&gt;=$R$2,MAX(0,M582-E582*POWER(1+$C$2,$E$2-A582))*MAX(Dashboard!$C$18,Dashboard!$B$18),IF($S$2&lt;$R$2,(M582-E582)*0.5*Dashboard!$B$18,(E582*POWER(1+$A$2,$R$2-($Q$2+A582))-E582)*0.5*Dashboard!$B$18+MAX(0,M582-E582*POWER(1+$A$2,$R$2-($Q$2+A582))*POWER(1+$C$2,$S$2-$R$2))*MAX(Dashboard!$C$18,Dashboard!$B$18)))))</f>
        <v>0</v>
      </c>
    </row>
    <row r="583" spans="1:14" x14ac:dyDescent="0.2">
      <c r="A583" s="22">
        <f t="shared" si="107"/>
        <v>578</v>
      </c>
      <c r="B583" s="23">
        <f t="shared" si="108"/>
        <v>66.221461187215198</v>
      </c>
      <c r="C583" t="str">
        <f t="shared" si="99"/>
        <v>66 y 2.66 m</v>
      </c>
      <c r="D583" s="24">
        <f>IF(A583&gt;=$E$2,IF(A583&lt;$E$2+$H$2,$P$2,0),IF(B583&lt;Dashboard!$I$6,0,IF(A583&gt;=$F$2,Dashboard!$C$23*POWER(1+$C$2,A583-$F$2),Dashboard!$C$23)))</f>
        <v>0</v>
      </c>
      <c r="E583" s="24">
        <f>IF(A583&gt;=$F$2,0,IF(A583=0,Dashboard!$G$10,IF(B583&lt;Dashboard!$I$6,IF($J$2&lt;=Dashboard!$H$10,Dashboard!$H$10,MAX(Dashboard!$H$10,MIN($J$2,Dashboard!$H$10*POWER($J$2/Dashboard!$H$10,A583/$D$2)))),$I$2-D583-Dashboard!$I$10-Dashboard!$J$10-Dashboard!$F$10*$I$2)))</f>
        <v>0</v>
      </c>
      <c r="F583" s="24">
        <f t="shared" si="100"/>
        <v>9440.4703848650806</v>
      </c>
      <c r="G583" s="24">
        <f t="shared" si="101"/>
        <v>12516.355108251451</v>
      </c>
      <c r="H583" s="24">
        <f t="shared" si="102"/>
        <v>0</v>
      </c>
      <c r="I583" s="24">
        <f t="shared" si="103"/>
        <v>-12516.355108251451</v>
      </c>
      <c r="J583" s="25">
        <f t="shared" si="104"/>
        <v>7.9741404289037643E-3</v>
      </c>
      <c r="K583" s="24">
        <f t="shared" si="109"/>
        <v>17195853.043463226</v>
      </c>
      <c r="L583" s="24">
        <f t="shared" si="105"/>
        <v>17195853.043463226</v>
      </c>
      <c r="M583" s="24">
        <f t="shared" si="106"/>
        <v>0</v>
      </c>
      <c r="N583" s="24">
        <f>IF(M583&lt;=0,0,IF($E$2-A583&lt;12,(M583-E583)*Dashboard!$B$18,IF($Q$2+A583&gt;=$R$2,MAX(0,M583-E583*POWER(1+$C$2,$E$2-A583))*MAX(Dashboard!$C$18,Dashboard!$B$18),IF($S$2&lt;$R$2,(M583-E583)*0.5*Dashboard!$B$18,(E583*POWER(1+$A$2,$R$2-($Q$2+A583))-E583)*0.5*Dashboard!$B$18+MAX(0,M583-E583*POWER(1+$A$2,$R$2-($Q$2+A583))*POWER(1+$C$2,$S$2-$R$2))*MAX(Dashboard!$C$18,Dashboard!$B$18)))))</f>
        <v>0</v>
      </c>
    </row>
    <row r="584" spans="1:14" x14ac:dyDescent="0.2">
      <c r="A584" s="22">
        <f t="shared" si="107"/>
        <v>579</v>
      </c>
      <c r="B584" s="23">
        <f t="shared" si="108"/>
        <v>66.304794520548526</v>
      </c>
      <c r="C584" t="str">
        <f t="shared" si="99"/>
        <v>66 y 3.66 m</v>
      </c>
      <c r="D584" s="24">
        <f>IF(A584&gt;=$E$2,IF(A584&lt;$E$2+$H$2,$P$2,0),IF(B584&lt;Dashboard!$I$6,0,IF(A584&gt;=$F$2,Dashboard!$C$23*POWER(1+$C$2,A584-$F$2),Dashboard!$C$23)))</f>
        <v>0</v>
      </c>
      <c r="E584" s="24">
        <f>IF(A584&gt;=$F$2,0,IF(A584=0,Dashboard!$G$10,IF(B584&lt;Dashboard!$I$6,IF($J$2&lt;=Dashboard!$H$10,Dashboard!$H$10,MAX(Dashboard!$H$10,MIN($J$2,Dashboard!$H$10*POWER($J$2/Dashboard!$H$10,A584/$D$2)))),$I$2-D584-Dashboard!$I$10-Dashboard!$J$10-Dashboard!$F$10*$I$2)))</f>
        <v>0</v>
      </c>
      <c r="F584" s="24">
        <f t="shared" si="100"/>
        <v>9459.9162081682025</v>
      </c>
      <c r="G584" s="24">
        <f t="shared" si="101"/>
        <v>12547.221494446881</v>
      </c>
      <c r="H584" s="24">
        <f t="shared" si="102"/>
        <v>0</v>
      </c>
      <c r="I584" s="24">
        <f t="shared" si="103"/>
        <v>-12547.221494446881</v>
      </c>
      <c r="J584" s="25">
        <f t="shared" si="104"/>
        <v>7.9741404289037643E-3</v>
      </c>
      <c r="K584" s="24">
        <f t="shared" si="109"/>
        <v>17320327.915625956</v>
      </c>
      <c r="L584" s="24">
        <f t="shared" si="105"/>
        <v>17320327.915625956</v>
      </c>
      <c r="M584" s="24">
        <f t="shared" si="106"/>
        <v>0</v>
      </c>
      <c r="N584" s="24">
        <f>IF(M584&lt;=0,0,IF($E$2-A584&lt;12,(M584-E584)*Dashboard!$B$18,IF($Q$2+A584&gt;=$R$2,MAX(0,M584-E584*POWER(1+$C$2,$E$2-A584))*MAX(Dashboard!$C$18,Dashboard!$B$18),IF($S$2&lt;$R$2,(M584-E584)*0.5*Dashboard!$B$18,(E584*POWER(1+$A$2,$R$2-($Q$2+A584))-E584)*0.5*Dashboard!$B$18+MAX(0,M584-E584*POWER(1+$A$2,$R$2-($Q$2+A584))*POWER(1+$C$2,$S$2-$R$2))*MAX(Dashboard!$C$18,Dashboard!$B$18)))))</f>
        <v>0</v>
      </c>
    </row>
    <row r="585" spans="1:14" x14ac:dyDescent="0.2">
      <c r="A585" s="22">
        <f t="shared" si="107"/>
        <v>580</v>
      </c>
      <c r="B585" s="23">
        <f t="shared" si="108"/>
        <v>66.388127853881855</v>
      </c>
      <c r="C585" t="str">
        <f t="shared" si="99"/>
        <v>66 y 4.66 m</v>
      </c>
      <c r="D585" s="24">
        <f>IF(A585&gt;=$E$2,IF(A585&lt;$E$2+$H$2,$P$2,0),IF(B585&lt;Dashboard!$I$6,0,IF(A585&gt;=$F$2,Dashboard!$C$23*POWER(1+$C$2,A585-$F$2),Dashboard!$C$23)))</f>
        <v>0</v>
      </c>
      <c r="E585" s="24">
        <f>IF(A585&gt;=$F$2,0,IF(A585=0,Dashboard!$G$10,IF(B585&lt;Dashboard!$I$6,IF($J$2&lt;=Dashboard!$H$10,Dashboard!$H$10,MAX(Dashboard!$H$10,MIN($J$2,Dashboard!$H$10*POWER($J$2/Dashboard!$H$10,A585/$D$2)))),$I$2-D585-Dashboard!$I$10-Dashboard!$J$10-Dashboard!$F$10*$I$2)))</f>
        <v>0</v>
      </c>
      <c r="F585" s="24">
        <f t="shared" si="100"/>
        <v>9479.402086683458</v>
      </c>
      <c r="G585" s="24">
        <f t="shared" si="101"/>
        <v>12578.151460344112</v>
      </c>
      <c r="H585" s="24">
        <f t="shared" si="102"/>
        <v>0</v>
      </c>
      <c r="I585" s="24">
        <f t="shared" si="103"/>
        <v>-12578.151460344112</v>
      </c>
      <c r="J585" s="25">
        <f t="shared" si="104"/>
        <v>7.9741404289037643E-3</v>
      </c>
      <c r="K585" s="24">
        <f t="shared" si="109"/>
        <v>17445764.191293392</v>
      </c>
      <c r="L585" s="24">
        <f t="shared" si="105"/>
        <v>17445764.191293392</v>
      </c>
      <c r="M585" s="24">
        <f t="shared" si="106"/>
        <v>0</v>
      </c>
      <c r="N585" s="24">
        <f>IF(M585&lt;=0,0,IF($E$2-A585&lt;12,(M585-E585)*Dashboard!$B$18,IF($Q$2+A585&gt;=$R$2,MAX(0,M585-E585*POWER(1+$C$2,$E$2-A585))*MAX(Dashboard!$C$18,Dashboard!$B$18),IF($S$2&lt;$R$2,(M585-E585)*0.5*Dashboard!$B$18,(E585*POWER(1+$A$2,$R$2-($Q$2+A585))-E585)*0.5*Dashboard!$B$18+MAX(0,M585-E585*POWER(1+$A$2,$R$2-($Q$2+A585))*POWER(1+$C$2,$S$2-$R$2))*MAX(Dashboard!$C$18,Dashboard!$B$18)))))</f>
        <v>0</v>
      </c>
    </row>
    <row r="586" spans="1:14" x14ac:dyDescent="0.2">
      <c r="A586" s="22">
        <f t="shared" si="107"/>
        <v>581</v>
      </c>
      <c r="B586" s="23">
        <f t="shared" si="108"/>
        <v>66.471461187215183</v>
      </c>
      <c r="C586" t="str">
        <f t="shared" si="99"/>
        <v>66 y 5.66 m</v>
      </c>
      <c r="D586" s="24">
        <f>IF(A586&gt;=$E$2,IF(A586&lt;$E$2+$H$2,$P$2,0),IF(B586&lt;Dashboard!$I$6,0,IF(A586&gt;=$F$2,Dashboard!$C$23*POWER(1+$C$2,A586-$F$2),Dashboard!$C$23)))</f>
        <v>0</v>
      </c>
      <c r="E586" s="24">
        <f>IF(A586&gt;=$F$2,0,IF(A586=0,Dashboard!$G$10,IF(B586&lt;Dashboard!$I$6,IF($J$2&lt;=Dashboard!$H$10,Dashboard!$H$10,MAX(Dashboard!$H$10,MIN($J$2,Dashboard!$H$10*POWER($J$2/Dashboard!$H$10,A586/$D$2)))),$I$2-D586-Dashboard!$I$10-Dashboard!$J$10-Dashboard!$F$10*$I$2)))</f>
        <v>0</v>
      </c>
      <c r="F586" s="24">
        <f t="shared" si="100"/>
        <v>9498.9281029180329</v>
      </c>
      <c r="G586" s="24">
        <f t="shared" si="101"/>
        <v>12609.145136906931</v>
      </c>
      <c r="H586" s="24">
        <f t="shared" si="102"/>
        <v>0</v>
      </c>
      <c r="I586" s="24">
        <f t="shared" si="103"/>
        <v>-12609.145136906931</v>
      </c>
      <c r="J586" s="25">
        <f t="shared" si="104"/>
        <v>7.9741404289037643E-3</v>
      </c>
      <c r="K586" s="24">
        <f t="shared" si="109"/>
        <v>17572169.472613391</v>
      </c>
      <c r="L586" s="24">
        <f t="shared" si="105"/>
        <v>17572169.472613391</v>
      </c>
      <c r="M586" s="24">
        <f t="shared" si="106"/>
        <v>0</v>
      </c>
      <c r="N586" s="24">
        <f>IF(M586&lt;=0,0,IF($E$2-A586&lt;12,(M586-E586)*Dashboard!$B$18,IF($Q$2+A586&gt;=$R$2,MAX(0,M586-E586*POWER(1+$C$2,$E$2-A586))*MAX(Dashboard!$C$18,Dashboard!$B$18),IF($S$2&lt;$R$2,(M586-E586)*0.5*Dashboard!$B$18,(E586*POWER(1+$A$2,$R$2-($Q$2+A586))-E586)*0.5*Dashboard!$B$18+MAX(0,M586-E586*POWER(1+$A$2,$R$2-($Q$2+A586))*POWER(1+$C$2,$S$2-$R$2))*MAX(Dashboard!$C$18,Dashboard!$B$18)))))</f>
        <v>0</v>
      </c>
    </row>
    <row r="587" spans="1:14" x14ac:dyDescent="0.2">
      <c r="A587" s="22">
        <f t="shared" si="107"/>
        <v>582</v>
      </c>
      <c r="B587" s="23">
        <f t="shared" si="108"/>
        <v>66.554794520548512</v>
      </c>
      <c r="C587" t="str">
        <f t="shared" si="99"/>
        <v>66 y 6.66 m</v>
      </c>
      <c r="D587" s="24">
        <f>IF(A587&gt;=$E$2,IF(A587&lt;$E$2+$H$2,$P$2,0),IF(B587&lt;Dashboard!$I$6,0,IF(A587&gt;=$F$2,Dashboard!$C$23*POWER(1+$C$2,A587-$F$2),Dashboard!$C$23)))</f>
        <v>0</v>
      </c>
      <c r="E587" s="24">
        <f>IF(A587&gt;=$F$2,0,IF(A587=0,Dashboard!$G$10,IF(B587&lt;Dashboard!$I$6,IF($J$2&lt;=Dashboard!$H$10,Dashboard!$H$10,MAX(Dashboard!$H$10,MIN($J$2,Dashboard!$H$10*POWER($J$2/Dashboard!$H$10,A587/$D$2)))),$I$2-D587-Dashboard!$I$10-Dashboard!$J$10-Dashboard!$F$10*$I$2)))</f>
        <v>0</v>
      </c>
      <c r="F587" s="24">
        <f t="shared" si="100"/>
        <v>9518.4943395490518</v>
      </c>
      <c r="G587" s="24">
        <f t="shared" si="101"/>
        <v>12640.202655368865</v>
      </c>
      <c r="H587" s="24">
        <f t="shared" si="102"/>
        <v>0</v>
      </c>
      <c r="I587" s="24">
        <f t="shared" si="103"/>
        <v>-12640.202655368865</v>
      </c>
      <c r="J587" s="25">
        <f t="shared" si="104"/>
        <v>7.9741404289037643E-3</v>
      </c>
      <c r="K587" s="24">
        <f t="shared" si="109"/>
        <v>17699551.422222115</v>
      </c>
      <c r="L587" s="24">
        <f t="shared" si="105"/>
        <v>17699551.422222115</v>
      </c>
      <c r="M587" s="24">
        <f t="shared" si="106"/>
        <v>0</v>
      </c>
      <c r="N587" s="24">
        <f>IF(M587&lt;=0,0,IF($E$2-A587&lt;12,(M587-E587)*Dashboard!$B$18,IF($Q$2+A587&gt;=$R$2,MAX(0,M587-E587*POWER(1+$C$2,$E$2-A587))*MAX(Dashboard!$C$18,Dashboard!$B$18),IF($S$2&lt;$R$2,(M587-E587)*0.5*Dashboard!$B$18,(E587*POWER(1+$A$2,$R$2-($Q$2+A587))-E587)*0.5*Dashboard!$B$18+MAX(0,M587-E587*POWER(1+$A$2,$R$2-($Q$2+A587))*POWER(1+$C$2,$S$2-$R$2))*MAX(Dashboard!$C$18,Dashboard!$B$18)))))</f>
        <v>0</v>
      </c>
    </row>
    <row r="588" spans="1:14" x14ac:dyDescent="0.2">
      <c r="A588" s="22">
        <f t="shared" si="107"/>
        <v>583</v>
      </c>
      <c r="B588" s="23">
        <f t="shared" si="108"/>
        <v>66.638127853881841</v>
      </c>
      <c r="C588" t="str">
        <f t="shared" si="99"/>
        <v>66 y 7.66 m</v>
      </c>
      <c r="D588" s="24">
        <f>IF(A588&gt;=$E$2,IF(A588&lt;$E$2+$H$2,$P$2,0),IF(B588&lt;Dashboard!$I$6,0,IF(A588&gt;=$F$2,Dashboard!$C$23*POWER(1+$C$2,A588-$F$2),Dashboard!$C$23)))</f>
        <v>0</v>
      </c>
      <c r="E588" s="24">
        <f>IF(A588&gt;=$F$2,0,IF(A588=0,Dashboard!$G$10,IF(B588&lt;Dashboard!$I$6,IF($J$2&lt;=Dashboard!$H$10,Dashboard!$H$10,MAX(Dashboard!$H$10,MIN($J$2,Dashboard!$H$10*POWER($J$2/Dashboard!$H$10,A588/$D$2)))),$I$2-D588-Dashboard!$I$10-Dashboard!$J$10-Dashboard!$F$10*$I$2)))</f>
        <v>0</v>
      </c>
      <c r="F588" s="24">
        <f t="shared" si="100"/>
        <v>9538.1008794239478</v>
      </c>
      <c r="G588" s="24">
        <f t="shared" si="101"/>
        <v>12671.324147233781</v>
      </c>
      <c r="H588" s="24">
        <f t="shared" si="102"/>
        <v>0</v>
      </c>
      <c r="I588" s="24">
        <f t="shared" si="103"/>
        <v>-12671.324147233781</v>
      </c>
      <c r="J588" s="25">
        <f t="shared" si="104"/>
        <v>7.9741404289037643E-3</v>
      </c>
      <c r="K588" s="24">
        <f t="shared" si="109"/>
        <v>17827917.763726112</v>
      </c>
      <c r="L588" s="24">
        <f t="shared" si="105"/>
        <v>17827917.763726112</v>
      </c>
      <c r="M588" s="24">
        <f t="shared" si="106"/>
        <v>0</v>
      </c>
      <c r="N588" s="24">
        <f>IF(M588&lt;=0,0,IF($E$2-A588&lt;12,(M588-E588)*Dashboard!$B$18,IF($Q$2+A588&gt;=$R$2,MAX(0,M588-E588*POWER(1+$C$2,$E$2-A588))*MAX(Dashboard!$C$18,Dashboard!$B$18),IF($S$2&lt;$R$2,(M588-E588)*0.5*Dashboard!$B$18,(E588*POWER(1+$A$2,$R$2-($Q$2+A588))-E588)*0.5*Dashboard!$B$18+MAX(0,M588-E588*POWER(1+$A$2,$R$2-($Q$2+A588))*POWER(1+$C$2,$S$2-$R$2))*MAX(Dashboard!$C$18,Dashboard!$B$18)))))</f>
        <v>0</v>
      </c>
    </row>
    <row r="589" spans="1:14" x14ac:dyDescent="0.2">
      <c r="A589" s="22">
        <f t="shared" si="107"/>
        <v>584</v>
      </c>
      <c r="B589" s="23">
        <f t="shared" si="108"/>
        <v>66.721461187215169</v>
      </c>
      <c r="C589" t="str">
        <f t="shared" si="99"/>
        <v>66 y 8.66 m</v>
      </c>
      <c r="D589" s="24">
        <f>IF(A589&gt;=$E$2,IF(A589&lt;$E$2+$H$2,$P$2,0),IF(B589&lt;Dashboard!$I$6,0,IF(A589&gt;=$F$2,Dashboard!$C$23*POWER(1+$C$2,A589-$F$2),Dashboard!$C$23)))</f>
        <v>0</v>
      </c>
      <c r="E589" s="24">
        <f>IF(A589&gt;=$F$2,0,IF(A589=0,Dashboard!$G$10,IF(B589&lt;Dashboard!$I$6,IF($J$2&lt;=Dashboard!$H$10,Dashboard!$H$10,MAX(Dashboard!$H$10,MIN($J$2,Dashboard!$H$10*POWER($J$2/Dashboard!$H$10,A589/$D$2)))),$I$2-D589-Dashboard!$I$10-Dashboard!$J$10-Dashboard!$F$10*$I$2)))</f>
        <v>0</v>
      </c>
      <c r="F589" s="24">
        <f t="shared" si="100"/>
        <v>9557.7478055608044</v>
      </c>
      <c r="G589" s="24">
        <f t="shared" si="101"/>
        <v>12702.509744276409</v>
      </c>
      <c r="H589" s="24">
        <f t="shared" si="102"/>
        <v>0</v>
      </c>
      <c r="I589" s="24">
        <f t="shared" si="103"/>
        <v>-12702.509744276409</v>
      </c>
      <c r="J589" s="25">
        <f t="shared" si="104"/>
        <v>7.9741404289037643E-3</v>
      </c>
      <c r="K589" s="24">
        <f t="shared" si="109"/>
        <v>17957276.282188237</v>
      </c>
      <c r="L589" s="24">
        <f t="shared" si="105"/>
        <v>17957276.282188237</v>
      </c>
      <c r="M589" s="24">
        <f t="shared" si="106"/>
        <v>0</v>
      </c>
      <c r="N589" s="24">
        <f>IF(M589&lt;=0,0,IF($E$2-A589&lt;12,(M589-E589)*Dashboard!$B$18,IF($Q$2+A589&gt;=$R$2,MAX(0,M589-E589*POWER(1+$C$2,$E$2-A589))*MAX(Dashboard!$C$18,Dashboard!$B$18),IF($S$2&lt;$R$2,(M589-E589)*0.5*Dashboard!$B$18,(E589*POWER(1+$A$2,$R$2-($Q$2+A589))-E589)*0.5*Dashboard!$B$18+MAX(0,M589-E589*POWER(1+$A$2,$R$2-($Q$2+A589))*POWER(1+$C$2,$S$2-$R$2))*MAX(Dashboard!$C$18,Dashboard!$B$18)))))</f>
        <v>0</v>
      </c>
    </row>
    <row r="590" spans="1:14" x14ac:dyDescent="0.2">
      <c r="A590" s="22">
        <f t="shared" si="107"/>
        <v>585</v>
      </c>
      <c r="B590" s="23">
        <f t="shared" si="108"/>
        <v>66.804794520548498</v>
      </c>
      <c r="C590" t="str">
        <f t="shared" si="99"/>
        <v>66 y 9.66 m</v>
      </c>
      <c r="D590" s="24">
        <f>IF(A590&gt;=$E$2,IF(A590&lt;$E$2+$H$2,$P$2,0),IF(B590&lt;Dashboard!$I$6,0,IF(A590&gt;=$F$2,Dashboard!$C$23*POWER(1+$C$2,A590-$F$2),Dashboard!$C$23)))</f>
        <v>0</v>
      </c>
      <c r="E590" s="24">
        <f>IF(A590&gt;=$F$2,0,IF(A590=0,Dashboard!$G$10,IF(B590&lt;Dashboard!$I$6,IF($J$2&lt;=Dashboard!$H$10,Dashboard!$H$10,MAX(Dashboard!$H$10,MIN($J$2,Dashboard!$H$10*POWER($J$2/Dashboard!$H$10,A590/$D$2)))),$I$2-D590-Dashboard!$I$10-Dashboard!$J$10-Dashboard!$F$10*$I$2)))</f>
        <v>0</v>
      </c>
      <c r="F590" s="24">
        <f t="shared" si="100"/>
        <v>9577.4352011487081</v>
      </c>
      <c r="G590" s="24">
        <f t="shared" si="101"/>
        <v>12733.759578542924</v>
      </c>
      <c r="H590" s="24">
        <f t="shared" si="102"/>
        <v>0</v>
      </c>
      <c r="I590" s="24">
        <f t="shared" si="103"/>
        <v>-12733.759578542924</v>
      </c>
      <c r="J590" s="25">
        <f t="shared" si="104"/>
        <v>7.9741404289037643E-3</v>
      </c>
      <c r="K590" s="24">
        <f t="shared" si="109"/>
        <v>18087634.824617416</v>
      </c>
      <c r="L590" s="24">
        <f t="shared" si="105"/>
        <v>18087634.824617416</v>
      </c>
      <c r="M590" s="24">
        <f t="shared" si="106"/>
        <v>0</v>
      </c>
      <c r="N590" s="24">
        <f>IF(M590&lt;=0,0,IF($E$2-A590&lt;12,(M590-E590)*Dashboard!$B$18,IF($Q$2+A590&gt;=$R$2,MAX(0,M590-E590*POWER(1+$C$2,$E$2-A590))*MAX(Dashboard!$C$18,Dashboard!$B$18),IF($S$2&lt;$R$2,(M590-E590)*0.5*Dashboard!$B$18,(E590*POWER(1+$A$2,$R$2-($Q$2+A590))-E590)*0.5*Dashboard!$B$18+MAX(0,M590-E590*POWER(1+$A$2,$R$2-($Q$2+A590))*POWER(1+$C$2,$S$2-$R$2))*MAX(Dashboard!$C$18,Dashboard!$B$18)))))</f>
        <v>0</v>
      </c>
    </row>
    <row r="591" spans="1:14" x14ac:dyDescent="0.2">
      <c r="A591" s="22">
        <f t="shared" si="107"/>
        <v>586</v>
      </c>
      <c r="B591" s="23">
        <f t="shared" si="108"/>
        <v>66.888127853881826</v>
      </c>
      <c r="C591" t="str">
        <f t="shared" si="99"/>
        <v>66 y 10.66 m</v>
      </c>
      <c r="D591" s="24">
        <f>IF(A591&gt;=$E$2,IF(A591&lt;$E$2+$H$2,$P$2,0),IF(B591&lt;Dashboard!$I$6,0,IF(A591&gt;=$F$2,Dashboard!$C$23*POWER(1+$C$2,A591-$F$2),Dashboard!$C$23)))</f>
        <v>0</v>
      </c>
      <c r="E591" s="24">
        <f>IF(A591&gt;=$F$2,0,IF(A591=0,Dashboard!$G$10,IF(B591&lt;Dashboard!$I$6,IF($J$2&lt;=Dashboard!$H$10,Dashboard!$H$10,MAX(Dashboard!$H$10,MIN($J$2,Dashboard!$H$10*POWER($J$2/Dashboard!$H$10,A591/$D$2)))),$I$2-D591-Dashboard!$I$10-Dashboard!$J$10-Dashboard!$F$10*$I$2)))</f>
        <v>0</v>
      </c>
      <c r="F591" s="24">
        <f t="shared" si="100"/>
        <v>9597.1631495481033</v>
      </c>
      <c r="G591" s="24">
        <f t="shared" si="101"/>
        <v>12765.073782351486</v>
      </c>
      <c r="H591" s="24">
        <f t="shared" si="102"/>
        <v>0</v>
      </c>
      <c r="I591" s="24">
        <f t="shared" si="103"/>
        <v>-12765.073782351486</v>
      </c>
      <c r="J591" s="25">
        <f t="shared" si="104"/>
        <v>7.9741404289037643E-3</v>
      </c>
      <c r="K591" s="24">
        <f t="shared" si="109"/>
        <v>18219001.300462369</v>
      </c>
      <c r="L591" s="24">
        <f t="shared" si="105"/>
        <v>18219001.300462369</v>
      </c>
      <c r="M591" s="24">
        <f t="shared" si="106"/>
        <v>0</v>
      </c>
      <c r="N591" s="24">
        <f>IF(M591&lt;=0,0,IF($E$2-A591&lt;12,(M591-E591)*Dashboard!$B$18,IF($Q$2+A591&gt;=$R$2,MAX(0,M591-E591*POWER(1+$C$2,$E$2-A591))*MAX(Dashboard!$C$18,Dashboard!$B$18),IF($S$2&lt;$R$2,(M591-E591)*0.5*Dashboard!$B$18,(E591*POWER(1+$A$2,$R$2-($Q$2+A591))-E591)*0.5*Dashboard!$B$18+MAX(0,M591-E591*POWER(1+$A$2,$R$2-($Q$2+A591))*POWER(1+$C$2,$S$2-$R$2))*MAX(Dashboard!$C$18,Dashboard!$B$18)))))</f>
        <v>0</v>
      </c>
    </row>
    <row r="592" spans="1:14" x14ac:dyDescent="0.2">
      <c r="A592" s="22">
        <f t="shared" si="107"/>
        <v>587</v>
      </c>
      <c r="B592" s="23">
        <f t="shared" si="108"/>
        <v>66.971461187215155</v>
      </c>
      <c r="C592" t="str">
        <f t="shared" si="99"/>
        <v>66 y 11.66 m</v>
      </c>
      <c r="D592" s="24">
        <f>IF(A592&gt;=$E$2,IF(A592&lt;$E$2+$H$2,$P$2,0),IF(B592&lt;Dashboard!$I$6,0,IF(A592&gt;=$F$2,Dashboard!$C$23*POWER(1+$C$2,A592-$F$2),Dashboard!$C$23)))</f>
        <v>0</v>
      </c>
      <c r="E592" s="24">
        <f>IF(A592&gt;=$F$2,0,IF(A592=0,Dashboard!$G$10,IF(B592&lt;Dashboard!$I$6,IF($J$2&lt;=Dashboard!$H$10,Dashboard!$H$10,MAX(Dashboard!$H$10,MIN($J$2,Dashboard!$H$10*POWER($J$2/Dashboard!$H$10,A592/$D$2)))),$I$2-D592-Dashboard!$I$10-Dashboard!$J$10-Dashboard!$F$10*$I$2)))</f>
        <v>0</v>
      </c>
      <c r="F592" s="24">
        <f t="shared" si="100"/>
        <v>9616.9317342911418</v>
      </c>
      <c r="G592" s="24">
        <f t="shared" si="101"/>
        <v>12796.452488292818</v>
      </c>
      <c r="H592" s="24">
        <f t="shared" si="102"/>
        <v>0</v>
      </c>
      <c r="I592" s="24">
        <f t="shared" si="103"/>
        <v>-12796.452488292818</v>
      </c>
      <c r="J592" s="25">
        <f t="shared" si="104"/>
        <v>7.9741404289037643E-3</v>
      </c>
      <c r="K592" s="24">
        <f t="shared" si="109"/>
        <v>18351383.682109211</v>
      </c>
      <c r="L592" s="24">
        <f t="shared" si="105"/>
        <v>18351383.682109211</v>
      </c>
      <c r="M592" s="24">
        <f t="shared" si="106"/>
        <v>0</v>
      </c>
      <c r="N592" s="24">
        <f>IF(M592&lt;=0,0,IF($E$2-A592&lt;12,(M592-E592)*Dashboard!$B$18,IF($Q$2+A592&gt;=$R$2,MAX(0,M592-E592*POWER(1+$C$2,$E$2-A592))*MAX(Dashboard!$C$18,Dashboard!$B$18),IF($S$2&lt;$R$2,(M592-E592)*0.5*Dashboard!$B$18,(E592*POWER(1+$A$2,$R$2-($Q$2+A592))-E592)*0.5*Dashboard!$B$18+MAX(0,M592-E592*POWER(1+$A$2,$R$2-($Q$2+A592))*POWER(1+$C$2,$S$2-$R$2))*MAX(Dashboard!$C$18,Dashboard!$B$18)))))</f>
        <v>0</v>
      </c>
    </row>
    <row r="593" spans="1:14" x14ac:dyDescent="0.2">
      <c r="A593" s="22">
        <f t="shared" si="107"/>
        <v>588</v>
      </c>
      <c r="B593" s="23">
        <f t="shared" si="108"/>
        <v>67.054794520548484</v>
      </c>
      <c r="C593" t="str">
        <f t="shared" si="99"/>
        <v>67 y 0.66 m</v>
      </c>
      <c r="D593" s="24">
        <f>IF(A593&gt;=$E$2,IF(A593&lt;$E$2+$H$2,$P$2,0),IF(B593&lt;Dashboard!$I$6,0,IF(A593&gt;=$F$2,Dashboard!$C$23*POWER(1+$C$2,A593-$F$2),Dashboard!$C$23)))</f>
        <v>0</v>
      </c>
      <c r="E593" s="24">
        <f>IF(A593&gt;=$F$2,0,IF(A593=0,Dashboard!$G$10,IF(B593&lt;Dashboard!$I$6,IF($J$2&lt;=Dashboard!$H$10,Dashboard!$H$10,MAX(Dashboard!$H$10,MIN($J$2,Dashboard!$H$10*POWER($J$2/Dashboard!$H$10,A593/$D$2)))),$I$2-D593-Dashboard!$I$10-Dashboard!$J$10-Dashboard!$F$10*$I$2)))</f>
        <v>0</v>
      </c>
      <c r="F593" s="24">
        <f t="shared" si="100"/>
        <v>9636.7410390820332</v>
      </c>
      <c r="G593" s="24">
        <f t="shared" si="101"/>
        <v>12827.895829230742</v>
      </c>
      <c r="H593" s="24">
        <f t="shared" si="102"/>
        <v>0</v>
      </c>
      <c r="I593" s="24">
        <f t="shared" si="103"/>
        <v>-12827.895829230742</v>
      </c>
      <c r="J593" s="25">
        <f t="shared" si="104"/>
        <v>7.9741404289037643E-3</v>
      </c>
      <c r="K593" s="24">
        <f t="shared" si="109"/>
        <v>18484790.005383063</v>
      </c>
      <c r="L593" s="24">
        <f t="shared" si="105"/>
        <v>18484790.005383063</v>
      </c>
      <c r="M593" s="24">
        <f t="shared" si="106"/>
        <v>0</v>
      </c>
      <c r="N593" s="24">
        <f>IF(M593&lt;=0,0,IF($E$2-A593&lt;12,(M593-E593)*Dashboard!$B$18,IF($Q$2+A593&gt;=$R$2,MAX(0,M593-E593*POWER(1+$C$2,$E$2-A593))*MAX(Dashboard!$C$18,Dashboard!$B$18),IF($S$2&lt;$R$2,(M593-E593)*0.5*Dashboard!$B$18,(E593*POWER(1+$A$2,$R$2-($Q$2+A593))-E593)*0.5*Dashboard!$B$18+MAX(0,M593-E593*POWER(1+$A$2,$R$2-($Q$2+A593))*POWER(1+$C$2,$S$2-$R$2))*MAX(Dashboard!$C$18,Dashboard!$B$18)))))</f>
        <v>0</v>
      </c>
    </row>
    <row r="594" spans="1:14" x14ac:dyDescent="0.2">
      <c r="A594" s="22">
        <f t="shared" si="107"/>
        <v>589</v>
      </c>
      <c r="B594" s="23">
        <f t="shared" si="108"/>
        <v>67.138127853881812</v>
      </c>
      <c r="C594" t="str">
        <f t="shared" si="99"/>
        <v>67 y 1.66 m</v>
      </c>
      <c r="D594" s="24">
        <f>IF(A594&gt;=$E$2,IF(A594&lt;$E$2+$H$2,$P$2,0),IF(B594&lt;Dashboard!$I$6,0,IF(A594&gt;=$F$2,Dashboard!$C$23*POWER(1+$C$2,A594-$F$2),Dashboard!$C$23)))</f>
        <v>0</v>
      </c>
      <c r="E594" s="24">
        <f>IF(A594&gt;=$F$2,0,IF(A594=0,Dashboard!$G$10,IF(B594&lt;Dashboard!$I$6,IF($J$2&lt;=Dashboard!$H$10,Dashboard!$H$10,MAX(Dashboard!$H$10,MIN($J$2,Dashboard!$H$10*POWER($J$2/Dashboard!$H$10,A594/$D$2)))),$I$2-D594-Dashboard!$I$10-Dashboard!$J$10-Dashboard!$F$10*$I$2)))</f>
        <v>0</v>
      </c>
      <c r="F594" s="24">
        <f t="shared" si="100"/>
        <v>9656.5911477974169</v>
      </c>
      <c r="G594" s="24">
        <f t="shared" si="101"/>
        <v>12859.403938302779</v>
      </c>
      <c r="H594" s="24">
        <f t="shared" si="102"/>
        <v>0</v>
      </c>
      <c r="I594" s="24">
        <f t="shared" si="103"/>
        <v>-12859.403938302779</v>
      </c>
      <c r="J594" s="25">
        <f t="shared" si="104"/>
        <v>7.9741404289037643E-3</v>
      </c>
      <c r="K594" s="24">
        <f t="shared" si="109"/>
        <v>18619228.370053645</v>
      </c>
      <c r="L594" s="24">
        <f t="shared" si="105"/>
        <v>18619228.370053645</v>
      </c>
      <c r="M594" s="24">
        <f t="shared" si="106"/>
        <v>0</v>
      </c>
      <c r="N594" s="24">
        <f>IF(M594&lt;=0,0,IF($E$2-A594&lt;12,(M594-E594)*Dashboard!$B$18,IF($Q$2+A594&gt;=$R$2,MAX(0,M594-E594*POWER(1+$C$2,$E$2-A594))*MAX(Dashboard!$C$18,Dashboard!$B$18),IF($S$2&lt;$R$2,(M594-E594)*0.5*Dashboard!$B$18,(E594*POWER(1+$A$2,$R$2-($Q$2+A594))-E594)*0.5*Dashboard!$B$18+MAX(0,M594-E594*POWER(1+$A$2,$R$2-($Q$2+A594))*POWER(1+$C$2,$S$2-$R$2))*MAX(Dashboard!$C$18,Dashboard!$B$18)))))</f>
        <v>0</v>
      </c>
    </row>
    <row r="595" spans="1:14" x14ac:dyDescent="0.2">
      <c r="A595" s="22">
        <f t="shared" si="107"/>
        <v>590</v>
      </c>
      <c r="B595" s="23">
        <f t="shared" si="108"/>
        <v>67.221461187215141</v>
      </c>
      <c r="C595" t="str">
        <f t="shared" si="99"/>
        <v>67 y 2.66 m</v>
      </c>
      <c r="D595" s="24">
        <f>IF(A595&gt;=$E$2,IF(A595&lt;$E$2+$H$2,$P$2,0),IF(B595&lt;Dashboard!$I$6,0,IF(A595&gt;=$F$2,Dashboard!$C$23*POWER(1+$C$2,A595-$F$2),Dashboard!$C$23)))</f>
        <v>0</v>
      </c>
      <c r="E595" s="24">
        <f>IF(A595&gt;=$F$2,0,IF(A595=0,Dashboard!$G$10,IF(B595&lt;Dashboard!$I$6,IF($J$2&lt;=Dashboard!$H$10,Dashboard!$H$10,MAX(Dashboard!$H$10,MIN($J$2,Dashboard!$H$10*POWER($J$2/Dashboard!$H$10,A595/$D$2)))),$I$2-D595-Dashboard!$I$10-Dashboard!$J$10-Dashboard!$F$10*$I$2)))</f>
        <v>0</v>
      </c>
      <c r="F595" s="24">
        <f t="shared" si="100"/>
        <v>9676.4821444866939</v>
      </c>
      <c r="G595" s="24">
        <f t="shared" si="101"/>
        <v>12890.976948920679</v>
      </c>
      <c r="H595" s="24">
        <f t="shared" si="102"/>
        <v>0</v>
      </c>
      <c r="I595" s="24">
        <f t="shared" si="103"/>
        <v>-12890.976948920679</v>
      </c>
      <c r="J595" s="25">
        <f t="shared" si="104"/>
        <v>7.9741404289037643E-3</v>
      </c>
      <c r="K595" s="24">
        <f t="shared" si="109"/>
        <v>18754706.940344904</v>
      </c>
      <c r="L595" s="24">
        <f t="shared" si="105"/>
        <v>18754706.940344904</v>
      </c>
      <c r="M595" s="24">
        <f t="shared" si="106"/>
        <v>0</v>
      </c>
      <c r="N595" s="24">
        <f>IF(M595&lt;=0,0,IF($E$2-A595&lt;12,(M595-E595)*Dashboard!$B$18,IF($Q$2+A595&gt;=$R$2,MAX(0,M595-E595*POWER(1+$C$2,$E$2-A595))*MAX(Dashboard!$C$18,Dashboard!$B$18),IF($S$2&lt;$R$2,(M595-E595)*0.5*Dashboard!$B$18,(E595*POWER(1+$A$2,$R$2-($Q$2+A595))-E595)*0.5*Dashboard!$B$18+MAX(0,M595-E595*POWER(1+$A$2,$R$2-($Q$2+A595))*POWER(1+$C$2,$S$2-$R$2))*MAX(Dashboard!$C$18,Dashboard!$B$18)))))</f>
        <v>0</v>
      </c>
    </row>
    <row r="596" spans="1:14" x14ac:dyDescent="0.2">
      <c r="A596" s="22">
        <f t="shared" si="107"/>
        <v>591</v>
      </c>
      <c r="B596" s="23">
        <f t="shared" si="108"/>
        <v>67.304794520548469</v>
      </c>
      <c r="C596" t="str">
        <f t="shared" si="99"/>
        <v>67 y 3.66 m</v>
      </c>
      <c r="D596" s="24">
        <f>IF(A596&gt;=$E$2,IF(A596&lt;$E$2+$H$2,$P$2,0),IF(B596&lt;Dashboard!$I$6,0,IF(A596&gt;=$F$2,Dashboard!$C$23*POWER(1+$C$2,A596-$F$2),Dashboard!$C$23)))</f>
        <v>0</v>
      </c>
      <c r="E596" s="24">
        <f>IF(A596&gt;=$F$2,0,IF(A596=0,Dashboard!$G$10,IF(B596&lt;Dashboard!$I$6,IF($J$2&lt;=Dashboard!$H$10,Dashboard!$H$10,MAX(Dashboard!$H$10,MIN($J$2,Dashboard!$H$10*POWER($J$2/Dashboard!$H$10,A596/$D$2)))),$I$2-D596-Dashboard!$I$10-Dashboard!$J$10-Dashboard!$F$10*$I$2)))</f>
        <v>0</v>
      </c>
      <c r="F596" s="24">
        <f t="shared" si="100"/>
        <v>9696.4141133723933</v>
      </c>
      <c r="G596" s="24">
        <f t="shared" si="101"/>
        <v>12922.614994770995</v>
      </c>
      <c r="H596" s="24">
        <f t="shared" si="102"/>
        <v>0</v>
      </c>
      <c r="I596" s="24">
        <f t="shared" si="103"/>
        <v>-12922.614994770995</v>
      </c>
      <c r="J596" s="25">
        <f t="shared" si="104"/>
        <v>7.9741404289037643E-3</v>
      </c>
      <c r="K596" s="24">
        <f t="shared" si="109"/>
        <v>18891233.9454487</v>
      </c>
      <c r="L596" s="24">
        <f t="shared" si="105"/>
        <v>18891233.9454487</v>
      </c>
      <c r="M596" s="24">
        <f t="shared" si="106"/>
        <v>0</v>
      </c>
      <c r="N596" s="24">
        <f>IF(M596&lt;=0,0,IF($E$2-A596&lt;12,(M596-E596)*Dashboard!$B$18,IF($Q$2+A596&gt;=$R$2,MAX(0,M596-E596*POWER(1+$C$2,$E$2-A596))*MAX(Dashboard!$C$18,Dashboard!$B$18),IF($S$2&lt;$R$2,(M596-E596)*0.5*Dashboard!$B$18,(E596*POWER(1+$A$2,$R$2-($Q$2+A596))-E596)*0.5*Dashboard!$B$18+MAX(0,M596-E596*POWER(1+$A$2,$R$2-($Q$2+A596))*POWER(1+$C$2,$S$2-$R$2))*MAX(Dashboard!$C$18,Dashboard!$B$18)))))</f>
        <v>0</v>
      </c>
    </row>
    <row r="597" spans="1:14" x14ac:dyDescent="0.2">
      <c r="A597" s="22">
        <f t="shared" si="107"/>
        <v>592</v>
      </c>
      <c r="B597" s="23">
        <f t="shared" si="108"/>
        <v>67.388127853881798</v>
      </c>
      <c r="C597" t="str">
        <f t="shared" si="99"/>
        <v>67 y 4.66 m</v>
      </c>
      <c r="D597" s="24">
        <f>IF(A597&gt;=$E$2,IF(A597&lt;$E$2+$H$2,$P$2,0),IF(B597&lt;Dashboard!$I$6,0,IF(A597&gt;=$F$2,Dashboard!$C$23*POWER(1+$C$2,A597-$F$2),Dashboard!$C$23)))</f>
        <v>0</v>
      </c>
      <c r="E597" s="24">
        <f>IF(A597&gt;=$F$2,0,IF(A597=0,Dashboard!$G$10,IF(B597&lt;Dashboard!$I$6,IF($J$2&lt;=Dashboard!$H$10,Dashboard!$H$10,MAX(Dashboard!$H$10,MIN($J$2,Dashboard!$H$10*POWER($J$2/Dashboard!$H$10,A597/$D$2)))),$I$2-D597-Dashboard!$I$10-Dashboard!$J$10-Dashboard!$F$10*$I$2)))</f>
        <v>0</v>
      </c>
      <c r="F597" s="24">
        <f t="shared" si="100"/>
        <v>9716.3871388505322</v>
      </c>
      <c r="G597" s="24">
        <f t="shared" si="101"/>
        <v>12954.318209815659</v>
      </c>
      <c r="H597" s="24">
        <f t="shared" si="102"/>
        <v>0</v>
      </c>
      <c r="I597" s="24">
        <f t="shared" si="103"/>
        <v>-12954.318209815659</v>
      </c>
      <c r="J597" s="25">
        <f t="shared" si="104"/>
        <v>7.9741404289037643E-3</v>
      </c>
      <c r="K597" s="24">
        <f t="shared" si="109"/>
        <v>19028817.680042602</v>
      </c>
      <c r="L597" s="24">
        <f t="shared" si="105"/>
        <v>19028817.680042602</v>
      </c>
      <c r="M597" s="24">
        <f t="shared" si="106"/>
        <v>0</v>
      </c>
      <c r="N597" s="24">
        <f>IF(M597&lt;=0,0,IF($E$2-A597&lt;12,(M597-E597)*Dashboard!$B$18,IF($Q$2+A597&gt;=$R$2,MAX(0,M597-E597*POWER(1+$C$2,$E$2-A597))*MAX(Dashboard!$C$18,Dashboard!$B$18),IF($S$2&lt;$R$2,(M597-E597)*0.5*Dashboard!$B$18,(E597*POWER(1+$A$2,$R$2-($Q$2+A597))-E597)*0.5*Dashboard!$B$18+MAX(0,M597-E597*POWER(1+$A$2,$R$2-($Q$2+A597))*POWER(1+$C$2,$S$2-$R$2))*MAX(Dashboard!$C$18,Dashboard!$B$18)))))</f>
        <v>0</v>
      </c>
    </row>
    <row r="598" spans="1:14" x14ac:dyDescent="0.2">
      <c r="A598" s="22">
        <f t="shared" si="107"/>
        <v>593</v>
      </c>
      <c r="B598" s="23">
        <f t="shared" si="108"/>
        <v>67.471461187215127</v>
      </c>
      <c r="C598" t="str">
        <f t="shared" si="99"/>
        <v>67 y 5.66 m</v>
      </c>
      <c r="D598" s="24">
        <f>IF(A598&gt;=$E$2,IF(A598&lt;$E$2+$H$2,$P$2,0),IF(B598&lt;Dashboard!$I$6,0,IF(A598&gt;=$F$2,Dashboard!$C$23*POWER(1+$C$2,A598-$F$2),Dashboard!$C$23)))</f>
        <v>0</v>
      </c>
      <c r="E598" s="24">
        <f>IF(A598&gt;=$F$2,0,IF(A598=0,Dashboard!$G$10,IF(B598&lt;Dashboard!$I$6,IF($J$2&lt;=Dashboard!$H$10,Dashboard!$H$10,MAX(Dashboard!$H$10,MIN($J$2,Dashboard!$H$10*POWER($J$2/Dashboard!$H$10,A598/$D$2)))),$I$2-D598-Dashboard!$I$10-Dashboard!$J$10-Dashboard!$F$10*$I$2)))</f>
        <v>0</v>
      </c>
      <c r="F598" s="24">
        <f t="shared" si="100"/>
        <v>9736.4013054909701</v>
      </c>
      <c r="G598" s="24">
        <f t="shared" si="101"/>
        <v>12986.086728292546</v>
      </c>
      <c r="H598" s="24">
        <f t="shared" si="102"/>
        <v>0</v>
      </c>
      <c r="I598" s="24">
        <f t="shared" si="103"/>
        <v>-12986.086728292546</v>
      </c>
      <c r="J598" s="25">
        <f t="shared" si="104"/>
        <v>7.9741404289037643E-3</v>
      </c>
      <c r="K598" s="24">
        <f t="shared" si="109"/>
        <v>19167466.504811782</v>
      </c>
      <c r="L598" s="24">
        <f t="shared" si="105"/>
        <v>19167466.504811782</v>
      </c>
      <c r="M598" s="24">
        <f t="shared" si="106"/>
        <v>0</v>
      </c>
      <c r="N598" s="24">
        <f>IF(M598&lt;=0,0,IF($E$2-A598&lt;12,(M598-E598)*Dashboard!$B$18,IF($Q$2+A598&gt;=$R$2,MAX(0,M598-E598*POWER(1+$C$2,$E$2-A598))*MAX(Dashboard!$C$18,Dashboard!$B$18),IF($S$2&lt;$R$2,(M598-E598)*0.5*Dashboard!$B$18,(E598*POWER(1+$A$2,$R$2-($Q$2+A598))-E598)*0.5*Dashboard!$B$18+MAX(0,M598-E598*POWER(1+$A$2,$R$2-($Q$2+A598))*POWER(1+$C$2,$S$2-$R$2))*MAX(Dashboard!$C$18,Dashboard!$B$18)))))</f>
        <v>0</v>
      </c>
    </row>
    <row r="599" spans="1:14" x14ac:dyDescent="0.2">
      <c r="A599" s="22">
        <f t="shared" si="107"/>
        <v>594</v>
      </c>
      <c r="B599" s="23">
        <f t="shared" si="108"/>
        <v>67.554794520548455</v>
      </c>
      <c r="C599" t="str">
        <f t="shared" si="99"/>
        <v>67 y 6.66 m</v>
      </c>
      <c r="D599" s="24">
        <f>IF(A599&gt;=$E$2,IF(A599&lt;$E$2+$H$2,$P$2,0),IF(B599&lt;Dashboard!$I$6,0,IF(A599&gt;=$F$2,Dashboard!$C$23*POWER(1+$C$2,A599-$F$2),Dashboard!$C$23)))</f>
        <v>0</v>
      </c>
      <c r="E599" s="24">
        <f>IF(A599&gt;=$F$2,0,IF(A599=0,Dashboard!$G$10,IF(B599&lt;Dashboard!$I$6,IF($J$2&lt;=Dashboard!$H$10,Dashboard!$H$10,MAX(Dashboard!$H$10,MIN($J$2,Dashboard!$H$10*POWER($J$2/Dashboard!$H$10,A599/$D$2)))),$I$2-D599-Dashboard!$I$10-Dashboard!$J$10-Dashboard!$F$10*$I$2)))</f>
        <v>0</v>
      </c>
      <c r="F599" s="24">
        <f t="shared" si="100"/>
        <v>9756.456698037764</v>
      </c>
      <c r="G599" s="24">
        <f t="shared" si="101"/>
        <v>13017.920684716029</v>
      </c>
      <c r="H599" s="24">
        <f t="shared" si="102"/>
        <v>0</v>
      </c>
      <c r="I599" s="24">
        <f t="shared" si="103"/>
        <v>-13017.920684716029</v>
      </c>
      <c r="J599" s="25">
        <f t="shared" si="104"/>
        <v>7.9741404289037643E-3</v>
      </c>
      <c r="K599" s="24">
        <f t="shared" si="109"/>
        <v>19307188.84697511</v>
      </c>
      <c r="L599" s="24">
        <f t="shared" si="105"/>
        <v>19307188.84697511</v>
      </c>
      <c r="M599" s="24">
        <f t="shared" si="106"/>
        <v>0</v>
      </c>
      <c r="N599" s="24">
        <f>IF(M599&lt;=0,0,IF($E$2-A599&lt;12,(M599-E599)*Dashboard!$B$18,IF($Q$2+A599&gt;=$R$2,MAX(0,M599-E599*POWER(1+$C$2,$E$2-A599))*MAX(Dashboard!$C$18,Dashboard!$B$18),IF($S$2&lt;$R$2,(M599-E599)*0.5*Dashboard!$B$18,(E599*POWER(1+$A$2,$R$2-($Q$2+A599))-E599)*0.5*Dashboard!$B$18+MAX(0,M599-E599*POWER(1+$A$2,$R$2-($Q$2+A599))*POWER(1+$C$2,$S$2-$R$2))*MAX(Dashboard!$C$18,Dashboard!$B$18)))))</f>
        <v>0</v>
      </c>
    </row>
    <row r="600" spans="1:14" x14ac:dyDescent="0.2">
      <c r="A600" s="22">
        <f t="shared" si="107"/>
        <v>595</v>
      </c>
      <c r="B600" s="23">
        <f t="shared" si="108"/>
        <v>67.638127853881784</v>
      </c>
      <c r="C600" t="str">
        <f t="shared" si="99"/>
        <v>67 y 7.66 m</v>
      </c>
      <c r="D600" s="24">
        <f>IF(A600&gt;=$E$2,IF(A600&lt;$E$2+$H$2,$P$2,0),IF(B600&lt;Dashboard!$I$6,0,IF(A600&gt;=$F$2,Dashboard!$C$23*POWER(1+$C$2,A600-$F$2),Dashboard!$C$23)))</f>
        <v>0</v>
      </c>
      <c r="E600" s="24">
        <f>IF(A600&gt;=$F$2,0,IF(A600=0,Dashboard!$G$10,IF(B600&lt;Dashboard!$I$6,IF($J$2&lt;=Dashboard!$H$10,Dashboard!$H$10,MAX(Dashboard!$H$10,MIN($J$2,Dashboard!$H$10*POWER($J$2/Dashboard!$H$10,A600/$D$2)))),$I$2-D600-Dashboard!$I$10-Dashboard!$J$10-Dashboard!$F$10*$I$2)))</f>
        <v>0</v>
      </c>
      <c r="F600" s="24">
        <f t="shared" si="100"/>
        <v>9776.5534014095356</v>
      </c>
      <c r="G600" s="24">
        <f t="shared" si="101"/>
        <v>13049.820213877569</v>
      </c>
      <c r="H600" s="24">
        <f t="shared" si="102"/>
        <v>0</v>
      </c>
      <c r="I600" s="24">
        <f t="shared" si="103"/>
        <v>-13049.820213877569</v>
      </c>
      <c r="J600" s="25">
        <f t="shared" si="104"/>
        <v>7.9741404289037643E-3</v>
      </c>
      <c r="K600" s="24">
        <f t="shared" si="109"/>
        <v>19447993.200815421</v>
      </c>
      <c r="L600" s="24">
        <f t="shared" si="105"/>
        <v>19447993.200815421</v>
      </c>
      <c r="M600" s="24">
        <f t="shared" si="106"/>
        <v>0</v>
      </c>
      <c r="N600" s="24">
        <f>IF(M600&lt;=0,0,IF($E$2-A600&lt;12,(M600-E600)*Dashboard!$B$18,IF($Q$2+A600&gt;=$R$2,MAX(0,M600-E600*POWER(1+$C$2,$E$2-A600))*MAX(Dashboard!$C$18,Dashboard!$B$18),IF($S$2&lt;$R$2,(M600-E600)*0.5*Dashboard!$B$18,(E600*POWER(1+$A$2,$R$2-($Q$2+A600))-E600)*0.5*Dashboard!$B$18+MAX(0,M600-E600*POWER(1+$A$2,$R$2-($Q$2+A600))*POWER(1+$C$2,$S$2-$R$2))*MAX(Dashboard!$C$18,Dashboard!$B$18)))))</f>
        <v>0</v>
      </c>
    </row>
    <row r="601" spans="1:14" x14ac:dyDescent="0.2">
      <c r="A601" s="22">
        <f t="shared" si="107"/>
        <v>596</v>
      </c>
      <c r="B601" s="23">
        <f t="shared" si="108"/>
        <v>67.721461187215112</v>
      </c>
      <c r="C601" t="str">
        <f t="shared" si="99"/>
        <v>67 y 8.66 m</v>
      </c>
      <c r="D601" s="24">
        <f>IF(A601&gt;=$E$2,IF(A601&lt;$E$2+$H$2,$P$2,0),IF(B601&lt;Dashboard!$I$6,0,IF(A601&gt;=$F$2,Dashboard!$C$23*POWER(1+$C$2,A601-$F$2),Dashboard!$C$23)))</f>
        <v>0</v>
      </c>
      <c r="E601" s="24">
        <f>IF(A601&gt;=$F$2,0,IF(A601=0,Dashboard!$G$10,IF(B601&lt;Dashboard!$I$6,IF($J$2&lt;=Dashboard!$H$10,Dashboard!$H$10,MAX(Dashboard!$H$10,MIN($J$2,Dashboard!$H$10*POWER($J$2/Dashboard!$H$10,A601/$D$2)))),$I$2-D601-Dashboard!$I$10-Dashboard!$J$10-Dashboard!$F$10*$I$2)))</f>
        <v>0</v>
      </c>
      <c r="F601" s="24">
        <f t="shared" si="100"/>
        <v>9796.6915006998097</v>
      </c>
      <c r="G601" s="24">
        <f t="shared" si="101"/>
        <v>13081.785450846257</v>
      </c>
      <c r="H601" s="24">
        <f t="shared" si="102"/>
        <v>0</v>
      </c>
      <c r="I601" s="24">
        <f t="shared" si="103"/>
        <v>-13081.785450846257</v>
      </c>
      <c r="J601" s="25">
        <f t="shared" si="104"/>
        <v>7.9741404289037643E-3</v>
      </c>
      <c r="K601" s="24">
        <f t="shared" si="109"/>
        <v>19589888.128213998</v>
      </c>
      <c r="L601" s="24">
        <f t="shared" si="105"/>
        <v>19589888.128213998</v>
      </c>
      <c r="M601" s="24">
        <f t="shared" si="106"/>
        <v>0</v>
      </c>
      <c r="N601" s="24">
        <f>IF(M601&lt;=0,0,IF($E$2-A601&lt;12,(M601-E601)*Dashboard!$B$18,IF($Q$2+A601&gt;=$R$2,MAX(0,M601-E601*POWER(1+$C$2,$E$2-A601))*MAX(Dashboard!$C$18,Dashboard!$B$18),IF($S$2&lt;$R$2,(M601-E601)*0.5*Dashboard!$B$18,(E601*POWER(1+$A$2,$R$2-($Q$2+A601))-E601)*0.5*Dashboard!$B$18+MAX(0,M601-E601*POWER(1+$A$2,$R$2-($Q$2+A601))*POWER(1+$C$2,$S$2-$R$2))*MAX(Dashboard!$C$18,Dashboard!$B$18)))))</f>
        <v>0</v>
      </c>
    </row>
    <row r="602" spans="1:14" x14ac:dyDescent="0.2">
      <c r="A602" s="22">
        <f t="shared" si="107"/>
        <v>597</v>
      </c>
      <c r="B602" s="23">
        <f t="shared" si="108"/>
        <v>67.804794520548441</v>
      </c>
      <c r="C602" t="str">
        <f t="shared" si="99"/>
        <v>67 y 9.66 m</v>
      </c>
      <c r="D602" s="24">
        <f>IF(A602&gt;=$E$2,IF(A602&lt;$E$2+$H$2,$P$2,0),IF(B602&lt;Dashboard!$I$6,0,IF(A602&gt;=$F$2,Dashboard!$C$23*POWER(1+$C$2,A602-$F$2),Dashboard!$C$23)))</f>
        <v>0</v>
      </c>
      <c r="E602" s="24">
        <f>IF(A602&gt;=$F$2,0,IF(A602=0,Dashboard!$G$10,IF(B602&lt;Dashboard!$I$6,IF($J$2&lt;=Dashboard!$H$10,Dashboard!$H$10,MAX(Dashboard!$H$10,MIN($J$2,Dashboard!$H$10*POWER($J$2/Dashboard!$H$10,A602/$D$2)))),$I$2-D602-Dashboard!$I$10-Dashboard!$J$10-Dashboard!$F$10*$I$2)))</f>
        <v>0</v>
      </c>
      <c r="F602" s="24">
        <f t="shared" si="100"/>
        <v>9816.8710811774126</v>
      </c>
      <c r="G602" s="24">
        <f t="shared" si="101"/>
        <v>13113.816530969438</v>
      </c>
      <c r="H602" s="24">
        <f t="shared" si="102"/>
        <v>0</v>
      </c>
      <c r="I602" s="24">
        <f t="shared" si="103"/>
        <v>-13113.816530969438</v>
      </c>
      <c r="J602" s="25">
        <f t="shared" si="104"/>
        <v>7.9741404289037643E-3</v>
      </c>
      <c r="K602" s="24">
        <f t="shared" si="109"/>
        <v>19732882.259189345</v>
      </c>
      <c r="L602" s="24">
        <f t="shared" si="105"/>
        <v>19732882.259189345</v>
      </c>
      <c r="M602" s="24">
        <f t="shared" si="106"/>
        <v>0</v>
      </c>
      <c r="N602" s="24">
        <f>IF(M602&lt;=0,0,IF($E$2-A602&lt;12,(M602-E602)*Dashboard!$B$18,IF($Q$2+A602&gt;=$R$2,MAX(0,M602-E602*POWER(1+$C$2,$E$2-A602))*MAX(Dashboard!$C$18,Dashboard!$B$18),IF($S$2&lt;$R$2,(M602-E602)*0.5*Dashboard!$B$18,(E602*POWER(1+$A$2,$R$2-($Q$2+A602))-E602)*0.5*Dashboard!$B$18+MAX(0,M602-E602*POWER(1+$A$2,$R$2-($Q$2+A602))*POWER(1+$C$2,$S$2-$R$2))*MAX(Dashboard!$C$18,Dashboard!$B$18)))))</f>
        <v>0</v>
      </c>
    </row>
    <row r="603" spans="1:14" x14ac:dyDescent="0.2">
      <c r="A603" s="22">
        <f t="shared" si="107"/>
        <v>598</v>
      </c>
      <c r="B603" s="23">
        <f t="shared" si="108"/>
        <v>67.88812785388177</v>
      </c>
      <c r="C603" t="str">
        <f t="shared" si="99"/>
        <v>67 y 10.66 m</v>
      </c>
      <c r="D603" s="24">
        <f>IF(A603&gt;=$E$2,IF(A603&lt;$E$2+$H$2,$P$2,0),IF(B603&lt;Dashboard!$I$6,0,IF(A603&gt;=$F$2,Dashboard!$C$23*POWER(1+$C$2,A603-$F$2),Dashboard!$C$23)))</f>
        <v>0</v>
      </c>
      <c r="E603" s="24">
        <f>IF(A603&gt;=$F$2,0,IF(A603=0,Dashboard!$G$10,IF(B603&lt;Dashboard!$I$6,IF($J$2&lt;=Dashboard!$H$10,Dashboard!$H$10,MAX(Dashboard!$H$10,MIN($J$2,Dashboard!$H$10*POWER($J$2/Dashboard!$H$10,A603/$D$2)))),$I$2-D603-Dashboard!$I$10-Dashboard!$J$10-Dashboard!$F$10*$I$2)))</f>
        <v>0</v>
      </c>
      <c r="F603" s="24">
        <f t="shared" si="100"/>
        <v>9837.0922282867923</v>
      </c>
      <c r="G603" s="24">
        <f t="shared" si="101"/>
        <v>13145.913589873215</v>
      </c>
      <c r="H603" s="24">
        <f t="shared" si="102"/>
        <v>0</v>
      </c>
      <c r="I603" s="24">
        <f t="shared" si="103"/>
        <v>-13145.913589873215</v>
      </c>
      <c r="J603" s="25">
        <f t="shared" si="104"/>
        <v>7.9741404289037643E-3</v>
      </c>
      <c r="K603" s="24">
        <f t="shared" si="109"/>
        <v>19876984.292440239</v>
      </c>
      <c r="L603" s="24">
        <f t="shared" si="105"/>
        <v>19876984.292440239</v>
      </c>
      <c r="M603" s="24">
        <f t="shared" si="106"/>
        <v>0</v>
      </c>
      <c r="N603" s="24">
        <f>IF(M603&lt;=0,0,IF($E$2-A603&lt;12,(M603-E603)*Dashboard!$B$18,IF($Q$2+A603&gt;=$R$2,MAX(0,M603-E603*POWER(1+$C$2,$E$2-A603))*MAX(Dashboard!$C$18,Dashboard!$B$18),IF($S$2&lt;$R$2,(M603-E603)*0.5*Dashboard!$B$18,(E603*POWER(1+$A$2,$R$2-($Q$2+A603))-E603)*0.5*Dashboard!$B$18+MAX(0,M603-E603*POWER(1+$A$2,$R$2-($Q$2+A603))*POWER(1+$C$2,$S$2-$R$2))*MAX(Dashboard!$C$18,Dashboard!$B$18)))))</f>
        <v>0</v>
      </c>
    </row>
    <row r="604" spans="1:14" x14ac:dyDescent="0.2">
      <c r="A604" s="22">
        <f t="shared" si="107"/>
        <v>599</v>
      </c>
      <c r="B604" s="23">
        <f t="shared" si="108"/>
        <v>67.971461187215098</v>
      </c>
      <c r="C604" t="str">
        <f t="shared" si="99"/>
        <v>67 y 11.66 m</v>
      </c>
      <c r="D604" s="24">
        <f>IF(A604&gt;=$E$2,IF(A604&lt;$E$2+$H$2,$P$2,0),IF(B604&lt;Dashboard!$I$6,0,IF(A604&gt;=$F$2,Dashboard!$C$23*POWER(1+$C$2,A604-$F$2),Dashboard!$C$23)))</f>
        <v>0</v>
      </c>
      <c r="E604" s="24">
        <f>IF(A604&gt;=$F$2,0,IF(A604=0,Dashboard!$G$10,IF(B604&lt;Dashboard!$I$6,IF($J$2&lt;=Dashboard!$H$10,Dashboard!$H$10,MAX(Dashboard!$H$10,MIN($J$2,Dashboard!$H$10*POWER($J$2/Dashboard!$H$10,A604/$D$2)))),$I$2-D604-Dashboard!$I$10-Dashboard!$J$10-Dashboard!$F$10*$I$2)))</f>
        <v>0</v>
      </c>
      <c r="F604" s="24">
        <f t="shared" si="100"/>
        <v>9857.3550276484057</v>
      </c>
      <c r="G604" s="24">
        <f t="shared" si="101"/>
        <v>13178.076763463077</v>
      </c>
      <c r="H604" s="24">
        <f t="shared" si="102"/>
        <v>0</v>
      </c>
      <c r="I604" s="24">
        <f t="shared" si="103"/>
        <v>-13178.076763463077</v>
      </c>
      <c r="J604" s="25">
        <f t="shared" si="104"/>
        <v>7.9741404289037643E-3</v>
      </c>
      <c r="K604" s="24">
        <f t="shared" si="109"/>
        <v>20022202.995893113</v>
      </c>
      <c r="L604" s="24">
        <f t="shared" si="105"/>
        <v>20022202.995893113</v>
      </c>
      <c r="M604" s="24">
        <f t="shared" si="106"/>
        <v>0</v>
      </c>
      <c r="N604" s="24">
        <f>IF(M604&lt;=0,0,IF($E$2-A604&lt;12,(M604-E604)*Dashboard!$B$18,IF($Q$2+A604&gt;=$R$2,MAX(0,M604-E604*POWER(1+$C$2,$E$2-A604))*MAX(Dashboard!$C$18,Dashboard!$B$18),IF($S$2&lt;$R$2,(M604-E604)*0.5*Dashboard!$B$18,(E604*POWER(1+$A$2,$R$2-($Q$2+A604))-E604)*0.5*Dashboard!$B$18+MAX(0,M604-E604*POWER(1+$A$2,$R$2-($Q$2+A604))*POWER(1+$C$2,$S$2-$R$2))*MAX(Dashboard!$C$18,Dashboard!$B$18)))))</f>
        <v>0</v>
      </c>
    </row>
    <row r="605" spans="1:14" x14ac:dyDescent="0.2">
      <c r="A605" s="22">
        <f t="shared" si="107"/>
        <v>600</v>
      </c>
      <c r="B605" s="23">
        <f t="shared" si="108"/>
        <v>68.054794520548427</v>
      </c>
      <c r="C605" t="str">
        <f t="shared" si="99"/>
        <v>68 y 0.66 m</v>
      </c>
      <c r="D605" s="24">
        <f>IF(A605&gt;=$E$2,IF(A605&lt;$E$2+$H$2,$P$2,0),IF(B605&lt;Dashboard!$I$6,0,IF(A605&gt;=$F$2,Dashboard!$C$23*POWER(1+$C$2,A605-$F$2),Dashboard!$C$23)))</f>
        <v>0</v>
      </c>
      <c r="E605" s="24">
        <f>IF(A605&gt;=$F$2,0,IF(A605=0,Dashboard!$G$10,IF(B605&lt;Dashboard!$I$6,IF($J$2&lt;=Dashboard!$H$10,Dashboard!$H$10,MAX(Dashboard!$H$10,MIN($J$2,Dashboard!$H$10*POWER($J$2/Dashboard!$H$10,A605/$D$2)))),$I$2-D605-Dashboard!$I$10-Dashboard!$J$10-Dashboard!$F$10*$I$2)))</f>
        <v>0</v>
      </c>
      <c r="F605" s="24">
        <f t="shared" si="100"/>
        <v>9877.6595650590734</v>
      </c>
      <c r="G605" s="24">
        <f t="shared" si="101"/>
        <v>13210.306187924454</v>
      </c>
      <c r="H605" s="24">
        <f t="shared" si="102"/>
        <v>0</v>
      </c>
      <c r="I605" s="24">
        <f t="shared" si="103"/>
        <v>-13210.306187924454</v>
      </c>
      <c r="J605" s="25">
        <f t="shared" si="104"/>
        <v>7.9741404289037643E-3</v>
      </c>
      <c r="K605" s="24">
        <f t="shared" si="109"/>
        <v>20168547.207253806</v>
      </c>
      <c r="L605" s="24">
        <f t="shared" si="105"/>
        <v>20168547.207253806</v>
      </c>
      <c r="M605" s="24">
        <f t="shared" si="106"/>
        <v>0</v>
      </c>
      <c r="N605" s="24">
        <f>IF(M605&lt;=0,0,IF($E$2-A605&lt;12,(M605-E605)*Dashboard!$B$18,IF($Q$2+A605&gt;=$R$2,MAX(0,M605-E605*POWER(1+$C$2,$E$2-A605))*MAX(Dashboard!$C$18,Dashboard!$B$18),IF($S$2&lt;$R$2,(M605-E605)*0.5*Dashboard!$B$18,(E605*POWER(1+$A$2,$R$2-($Q$2+A605))-E605)*0.5*Dashboard!$B$18+MAX(0,M605-E605*POWER(1+$A$2,$R$2-($Q$2+A605))*POWER(1+$C$2,$S$2-$R$2))*MAX(Dashboard!$C$18,Dashboard!$B$18)))))</f>
        <v>0</v>
      </c>
    </row>
    <row r="606" spans="1:14" x14ac:dyDescent="0.2">
      <c r="A606" s="22">
        <f t="shared" si="107"/>
        <v>601</v>
      </c>
      <c r="B606" s="23">
        <f t="shared" si="108"/>
        <v>68.138127853881755</v>
      </c>
      <c r="C606" t="str">
        <f t="shared" si="99"/>
        <v>68 y 1.66 m</v>
      </c>
      <c r="D606" s="24">
        <f>IF(A606&gt;=$E$2,IF(A606&lt;$E$2+$H$2,$P$2,0),IF(B606&lt;Dashboard!$I$6,0,IF(A606&gt;=$F$2,Dashboard!$C$23*POWER(1+$C$2,A606-$F$2),Dashboard!$C$23)))</f>
        <v>0</v>
      </c>
      <c r="E606" s="24">
        <f>IF(A606&gt;=$F$2,0,IF(A606=0,Dashboard!$G$10,IF(B606&lt;Dashboard!$I$6,IF($J$2&lt;=Dashboard!$H$10,Dashboard!$H$10,MAX(Dashboard!$H$10,MIN($J$2,Dashboard!$H$10*POWER($J$2/Dashboard!$H$10,A606/$D$2)))),$I$2-D606-Dashboard!$I$10-Dashboard!$J$10-Dashboard!$F$10*$I$2)))</f>
        <v>0</v>
      </c>
      <c r="F606" s="24">
        <f t="shared" si="100"/>
        <v>9898.0059264923402</v>
      </c>
      <c r="G606" s="24">
        <f t="shared" si="101"/>
        <v>13242.601999723292</v>
      </c>
      <c r="H606" s="24">
        <f t="shared" si="102"/>
        <v>0</v>
      </c>
      <c r="I606" s="24">
        <f t="shared" si="103"/>
        <v>-13242.601999723292</v>
      </c>
      <c r="J606" s="25">
        <f t="shared" si="104"/>
        <v>7.9741404289037643E-3</v>
      </c>
      <c r="K606" s="24">
        <f t="shared" si="109"/>
        <v>20316025.83456371</v>
      </c>
      <c r="L606" s="24">
        <f t="shared" si="105"/>
        <v>20316025.83456371</v>
      </c>
      <c r="M606" s="24">
        <f t="shared" si="106"/>
        <v>0</v>
      </c>
      <c r="N606" s="24">
        <f>IF(M606&lt;=0,0,IF($E$2-A606&lt;12,(M606-E606)*Dashboard!$B$18,IF($Q$2+A606&gt;=$R$2,MAX(0,M606-E606*POWER(1+$C$2,$E$2-A606))*MAX(Dashboard!$C$18,Dashboard!$B$18),IF($S$2&lt;$R$2,(M606-E606)*0.5*Dashboard!$B$18,(E606*POWER(1+$A$2,$R$2-($Q$2+A606))-E606)*0.5*Dashboard!$B$18+MAX(0,M606-E606*POWER(1+$A$2,$R$2-($Q$2+A606))*POWER(1+$C$2,$S$2-$R$2))*MAX(Dashboard!$C$18,Dashboard!$B$18)))))</f>
        <v>0</v>
      </c>
    </row>
    <row r="607" spans="1:14" x14ac:dyDescent="0.2">
      <c r="A607" s="22">
        <f t="shared" si="107"/>
        <v>602</v>
      </c>
      <c r="B607" s="23">
        <f t="shared" si="108"/>
        <v>68.221461187215084</v>
      </c>
      <c r="C607" t="str">
        <f t="shared" si="99"/>
        <v>68 y 2.66 m</v>
      </c>
      <c r="D607" s="24">
        <f>IF(A607&gt;=$E$2,IF(A607&lt;$E$2+$H$2,$P$2,0),IF(B607&lt;Dashboard!$I$6,0,IF(A607&gt;=$F$2,Dashboard!$C$23*POWER(1+$C$2,A607-$F$2),Dashboard!$C$23)))</f>
        <v>0</v>
      </c>
      <c r="E607" s="24">
        <f>IF(A607&gt;=$F$2,0,IF(A607=0,Dashboard!$G$10,IF(B607&lt;Dashboard!$I$6,IF($J$2&lt;=Dashboard!$H$10,Dashboard!$H$10,MAX(Dashboard!$H$10,MIN($J$2,Dashboard!$H$10*POWER($J$2/Dashboard!$H$10,A607/$D$2)))),$I$2-D607-Dashboard!$I$10-Dashboard!$J$10-Dashboard!$F$10*$I$2)))</f>
        <v>0</v>
      </c>
      <c r="F607" s="24">
        <f t="shared" si="100"/>
        <v>9918.3941980988475</v>
      </c>
      <c r="G607" s="24">
        <f t="shared" si="101"/>
        <v>13274.964335606637</v>
      </c>
      <c r="H607" s="24">
        <f t="shared" si="102"/>
        <v>0</v>
      </c>
      <c r="I607" s="24">
        <f t="shared" si="103"/>
        <v>-13274.964335606637</v>
      </c>
      <c r="J607" s="25">
        <f t="shared" si="104"/>
        <v>7.9741404289037643E-3</v>
      </c>
      <c r="K607" s="24">
        <f t="shared" si="109"/>
        <v>20464647.856760353</v>
      </c>
      <c r="L607" s="24">
        <f t="shared" si="105"/>
        <v>20464647.856760353</v>
      </c>
      <c r="M607" s="24">
        <f t="shared" si="106"/>
        <v>0</v>
      </c>
      <c r="N607" s="24">
        <f>IF(M607&lt;=0,0,IF($E$2-A607&lt;12,(M607-E607)*Dashboard!$B$18,IF($Q$2+A607&gt;=$R$2,MAX(0,M607-E607*POWER(1+$C$2,$E$2-A607))*MAX(Dashboard!$C$18,Dashboard!$B$18),IF($S$2&lt;$R$2,(M607-E607)*0.5*Dashboard!$B$18,(E607*POWER(1+$A$2,$R$2-($Q$2+A607))-E607)*0.5*Dashboard!$B$18+MAX(0,M607-E607*POWER(1+$A$2,$R$2-($Q$2+A607))*POWER(1+$C$2,$S$2-$R$2))*MAX(Dashboard!$C$18,Dashboard!$B$18)))))</f>
        <v>0</v>
      </c>
    </row>
    <row r="608" spans="1:14" x14ac:dyDescent="0.2">
      <c r="A608" s="22">
        <f t="shared" si="107"/>
        <v>603</v>
      </c>
      <c r="B608" s="23">
        <f t="shared" si="108"/>
        <v>68.304794520548413</v>
      </c>
      <c r="C608" t="str">
        <f t="shared" si="99"/>
        <v>68 y 3.66 m</v>
      </c>
      <c r="D608" s="24">
        <f>IF(A608&gt;=$E$2,IF(A608&lt;$E$2+$H$2,$P$2,0),IF(B608&lt;Dashboard!$I$6,0,IF(A608&gt;=$F$2,Dashboard!$C$23*POWER(1+$C$2,A608-$F$2),Dashboard!$C$23)))</f>
        <v>0</v>
      </c>
      <c r="E608" s="24">
        <f>IF(A608&gt;=$F$2,0,IF(A608=0,Dashboard!$G$10,IF(B608&lt;Dashboard!$I$6,IF($J$2&lt;=Dashboard!$H$10,Dashboard!$H$10,MAX(Dashboard!$H$10,MIN($J$2,Dashboard!$H$10*POWER($J$2/Dashboard!$H$10,A608/$D$2)))),$I$2-D608-Dashboard!$I$10-Dashboard!$J$10-Dashboard!$F$10*$I$2)))</f>
        <v>0</v>
      </c>
      <c r="F608" s="24">
        <f t="shared" si="100"/>
        <v>9938.82446620669</v>
      </c>
      <c r="G608" s="24">
        <f t="shared" si="101"/>
        <v>13307.393332603213</v>
      </c>
      <c r="H608" s="24">
        <f t="shared" si="102"/>
        <v>0</v>
      </c>
      <c r="I608" s="24">
        <f t="shared" si="103"/>
        <v>-13307.393332603213</v>
      </c>
      <c r="J608" s="25">
        <f t="shared" si="104"/>
        <v>7.9741404289037643E-3</v>
      </c>
      <c r="K608" s="24">
        <f t="shared" si="109"/>
        <v>20614422.324242443</v>
      </c>
      <c r="L608" s="24">
        <f t="shared" si="105"/>
        <v>20614422.324242443</v>
      </c>
      <c r="M608" s="24">
        <f t="shared" si="106"/>
        <v>0</v>
      </c>
      <c r="N608" s="24">
        <f>IF(M608&lt;=0,0,IF($E$2-A608&lt;12,(M608-E608)*Dashboard!$B$18,IF($Q$2+A608&gt;=$R$2,MAX(0,M608-E608*POWER(1+$C$2,$E$2-A608))*MAX(Dashboard!$C$18,Dashboard!$B$18),IF($S$2&lt;$R$2,(M608-E608)*0.5*Dashboard!$B$18,(E608*POWER(1+$A$2,$R$2-($Q$2+A608))-E608)*0.5*Dashboard!$B$18+MAX(0,M608-E608*POWER(1+$A$2,$R$2-($Q$2+A608))*POWER(1+$C$2,$S$2-$R$2))*MAX(Dashboard!$C$18,Dashboard!$B$18)))))</f>
        <v>0</v>
      </c>
    </row>
    <row r="609" spans="1:14" x14ac:dyDescent="0.2">
      <c r="A609" s="22">
        <f t="shared" si="107"/>
        <v>604</v>
      </c>
      <c r="B609" s="23">
        <f t="shared" si="108"/>
        <v>68.388127853881741</v>
      </c>
      <c r="C609" t="str">
        <f t="shared" si="99"/>
        <v>68 y 4.66 m</v>
      </c>
      <c r="D609" s="24">
        <f>IF(A609&gt;=$E$2,IF(A609&lt;$E$2+$H$2,$P$2,0),IF(B609&lt;Dashboard!$I$6,0,IF(A609&gt;=$F$2,Dashboard!$C$23*POWER(1+$C$2,A609-$F$2),Dashboard!$C$23)))</f>
        <v>0</v>
      </c>
      <c r="E609" s="24">
        <f>IF(A609&gt;=$F$2,0,IF(A609=0,Dashboard!$G$10,IF(B609&lt;Dashboard!$I$6,IF($J$2&lt;=Dashboard!$H$10,Dashboard!$H$10,MAX(Dashboard!$H$10,MIN($J$2,Dashboard!$H$10*POWER($J$2/Dashboard!$H$10,A609/$D$2)))),$I$2-D609-Dashboard!$I$10-Dashboard!$J$10-Dashboard!$F$10*$I$2)))</f>
        <v>0</v>
      </c>
      <c r="F609" s="24">
        <f t="shared" si="100"/>
        <v>9959.2968173217814</v>
      </c>
      <c r="G609" s="24">
        <f t="shared" si="101"/>
        <v>13339.889128023991</v>
      </c>
      <c r="H609" s="24">
        <f t="shared" si="102"/>
        <v>0</v>
      </c>
      <c r="I609" s="24">
        <f t="shared" si="103"/>
        <v>-13339.889128023991</v>
      </c>
      <c r="J609" s="25">
        <f t="shared" si="104"/>
        <v>7.9741404289037643E-3</v>
      </c>
      <c r="K609" s="24">
        <f t="shared" si="109"/>
        <v>20765358.359439444</v>
      </c>
      <c r="L609" s="24">
        <f t="shared" si="105"/>
        <v>20765358.359439444</v>
      </c>
      <c r="M609" s="24">
        <f t="shared" si="106"/>
        <v>0</v>
      </c>
      <c r="N609" s="24">
        <f>IF(M609&lt;=0,0,IF($E$2-A609&lt;12,(M609-E609)*Dashboard!$B$18,IF($Q$2+A609&gt;=$R$2,MAX(0,M609-E609*POWER(1+$C$2,$E$2-A609))*MAX(Dashboard!$C$18,Dashboard!$B$18),IF($S$2&lt;$R$2,(M609-E609)*0.5*Dashboard!$B$18,(E609*POWER(1+$A$2,$R$2-($Q$2+A609))-E609)*0.5*Dashboard!$B$18+MAX(0,M609-E609*POWER(1+$A$2,$R$2-($Q$2+A609))*POWER(1+$C$2,$S$2-$R$2))*MAX(Dashboard!$C$18,Dashboard!$B$18)))))</f>
        <v>0</v>
      </c>
    </row>
    <row r="610" spans="1:14" x14ac:dyDescent="0.2">
      <c r="A610" s="22">
        <f t="shared" si="107"/>
        <v>605</v>
      </c>
      <c r="B610" s="23">
        <f t="shared" si="108"/>
        <v>68.47146118721507</v>
      </c>
      <c r="C610" t="str">
        <f t="shared" si="99"/>
        <v>68 y 5.66 m</v>
      </c>
      <c r="D610" s="24">
        <f>IF(A610&gt;=$E$2,IF(A610&lt;$E$2+$H$2,$P$2,0),IF(B610&lt;Dashboard!$I$6,0,IF(A610&gt;=$F$2,Dashboard!$C$23*POWER(1+$C$2,A610-$F$2),Dashboard!$C$23)))</f>
        <v>0</v>
      </c>
      <c r="E610" s="24">
        <f>IF(A610&gt;=$F$2,0,IF(A610=0,Dashboard!$G$10,IF(B610&lt;Dashboard!$I$6,IF($J$2&lt;=Dashboard!$H$10,Dashboard!$H$10,MAX(Dashboard!$H$10,MIN($J$2,Dashboard!$H$10*POWER($J$2/Dashboard!$H$10,A610/$D$2)))),$I$2-D610-Dashboard!$I$10-Dashboard!$J$10-Dashboard!$F$10*$I$2)))</f>
        <v>0</v>
      </c>
      <c r="F610" s="24">
        <f t="shared" si="100"/>
        <v>9979.8113381282292</v>
      </c>
      <c r="G610" s="24">
        <f t="shared" si="101"/>
        <v>13372.451859462797</v>
      </c>
      <c r="H610" s="24">
        <f t="shared" si="102"/>
        <v>0</v>
      </c>
      <c r="I610" s="24">
        <f t="shared" si="103"/>
        <v>-13372.451859462797</v>
      </c>
      <c r="J610" s="25">
        <f t="shared" si="104"/>
        <v>7.9741404289037643E-3</v>
      </c>
      <c r="K610" s="24">
        <f t="shared" si="109"/>
        <v>20917465.157385655</v>
      </c>
      <c r="L610" s="24">
        <f t="shared" si="105"/>
        <v>20917465.157385655</v>
      </c>
      <c r="M610" s="24">
        <f t="shared" si="106"/>
        <v>0</v>
      </c>
      <c r="N610" s="24">
        <f>IF(M610&lt;=0,0,IF($E$2-A610&lt;12,(M610-E610)*Dashboard!$B$18,IF($Q$2+A610&gt;=$R$2,MAX(0,M610-E610*POWER(1+$C$2,$E$2-A610))*MAX(Dashboard!$C$18,Dashboard!$B$18),IF($S$2&lt;$R$2,(M610-E610)*0.5*Dashboard!$B$18,(E610*POWER(1+$A$2,$R$2-($Q$2+A610))-E610)*0.5*Dashboard!$B$18+MAX(0,M610-E610*POWER(1+$A$2,$R$2-($Q$2+A610))*POWER(1+$C$2,$S$2-$R$2))*MAX(Dashboard!$C$18,Dashboard!$B$18)))))</f>
        <v>0</v>
      </c>
    </row>
    <row r="611" spans="1:14" x14ac:dyDescent="0.2">
      <c r="A611" s="22">
        <f t="shared" si="107"/>
        <v>606</v>
      </c>
      <c r="B611" s="23">
        <f t="shared" si="108"/>
        <v>68.554794520548398</v>
      </c>
      <c r="C611" t="str">
        <f t="shared" si="99"/>
        <v>68 y 6.66 m</v>
      </c>
      <c r="D611" s="24">
        <f>IF(A611&gt;=$E$2,IF(A611&lt;$E$2+$H$2,$P$2,0),IF(B611&lt;Dashboard!$I$6,0,IF(A611&gt;=$F$2,Dashboard!$C$23*POWER(1+$C$2,A611-$F$2),Dashboard!$C$23)))</f>
        <v>0</v>
      </c>
      <c r="E611" s="24">
        <f>IF(A611&gt;=$F$2,0,IF(A611=0,Dashboard!$G$10,IF(B611&lt;Dashboard!$I$6,IF($J$2&lt;=Dashboard!$H$10,Dashboard!$H$10,MAX(Dashboard!$H$10,MIN($J$2,Dashboard!$H$10*POWER($J$2/Dashboard!$H$10,A611/$D$2)))),$I$2-D611-Dashboard!$I$10-Dashboard!$J$10-Dashboard!$F$10*$I$2)))</f>
        <v>0</v>
      </c>
      <c r="F611" s="24">
        <f t="shared" si="100"/>
        <v>10000.368115488696</v>
      </c>
      <c r="G611" s="24">
        <f t="shared" si="101"/>
        <v>13405.081664796873</v>
      </c>
      <c r="H611" s="24">
        <f t="shared" si="102"/>
        <v>0</v>
      </c>
      <c r="I611" s="24">
        <f t="shared" si="103"/>
        <v>-13405.081664796873</v>
      </c>
      <c r="J611" s="25">
        <f t="shared" si="104"/>
        <v>7.9741404289037643E-3</v>
      </c>
      <c r="K611" s="24">
        <f t="shared" si="109"/>
        <v>21070751.986298896</v>
      </c>
      <c r="L611" s="24">
        <f t="shared" si="105"/>
        <v>21070751.986298896</v>
      </c>
      <c r="M611" s="24">
        <f t="shared" si="106"/>
        <v>0</v>
      </c>
      <c r="N611" s="24">
        <f>IF(M611&lt;=0,0,IF($E$2-A611&lt;12,(M611-E611)*Dashboard!$B$18,IF($Q$2+A611&gt;=$R$2,MAX(0,M611-E611*POWER(1+$C$2,$E$2-A611))*MAX(Dashboard!$C$18,Dashboard!$B$18),IF($S$2&lt;$R$2,(M611-E611)*0.5*Dashboard!$B$18,(E611*POWER(1+$A$2,$R$2-($Q$2+A611))-E611)*0.5*Dashboard!$B$18+MAX(0,M611-E611*POWER(1+$A$2,$R$2-($Q$2+A611))*POWER(1+$C$2,$S$2-$R$2))*MAX(Dashboard!$C$18,Dashboard!$B$18)))))</f>
        <v>0</v>
      </c>
    </row>
    <row r="612" spans="1:14" x14ac:dyDescent="0.2">
      <c r="A612" s="22">
        <f t="shared" si="107"/>
        <v>607</v>
      </c>
      <c r="B612" s="23">
        <f t="shared" si="108"/>
        <v>68.638127853881727</v>
      </c>
      <c r="C612" t="str">
        <f t="shared" si="99"/>
        <v>68 y 7.66 m</v>
      </c>
      <c r="D612" s="24">
        <f>IF(A612&gt;=$E$2,IF(A612&lt;$E$2+$H$2,$P$2,0),IF(B612&lt;Dashboard!$I$6,0,IF(A612&gt;=$F$2,Dashboard!$C$23*POWER(1+$C$2,A612-$F$2),Dashboard!$C$23)))</f>
        <v>0</v>
      </c>
      <c r="E612" s="24">
        <f>IF(A612&gt;=$F$2,0,IF(A612=0,Dashboard!$G$10,IF(B612&lt;Dashboard!$I$6,IF($J$2&lt;=Dashboard!$H$10,Dashboard!$H$10,MAX(Dashboard!$H$10,MIN($J$2,Dashboard!$H$10*POWER($J$2/Dashboard!$H$10,A612/$D$2)))),$I$2-D612-Dashboard!$I$10-Dashboard!$J$10-Dashboard!$F$10*$I$2)))</f>
        <v>0</v>
      </c>
      <c r="F612" s="24">
        <f t="shared" si="100"/>
        <v>10020.967236444756</v>
      </c>
      <c r="G612" s="24">
        <f t="shared" si="101"/>
        <v>13437.778682187445</v>
      </c>
      <c r="H612" s="24">
        <f t="shared" si="102"/>
        <v>0</v>
      </c>
      <c r="I612" s="24">
        <f t="shared" si="103"/>
        <v>-13437.778682187445</v>
      </c>
      <c r="J612" s="25">
        <f t="shared" si="104"/>
        <v>7.9741404289037643E-3</v>
      </c>
      <c r="K612" s="24">
        <f t="shared" si="109"/>
        <v>21225228.188163795</v>
      </c>
      <c r="L612" s="24">
        <f t="shared" si="105"/>
        <v>21225228.188163795</v>
      </c>
      <c r="M612" s="24">
        <f t="shared" si="106"/>
        <v>0</v>
      </c>
      <c r="N612" s="24">
        <f>IF(M612&lt;=0,0,IF($E$2-A612&lt;12,(M612-E612)*Dashboard!$B$18,IF($Q$2+A612&gt;=$R$2,MAX(0,M612-E612*POWER(1+$C$2,$E$2-A612))*MAX(Dashboard!$C$18,Dashboard!$B$18),IF($S$2&lt;$R$2,(M612-E612)*0.5*Dashboard!$B$18,(E612*POWER(1+$A$2,$R$2-($Q$2+A612))-E612)*0.5*Dashboard!$B$18+MAX(0,M612-E612*POWER(1+$A$2,$R$2-($Q$2+A612))*POWER(1+$C$2,$S$2-$R$2))*MAX(Dashboard!$C$18,Dashboard!$B$18)))))</f>
        <v>0</v>
      </c>
    </row>
    <row r="613" spans="1:14" x14ac:dyDescent="0.2">
      <c r="A613" s="22">
        <f t="shared" si="107"/>
        <v>608</v>
      </c>
      <c r="B613" s="23">
        <f t="shared" si="108"/>
        <v>68.721461187215056</v>
      </c>
      <c r="C613" t="str">
        <f t="shared" si="99"/>
        <v>68 y 8.66 m</v>
      </c>
      <c r="D613" s="24">
        <f>IF(A613&gt;=$E$2,IF(A613&lt;$E$2+$H$2,$P$2,0),IF(B613&lt;Dashboard!$I$6,0,IF(A613&gt;=$F$2,Dashboard!$C$23*POWER(1+$C$2,A613-$F$2),Dashboard!$C$23)))</f>
        <v>0</v>
      </c>
      <c r="E613" s="24">
        <f>IF(A613&gt;=$F$2,0,IF(A613=0,Dashboard!$G$10,IF(B613&lt;Dashboard!$I$6,IF($J$2&lt;=Dashboard!$H$10,Dashboard!$H$10,MAX(Dashboard!$H$10,MIN($J$2,Dashboard!$H$10*POWER($J$2/Dashboard!$H$10,A613/$D$2)))),$I$2-D613-Dashboard!$I$10-Dashboard!$J$10-Dashboard!$F$10*$I$2)))</f>
        <v>0</v>
      </c>
      <c r="F613" s="24">
        <f t="shared" si="100"/>
        <v>10041.608788217291</v>
      </c>
      <c r="G613" s="24">
        <f t="shared" si="101"/>
        <v>13470.543050080356</v>
      </c>
      <c r="H613" s="24">
        <f t="shared" si="102"/>
        <v>0</v>
      </c>
      <c r="I613" s="24">
        <f t="shared" si="103"/>
        <v>-13470.543050080356</v>
      </c>
      <c r="J613" s="25">
        <f t="shared" si="104"/>
        <v>7.9741404289037643E-3</v>
      </c>
      <c r="K613" s="24">
        <f t="shared" si="109"/>
        <v>21380903.179319724</v>
      </c>
      <c r="L613" s="24">
        <f t="shared" si="105"/>
        <v>21380903.179319724</v>
      </c>
      <c r="M613" s="24">
        <f t="shared" si="106"/>
        <v>0</v>
      </c>
      <c r="N613" s="24">
        <f>IF(M613&lt;=0,0,IF($E$2-A613&lt;12,(M613-E613)*Dashboard!$B$18,IF($Q$2+A613&gt;=$R$2,MAX(0,M613-E613*POWER(1+$C$2,$E$2-A613))*MAX(Dashboard!$C$18,Dashboard!$B$18),IF($S$2&lt;$R$2,(M613-E613)*0.5*Dashboard!$B$18,(E613*POWER(1+$A$2,$R$2-($Q$2+A613))-E613)*0.5*Dashboard!$B$18+MAX(0,M613-E613*POWER(1+$A$2,$R$2-($Q$2+A613))*POWER(1+$C$2,$S$2-$R$2))*MAX(Dashboard!$C$18,Dashboard!$B$18)))))</f>
        <v>0</v>
      </c>
    </row>
    <row r="614" spans="1:14" x14ac:dyDescent="0.2">
      <c r="A614" s="22">
        <f t="shared" si="107"/>
        <v>609</v>
      </c>
      <c r="B614" s="23">
        <f t="shared" si="108"/>
        <v>68.804794520548384</v>
      </c>
      <c r="C614" t="str">
        <f t="shared" si="99"/>
        <v>68 y 9.66 m</v>
      </c>
      <c r="D614" s="24">
        <f>IF(A614&gt;=$E$2,IF(A614&lt;$E$2+$H$2,$P$2,0),IF(B614&lt;Dashboard!$I$6,0,IF(A614&gt;=$F$2,Dashboard!$C$23*POWER(1+$C$2,A614-$F$2),Dashboard!$C$23)))</f>
        <v>0</v>
      </c>
      <c r="E614" s="24">
        <f>IF(A614&gt;=$F$2,0,IF(A614=0,Dashboard!$G$10,IF(B614&lt;Dashboard!$I$6,IF($J$2&lt;=Dashboard!$H$10,Dashboard!$H$10,MAX(Dashboard!$H$10,MIN($J$2,Dashboard!$H$10*POWER($J$2/Dashboard!$H$10,A614/$D$2)))),$I$2-D614-Dashboard!$I$10-Dashboard!$J$10-Dashboard!$F$10*$I$2)))</f>
        <v>0</v>
      </c>
      <c r="F614" s="24">
        <f t="shared" si="100"/>
        <v>10062.292858206833</v>
      </c>
      <c r="G614" s="24">
        <f t="shared" si="101"/>
        <v>13503.374907206611</v>
      </c>
      <c r="H614" s="24">
        <f t="shared" si="102"/>
        <v>0</v>
      </c>
      <c r="I614" s="24">
        <f t="shared" si="103"/>
        <v>-13503.374907206611</v>
      </c>
      <c r="J614" s="25">
        <f t="shared" si="104"/>
        <v>7.9741404289037643E-3</v>
      </c>
      <c r="K614" s="24">
        <f t="shared" si="109"/>
        <v>21537786.451053433</v>
      </c>
      <c r="L614" s="24">
        <f t="shared" si="105"/>
        <v>21537786.451053433</v>
      </c>
      <c r="M614" s="24">
        <f t="shared" si="106"/>
        <v>0</v>
      </c>
      <c r="N614" s="24">
        <f>IF(M614&lt;=0,0,IF($E$2-A614&lt;12,(M614-E614)*Dashboard!$B$18,IF($Q$2+A614&gt;=$R$2,MAX(0,M614-E614*POWER(1+$C$2,$E$2-A614))*MAX(Dashboard!$C$18,Dashboard!$B$18),IF($S$2&lt;$R$2,(M614-E614)*0.5*Dashboard!$B$18,(E614*POWER(1+$A$2,$R$2-($Q$2+A614))-E614)*0.5*Dashboard!$B$18+MAX(0,M614-E614*POWER(1+$A$2,$R$2-($Q$2+A614))*POWER(1+$C$2,$S$2-$R$2))*MAX(Dashboard!$C$18,Dashboard!$B$18)))))</f>
        <v>0</v>
      </c>
    </row>
    <row r="615" spans="1:14" x14ac:dyDescent="0.2">
      <c r="A615" s="22">
        <f t="shared" si="107"/>
        <v>610</v>
      </c>
      <c r="B615" s="23">
        <f t="shared" si="108"/>
        <v>68.888127853881713</v>
      </c>
      <c r="C615" t="str">
        <f t="shared" si="99"/>
        <v>68 y 10.66 m</v>
      </c>
      <c r="D615" s="24">
        <f>IF(A615&gt;=$E$2,IF(A615&lt;$E$2+$H$2,$P$2,0),IF(B615&lt;Dashboard!$I$6,0,IF(A615&gt;=$F$2,Dashboard!$C$23*POWER(1+$C$2,A615-$F$2),Dashboard!$C$23)))</f>
        <v>0</v>
      </c>
      <c r="E615" s="24">
        <f>IF(A615&gt;=$F$2,0,IF(A615=0,Dashboard!$G$10,IF(B615&lt;Dashboard!$I$6,IF($J$2&lt;=Dashboard!$H$10,Dashboard!$H$10,MAX(Dashboard!$H$10,MIN($J$2,Dashboard!$H$10*POWER($J$2/Dashboard!$H$10,A615/$D$2)))),$I$2-D615-Dashboard!$I$10-Dashboard!$J$10-Dashboard!$F$10*$I$2)))</f>
        <v>0</v>
      </c>
      <c r="F615" s="24">
        <f t="shared" si="100"/>
        <v>10083.019533993947</v>
      </c>
      <c r="G615" s="24">
        <f t="shared" si="101"/>
        <v>13536.274392582985</v>
      </c>
      <c r="H615" s="24">
        <f t="shared" si="102"/>
        <v>0</v>
      </c>
      <c r="I615" s="24">
        <f t="shared" si="103"/>
        <v>-13536.274392582985</v>
      </c>
      <c r="J615" s="25">
        <f t="shared" si="104"/>
        <v>7.9741404289037643E-3</v>
      </c>
      <c r="K615" s="24">
        <f t="shared" si="109"/>
        <v>21695887.570196401</v>
      </c>
      <c r="L615" s="24">
        <f t="shared" si="105"/>
        <v>21695887.570196401</v>
      </c>
      <c r="M615" s="24">
        <f t="shared" si="106"/>
        <v>0</v>
      </c>
      <c r="N615" s="24">
        <f>IF(M615&lt;=0,0,IF($E$2-A615&lt;12,(M615-E615)*Dashboard!$B$18,IF($Q$2+A615&gt;=$R$2,MAX(0,M615-E615*POWER(1+$C$2,$E$2-A615))*MAX(Dashboard!$C$18,Dashboard!$B$18),IF($S$2&lt;$R$2,(M615-E615)*0.5*Dashboard!$B$18,(E615*POWER(1+$A$2,$R$2-($Q$2+A615))-E615)*0.5*Dashboard!$B$18+MAX(0,M615-E615*POWER(1+$A$2,$R$2-($Q$2+A615))*POWER(1+$C$2,$S$2-$R$2))*MAX(Dashboard!$C$18,Dashboard!$B$18)))))</f>
        <v>0</v>
      </c>
    </row>
    <row r="616" spans="1:14" x14ac:dyDescent="0.2">
      <c r="A616" s="22">
        <f t="shared" si="107"/>
        <v>611</v>
      </c>
      <c r="B616" s="23">
        <f t="shared" si="108"/>
        <v>68.971461187215041</v>
      </c>
      <c r="C616" t="str">
        <f t="shared" si="99"/>
        <v>68 y 11.66 m</v>
      </c>
      <c r="D616" s="24">
        <f>IF(A616&gt;=$E$2,IF(A616&lt;$E$2+$H$2,$P$2,0),IF(B616&lt;Dashboard!$I$6,0,IF(A616&gt;=$F$2,Dashboard!$C$23*POWER(1+$C$2,A616-$F$2),Dashboard!$C$23)))</f>
        <v>0</v>
      </c>
      <c r="E616" s="24">
        <f>IF(A616&gt;=$F$2,0,IF(A616=0,Dashboard!$G$10,IF(B616&lt;Dashboard!$I$6,IF($J$2&lt;=Dashboard!$H$10,Dashboard!$H$10,MAX(Dashboard!$H$10,MIN($J$2,Dashboard!$H$10*POWER($J$2/Dashboard!$H$10,A616/$D$2)))),$I$2-D616-Dashboard!$I$10-Dashboard!$J$10-Dashboard!$F$10*$I$2)))</f>
        <v>0</v>
      </c>
      <c r="F616" s="24">
        <f t="shared" si="100"/>
        <v>10103.788903339602</v>
      </c>
      <c r="G616" s="24">
        <f t="shared" si="101"/>
        <v>13569.241645512595</v>
      </c>
      <c r="H616" s="24">
        <f t="shared" si="102"/>
        <v>0</v>
      </c>
      <c r="I616" s="24">
        <f t="shared" si="103"/>
        <v>-13569.241645512595</v>
      </c>
      <c r="J616" s="25">
        <f t="shared" si="104"/>
        <v>7.9741404289037643E-3</v>
      </c>
      <c r="K616" s="24">
        <f t="shared" si="109"/>
        <v>21855216.179726947</v>
      </c>
      <c r="L616" s="24">
        <f t="shared" si="105"/>
        <v>21855216.179726947</v>
      </c>
      <c r="M616" s="24">
        <f t="shared" si="106"/>
        <v>0</v>
      </c>
      <c r="N616" s="24">
        <f>IF(M616&lt;=0,0,IF($E$2-A616&lt;12,(M616-E616)*Dashboard!$B$18,IF($Q$2+A616&gt;=$R$2,MAX(0,M616-E616*POWER(1+$C$2,$E$2-A616))*MAX(Dashboard!$C$18,Dashboard!$B$18),IF($S$2&lt;$R$2,(M616-E616)*0.5*Dashboard!$B$18,(E616*POWER(1+$A$2,$R$2-($Q$2+A616))-E616)*0.5*Dashboard!$B$18+MAX(0,M616-E616*POWER(1+$A$2,$R$2-($Q$2+A616))*POWER(1+$C$2,$S$2-$R$2))*MAX(Dashboard!$C$18,Dashboard!$B$18)))))</f>
        <v>0</v>
      </c>
    </row>
    <row r="617" spans="1:14" x14ac:dyDescent="0.2">
      <c r="A617" s="22">
        <f t="shared" si="107"/>
        <v>612</v>
      </c>
      <c r="B617" s="23">
        <f t="shared" si="108"/>
        <v>69.05479452054837</v>
      </c>
      <c r="C617" t="str">
        <f t="shared" si="99"/>
        <v>69 y 0.66 m</v>
      </c>
      <c r="D617" s="24">
        <f>IF(A617&gt;=$E$2,IF(A617&lt;$E$2+$H$2,$P$2,0),IF(B617&lt;Dashboard!$I$6,0,IF(A617&gt;=$F$2,Dashboard!$C$23*POWER(1+$C$2,A617-$F$2),Dashboard!$C$23)))</f>
        <v>0</v>
      </c>
      <c r="E617" s="24">
        <f>IF(A617&gt;=$F$2,0,IF(A617=0,Dashboard!$G$10,IF(B617&lt;Dashboard!$I$6,IF($J$2&lt;=Dashboard!$H$10,Dashboard!$H$10,MAX(Dashboard!$H$10,MIN($J$2,Dashboard!$H$10*POWER($J$2/Dashboard!$H$10,A617/$D$2)))),$I$2-D617-Dashboard!$I$10-Dashboard!$J$10-Dashboard!$F$10*$I$2)))</f>
        <v>0</v>
      </c>
      <c r="F617" s="24">
        <f t="shared" si="100"/>
        <v>10124.601054185534</v>
      </c>
      <c r="G617" s="24">
        <f t="shared" si="101"/>
        <v>13602.276805585503</v>
      </c>
      <c r="H617" s="24">
        <f t="shared" si="102"/>
        <v>0</v>
      </c>
      <c r="I617" s="24">
        <f t="shared" si="103"/>
        <v>-13602.276805585503</v>
      </c>
      <c r="J617" s="25">
        <f t="shared" si="104"/>
        <v>7.9741404289037643E-3</v>
      </c>
      <c r="K617" s="24">
        <f t="shared" si="109"/>
        <v>22015781.99937715</v>
      </c>
      <c r="L617" s="24">
        <f t="shared" si="105"/>
        <v>22015781.99937715</v>
      </c>
      <c r="M617" s="24">
        <f t="shared" si="106"/>
        <v>0</v>
      </c>
      <c r="N617" s="24">
        <f>IF(M617&lt;=0,0,IF($E$2-A617&lt;12,(M617-E617)*Dashboard!$B$18,IF($Q$2+A617&gt;=$R$2,MAX(0,M617-E617*POWER(1+$C$2,$E$2-A617))*MAX(Dashboard!$C$18,Dashboard!$B$18),IF($S$2&lt;$R$2,(M617-E617)*0.5*Dashboard!$B$18,(E617*POWER(1+$A$2,$R$2-($Q$2+A617))-E617)*0.5*Dashboard!$B$18+MAX(0,M617-E617*POWER(1+$A$2,$R$2-($Q$2+A617))*POWER(1+$C$2,$S$2-$R$2))*MAX(Dashboard!$C$18,Dashboard!$B$18)))))</f>
        <v>0</v>
      </c>
    </row>
    <row r="618" spans="1:14" x14ac:dyDescent="0.2">
      <c r="A618" s="22">
        <f t="shared" si="107"/>
        <v>613</v>
      </c>
      <c r="B618" s="23">
        <f t="shared" si="108"/>
        <v>69.138127853881699</v>
      </c>
      <c r="C618" t="str">
        <f t="shared" si="99"/>
        <v>69 y 1.66 m</v>
      </c>
      <c r="D618" s="24">
        <f>IF(A618&gt;=$E$2,IF(A618&lt;$E$2+$H$2,$P$2,0),IF(B618&lt;Dashboard!$I$6,0,IF(A618&gt;=$F$2,Dashboard!$C$23*POWER(1+$C$2,A618-$F$2),Dashboard!$C$23)))</f>
        <v>0</v>
      </c>
      <c r="E618" s="24">
        <f>IF(A618&gt;=$F$2,0,IF(A618=0,Dashboard!$G$10,IF(B618&lt;Dashboard!$I$6,IF($J$2&lt;=Dashboard!$H$10,Dashboard!$H$10,MAX(Dashboard!$H$10,MIN($J$2,Dashboard!$H$10*POWER($J$2/Dashboard!$H$10,A618/$D$2)))),$I$2-D618-Dashboard!$I$10-Dashboard!$J$10-Dashboard!$F$10*$I$2)))</f>
        <v>0</v>
      </c>
      <c r="F618" s="24">
        <f t="shared" si="100"/>
        <v>10145.456074654632</v>
      </c>
      <c r="G618" s="24">
        <f t="shared" si="101"/>
        <v>13635.380012679308</v>
      </c>
      <c r="H618" s="24">
        <f t="shared" si="102"/>
        <v>0</v>
      </c>
      <c r="I618" s="24">
        <f t="shared" si="103"/>
        <v>-13635.380012679308</v>
      </c>
      <c r="J618" s="25">
        <f t="shared" si="104"/>
        <v>7.9741404289037643E-3</v>
      </c>
      <c r="K618" s="24">
        <f t="shared" si="109"/>
        <v>22177594.826244611</v>
      </c>
      <c r="L618" s="24">
        <f t="shared" si="105"/>
        <v>22177594.826244611</v>
      </c>
      <c r="M618" s="24">
        <f t="shared" si="106"/>
        <v>0</v>
      </c>
      <c r="N618" s="24">
        <f>IF(M618&lt;=0,0,IF($E$2-A618&lt;12,(M618-E618)*Dashboard!$B$18,IF($Q$2+A618&gt;=$R$2,MAX(0,M618-E618*POWER(1+$C$2,$E$2-A618))*MAX(Dashboard!$C$18,Dashboard!$B$18),IF($S$2&lt;$R$2,(M618-E618)*0.5*Dashboard!$B$18,(E618*POWER(1+$A$2,$R$2-($Q$2+A618))-E618)*0.5*Dashboard!$B$18+MAX(0,M618-E618*POWER(1+$A$2,$R$2-($Q$2+A618))*POWER(1+$C$2,$S$2-$R$2))*MAX(Dashboard!$C$18,Dashboard!$B$18)))))</f>
        <v>0</v>
      </c>
    </row>
    <row r="619" spans="1:14" x14ac:dyDescent="0.2">
      <c r="A619" s="22">
        <f t="shared" si="107"/>
        <v>614</v>
      </c>
      <c r="B619" s="23">
        <f t="shared" si="108"/>
        <v>69.221461187215027</v>
      </c>
      <c r="C619" t="str">
        <f t="shared" si="99"/>
        <v>69 y 2.66 m</v>
      </c>
      <c r="D619" s="24">
        <f>IF(A619&gt;=$E$2,IF(A619&lt;$E$2+$H$2,$P$2,0),IF(B619&lt;Dashboard!$I$6,0,IF(A619&gt;=$F$2,Dashboard!$C$23*POWER(1+$C$2,A619-$F$2),Dashboard!$C$23)))</f>
        <v>0</v>
      </c>
      <c r="E619" s="24">
        <f>IF(A619&gt;=$F$2,0,IF(A619=0,Dashboard!$G$10,IF(B619&lt;Dashboard!$I$6,IF($J$2&lt;=Dashboard!$H$10,Dashboard!$H$10,MAX(Dashboard!$H$10,MIN($J$2,Dashboard!$H$10*POWER($J$2/Dashboard!$H$10,A619/$D$2)))),$I$2-D619-Dashboard!$I$10-Dashboard!$J$10-Dashboard!$F$10*$I$2)))</f>
        <v>0</v>
      </c>
      <c r="F619" s="24">
        <f t="shared" si="100"/>
        <v>10166.354053051306</v>
      </c>
      <c r="G619" s="24">
        <f t="shared" si="101"/>
        <v>13668.551406959743</v>
      </c>
      <c r="H619" s="24">
        <f t="shared" si="102"/>
        <v>0</v>
      </c>
      <c r="I619" s="24">
        <f t="shared" si="103"/>
        <v>-13668.551406959743</v>
      </c>
      <c r="J619" s="25">
        <f t="shared" si="104"/>
        <v>7.9741404289037643E-3</v>
      </c>
      <c r="K619" s="24">
        <f t="shared" si="109"/>
        <v>22340664.535409074</v>
      </c>
      <c r="L619" s="24">
        <f t="shared" si="105"/>
        <v>22340664.535409074</v>
      </c>
      <c r="M619" s="24">
        <f t="shared" si="106"/>
        <v>0</v>
      </c>
      <c r="N619" s="24">
        <f>IF(M619&lt;=0,0,IF($E$2-A619&lt;12,(M619-E619)*Dashboard!$B$18,IF($Q$2+A619&gt;=$R$2,MAX(0,M619-E619*POWER(1+$C$2,$E$2-A619))*MAX(Dashboard!$C$18,Dashboard!$B$18),IF($S$2&lt;$R$2,(M619-E619)*0.5*Dashboard!$B$18,(E619*POWER(1+$A$2,$R$2-($Q$2+A619))-E619)*0.5*Dashboard!$B$18+MAX(0,M619-E619*POWER(1+$A$2,$R$2-($Q$2+A619))*POWER(1+$C$2,$S$2-$R$2))*MAX(Dashboard!$C$18,Dashboard!$B$18)))))</f>
        <v>0</v>
      </c>
    </row>
    <row r="620" spans="1:14" x14ac:dyDescent="0.2">
      <c r="A620" s="22">
        <f t="shared" si="107"/>
        <v>615</v>
      </c>
      <c r="B620" s="23">
        <f t="shared" si="108"/>
        <v>69.304794520548356</v>
      </c>
      <c r="C620" t="str">
        <f t="shared" si="99"/>
        <v>69 y 3.66 m</v>
      </c>
      <c r="D620" s="24">
        <f>IF(A620&gt;=$E$2,IF(A620&lt;$E$2+$H$2,$P$2,0),IF(B620&lt;Dashboard!$I$6,0,IF(A620&gt;=$F$2,Dashboard!$C$23*POWER(1+$C$2,A620-$F$2),Dashboard!$C$23)))</f>
        <v>0</v>
      </c>
      <c r="E620" s="24">
        <f>IF(A620&gt;=$F$2,0,IF(A620=0,Dashboard!$G$10,IF(B620&lt;Dashboard!$I$6,IF($J$2&lt;=Dashboard!$H$10,Dashboard!$H$10,MAX(Dashboard!$H$10,MIN($J$2,Dashboard!$H$10*POWER($J$2/Dashboard!$H$10,A620/$D$2)))),$I$2-D620-Dashboard!$I$10-Dashboard!$J$10-Dashboard!$F$10*$I$2)))</f>
        <v>0</v>
      </c>
      <c r="F620" s="24">
        <f t="shared" si="100"/>
        <v>10187.295077861841</v>
      </c>
      <c r="G620" s="24">
        <f t="shared" si="101"/>
        <v>13701.791128881232</v>
      </c>
      <c r="H620" s="24">
        <f t="shared" si="102"/>
        <v>0</v>
      </c>
      <c r="I620" s="24">
        <f t="shared" si="103"/>
        <v>-13701.791128881232</v>
      </c>
      <c r="J620" s="25">
        <f t="shared" si="104"/>
        <v>7.9741404289037643E-3</v>
      </c>
      <c r="K620" s="24">
        <f t="shared" si="109"/>
        <v>22505001.080553986</v>
      </c>
      <c r="L620" s="24">
        <f t="shared" si="105"/>
        <v>22505001.080553986</v>
      </c>
      <c r="M620" s="24">
        <f t="shared" si="106"/>
        <v>0</v>
      </c>
      <c r="N620" s="24">
        <f>IF(M620&lt;=0,0,IF($E$2-A620&lt;12,(M620-E620)*Dashboard!$B$18,IF($Q$2+A620&gt;=$R$2,MAX(0,M620-E620*POWER(1+$C$2,$E$2-A620))*MAX(Dashboard!$C$18,Dashboard!$B$18),IF($S$2&lt;$R$2,(M620-E620)*0.5*Dashboard!$B$18,(E620*POWER(1+$A$2,$R$2-($Q$2+A620))-E620)*0.5*Dashboard!$B$18+MAX(0,M620-E620*POWER(1+$A$2,$R$2-($Q$2+A620))*POWER(1+$C$2,$S$2-$R$2))*MAX(Dashboard!$C$18,Dashboard!$B$18)))))</f>
        <v>0</v>
      </c>
    </row>
    <row r="621" spans="1:14" x14ac:dyDescent="0.2">
      <c r="A621" s="22">
        <f t="shared" si="107"/>
        <v>616</v>
      </c>
      <c r="B621" s="23">
        <f t="shared" si="108"/>
        <v>69.388127853881684</v>
      </c>
      <c r="C621" t="str">
        <f t="shared" si="99"/>
        <v>69 y 4.66 m</v>
      </c>
      <c r="D621" s="24">
        <f>IF(A621&gt;=$E$2,IF(A621&lt;$E$2+$H$2,$P$2,0),IF(B621&lt;Dashboard!$I$6,0,IF(A621&gt;=$F$2,Dashboard!$C$23*POWER(1+$C$2,A621-$F$2),Dashboard!$C$23)))</f>
        <v>0</v>
      </c>
      <c r="E621" s="24">
        <f>IF(A621&gt;=$F$2,0,IF(A621=0,Dashboard!$G$10,IF(B621&lt;Dashboard!$I$6,IF($J$2&lt;=Dashboard!$H$10,Dashboard!$H$10,MAX(Dashboard!$H$10,MIN($J$2,Dashboard!$H$10*POWER($J$2/Dashboard!$H$10,A621/$D$2)))),$I$2-D621-Dashboard!$I$10-Dashboard!$J$10-Dashboard!$F$10*$I$2)))</f>
        <v>0</v>
      </c>
      <c r="F621" s="24">
        <f t="shared" si="100"/>
        <v>10208.279237754814</v>
      </c>
      <c r="G621" s="24">
        <f t="shared" si="101"/>
        <v>13735.099319187537</v>
      </c>
      <c r="H621" s="24">
        <f t="shared" si="102"/>
        <v>0</v>
      </c>
      <c r="I621" s="24">
        <f t="shared" si="103"/>
        <v>-13735.099319187537</v>
      </c>
      <c r="J621" s="25">
        <f t="shared" si="104"/>
        <v>7.9741404289037643E-3</v>
      </c>
      <c r="K621" s="24">
        <f t="shared" si="109"/>
        <v>22670614.494592991</v>
      </c>
      <c r="L621" s="24">
        <f t="shared" si="105"/>
        <v>22670614.494592991</v>
      </c>
      <c r="M621" s="24">
        <f t="shared" si="106"/>
        <v>0</v>
      </c>
      <c r="N621" s="24">
        <f>IF(M621&lt;=0,0,IF($E$2-A621&lt;12,(M621-E621)*Dashboard!$B$18,IF($Q$2+A621&gt;=$R$2,MAX(0,M621-E621*POWER(1+$C$2,$E$2-A621))*MAX(Dashboard!$C$18,Dashboard!$B$18),IF($S$2&lt;$R$2,(M621-E621)*0.5*Dashboard!$B$18,(E621*POWER(1+$A$2,$R$2-($Q$2+A621))-E621)*0.5*Dashboard!$B$18+MAX(0,M621-E621*POWER(1+$A$2,$R$2-($Q$2+A621))*POWER(1+$C$2,$S$2-$R$2))*MAX(Dashboard!$C$18,Dashboard!$B$18)))))</f>
        <v>0</v>
      </c>
    </row>
    <row r="622" spans="1:14" x14ac:dyDescent="0.2">
      <c r="A622" s="22">
        <f t="shared" si="107"/>
        <v>617</v>
      </c>
      <c r="B622" s="23">
        <f t="shared" si="108"/>
        <v>69.471461187215013</v>
      </c>
      <c r="C622" t="str">
        <f t="shared" si="99"/>
        <v>69 y 5.66 m</v>
      </c>
      <c r="D622" s="24">
        <f>IF(A622&gt;=$E$2,IF(A622&lt;$E$2+$H$2,$P$2,0),IF(B622&lt;Dashboard!$I$6,0,IF(A622&gt;=$F$2,Dashboard!$C$23*POWER(1+$C$2,A622-$F$2),Dashboard!$C$23)))</f>
        <v>0</v>
      </c>
      <c r="E622" s="24">
        <f>IF(A622&gt;=$F$2,0,IF(A622=0,Dashboard!$G$10,IF(B622&lt;Dashboard!$I$6,IF($J$2&lt;=Dashboard!$H$10,Dashboard!$H$10,MAX(Dashboard!$H$10,MIN($J$2,Dashboard!$H$10*POWER($J$2/Dashboard!$H$10,A622/$D$2)))),$I$2-D622-Dashboard!$I$10-Dashboard!$J$10-Dashboard!$F$10*$I$2)))</f>
        <v>0</v>
      </c>
      <c r="F622" s="24">
        <f t="shared" si="100"/>
        <v>10229.306621581421</v>
      </c>
      <c r="G622" s="24">
        <f t="shared" si="101"/>
        <v>13768.476118912309</v>
      </c>
      <c r="H622" s="24">
        <f t="shared" si="102"/>
        <v>0</v>
      </c>
      <c r="I622" s="24">
        <f t="shared" si="103"/>
        <v>-13768.476118912309</v>
      </c>
      <c r="J622" s="25">
        <f t="shared" si="104"/>
        <v>7.9741404289037643E-3</v>
      </c>
      <c r="K622" s="24">
        <f t="shared" si="109"/>
        <v>22837514.89030144</v>
      </c>
      <c r="L622" s="24">
        <f t="shared" si="105"/>
        <v>22837514.89030144</v>
      </c>
      <c r="M622" s="24">
        <f t="shared" si="106"/>
        <v>0</v>
      </c>
      <c r="N622" s="24">
        <f>IF(M622&lt;=0,0,IF($E$2-A622&lt;12,(M622-E622)*Dashboard!$B$18,IF($Q$2+A622&gt;=$R$2,MAX(0,M622-E622*POWER(1+$C$2,$E$2-A622))*MAX(Dashboard!$C$18,Dashboard!$B$18),IF($S$2&lt;$R$2,(M622-E622)*0.5*Dashboard!$B$18,(E622*POWER(1+$A$2,$R$2-($Q$2+A622))-E622)*0.5*Dashboard!$B$18+MAX(0,M622-E622*POWER(1+$A$2,$R$2-($Q$2+A622))*POWER(1+$C$2,$S$2-$R$2))*MAX(Dashboard!$C$18,Dashboard!$B$18)))))</f>
        <v>0</v>
      </c>
    </row>
    <row r="623" spans="1:14" x14ac:dyDescent="0.2">
      <c r="A623" s="22">
        <f t="shared" si="107"/>
        <v>618</v>
      </c>
      <c r="B623" s="23">
        <f t="shared" si="108"/>
        <v>69.554794520548342</v>
      </c>
      <c r="C623" t="str">
        <f t="shared" si="99"/>
        <v>69 y 6.66 m</v>
      </c>
      <c r="D623" s="24">
        <f>IF(A623&gt;=$E$2,IF(A623&lt;$E$2+$H$2,$P$2,0),IF(B623&lt;Dashboard!$I$6,0,IF(A623&gt;=$F$2,Dashboard!$C$23*POWER(1+$C$2,A623-$F$2),Dashboard!$C$23)))</f>
        <v>0</v>
      </c>
      <c r="E623" s="24">
        <f>IF(A623&gt;=$F$2,0,IF(A623=0,Dashboard!$G$10,IF(B623&lt;Dashboard!$I$6,IF($J$2&lt;=Dashboard!$H$10,Dashboard!$H$10,MAX(Dashboard!$H$10,MIN($J$2,Dashboard!$H$10*POWER($J$2/Dashboard!$H$10,A623/$D$2)))),$I$2-D623-Dashboard!$I$10-Dashboard!$J$10-Dashboard!$F$10*$I$2)))</f>
        <v>0</v>
      </c>
      <c r="F623" s="24">
        <f t="shared" si="100"/>
        <v>10250.377318375899</v>
      </c>
      <c r="G623" s="24">
        <f t="shared" si="101"/>
        <v>13801.921669379735</v>
      </c>
      <c r="H623" s="24">
        <f t="shared" si="102"/>
        <v>0</v>
      </c>
      <c r="I623" s="24">
        <f t="shared" si="103"/>
        <v>-13801.921669379735</v>
      </c>
      <c r="J623" s="25">
        <f t="shared" si="104"/>
        <v>7.9741404289037643E-3</v>
      </c>
      <c r="K623" s="24">
        <f t="shared" si="109"/>
        <v>23005712.460952926</v>
      </c>
      <c r="L623" s="24">
        <f t="shared" si="105"/>
        <v>23005712.460952926</v>
      </c>
      <c r="M623" s="24">
        <f t="shared" si="106"/>
        <v>0</v>
      </c>
      <c r="N623" s="24">
        <f>IF(M623&lt;=0,0,IF($E$2-A623&lt;12,(M623-E623)*Dashboard!$B$18,IF($Q$2+A623&gt;=$R$2,MAX(0,M623-E623*POWER(1+$C$2,$E$2-A623))*MAX(Dashboard!$C$18,Dashboard!$B$18),IF($S$2&lt;$R$2,(M623-E623)*0.5*Dashboard!$B$18,(E623*POWER(1+$A$2,$R$2-($Q$2+A623))-E623)*0.5*Dashboard!$B$18+MAX(0,M623-E623*POWER(1+$A$2,$R$2-($Q$2+A623))*POWER(1+$C$2,$S$2-$R$2))*MAX(Dashboard!$C$18,Dashboard!$B$18)))))</f>
        <v>0</v>
      </c>
    </row>
    <row r="624" spans="1:14" x14ac:dyDescent="0.2">
      <c r="A624" s="22">
        <f t="shared" si="107"/>
        <v>619</v>
      </c>
      <c r="B624" s="23">
        <f t="shared" si="108"/>
        <v>69.63812785388167</v>
      </c>
      <c r="C624" t="str">
        <f t="shared" si="99"/>
        <v>69 y 7.66 m</v>
      </c>
      <c r="D624" s="24">
        <f>IF(A624&gt;=$E$2,IF(A624&lt;$E$2+$H$2,$P$2,0),IF(B624&lt;Dashboard!$I$6,0,IF(A624&gt;=$F$2,Dashboard!$C$23*POWER(1+$C$2,A624-$F$2),Dashboard!$C$23)))</f>
        <v>0</v>
      </c>
      <c r="E624" s="24">
        <f>IF(A624&gt;=$F$2,0,IF(A624=0,Dashboard!$G$10,IF(B624&lt;Dashboard!$I$6,IF($J$2&lt;=Dashboard!$H$10,Dashboard!$H$10,MAX(Dashboard!$H$10,MIN($J$2,Dashboard!$H$10*POWER($J$2/Dashboard!$H$10,A624/$D$2)))),$I$2-D624-Dashboard!$I$10-Dashboard!$J$10-Dashboard!$F$10*$I$2)))</f>
        <v>0</v>
      </c>
      <c r="F624" s="24">
        <f t="shared" si="100"/>
        <v>10271.491417355861</v>
      </c>
      <c r="G624" s="24">
        <f t="shared" si="101"/>
        <v>13835.43611220507</v>
      </c>
      <c r="H624" s="24">
        <f t="shared" si="102"/>
        <v>0</v>
      </c>
      <c r="I624" s="24">
        <f t="shared" si="103"/>
        <v>-13835.43611220507</v>
      </c>
      <c r="J624" s="25">
        <f t="shared" si="104"/>
        <v>7.9741404289037643E-3</v>
      </c>
      <c r="K624" s="24">
        <f t="shared" si="109"/>
        <v>23175217.480960887</v>
      </c>
      <c r="L624" s="24">
        <f t="shared" si="105"/>
        <v>23175217.480960887</v>
      </c>
      <c r="M624" s="24">
        <f t="shared" si="106"/>
        <v>0</v>
      </c>
      <c r="N624" s="24">
        <f>IF(M624&lt;=0,0,IF($E$2-A624&lt;12,(M624-E624)*Dashboard!$B$18,IF($Q$2+A624&gt;=$R$2,MAX(0,M624-E624*POWER(1+$C$2,$E$2-A624))*MAX(Dashboard!$C$18,Dashboard!$B$18),IF($S$2&lt;$R$2,(M624-E624)*0.5*Dashboard!$B$18,(E624*POWER(1+$A$2,$R$2-($Q$2+A624))-E624)*0.5*Dashboard!$B$18+MAX(0,M624-E624*POWER(1+$A$2,$R$2-($Q$2+A624))*POWER(1+$C$2,$S$2-$R$2))*MAX(Dashboard!$C$18,Dashboard!$B$18)))))</f>
        <v>0</v>
      </c>
    </row>
    <row r="625" spans="1:14" x14ac:dyDescent="0.2">
      <c r="A625" s="22">
        <f t="shared" si="107"/>
        <v>620</v>
      </c>
      <c r="B625" s="23">
        <f t="shared" si="108"/>
        <v>69.721461187214999</v>
      </c>
      <c r="C625" t="str">
        <f t="shared" si="99"/>
        <v>69 y 8.66 m</v>
      </c>
      <c r="D625" s="24">
        <f>IF(A625&gt;=$E$2,IF(A625&lt;$E$2+$H$2,$P$2,0),IF(B625&lt;Dashboard!$I$6,0,IF(A625&gt;=$F$2,Dashboard!$C$23*POWER(1+$C$2,A625-$F$2),Dashboard!$C$23)))</f>
        <v>0</v>
      </c>
      <c r="E625" s="24">
        <f>IF(A625&gt;=$F$2,0,IF(A625=0,Dashboard!$G$10,IF(B625&lt;Dashboard!$I$6,IF($J$2&lt;=Dashboard!$H$10,Dashboard!$H$10,MAX(Dashboard!$H$10,MIN($J$2,Dashboard!$H$10*POWER($J$2/Dashboard!$H$10,A625/$D$2)))),$I$2-D625-Dashboard!$I$10-Dashboard!$J$10-Dashboard!$F$10*$I$2)))</f>
        <v>0</v>
      </c>
      <c r="F625" s="24">
        <f t="shared" si="100"/>
        <v>10292.64900792271</v>
      </c>
      <c r="G625" s="24">
        <f t="shared" si="101"/>
        <v>13869.019589295307</v>
      </c>
      <c r="H625" s="24">
        <f t="shared" si="102"/>
        <v>0</v>
      </c>
      <c r="I625" s="24">
        <f t="shared" si="103"/>
        <v>-13869.019589295307</v>
      </c>
      <c r="J625" s="25">
        <f t="shared" si="104"/>
        <v>7.9741404289037643E-3</v>
      </c>
      <c r="K625" s="24">
        <f t="shared" si="109"/>
        <v>23346040.306525346</v>
      </c>
      <c r="L625" s="24">
        <f t="shared" si="105"/>
        <v>23346040.306525346</v>
      </c>
      <c r="M625" s="24">
        <f t="shared" si="106"/>
        <v>0</v>
      </c>
      <c r="N625" s="24">
        <f>IF(M625&lt;=0,0,IF($E$2-A625&lt;12,(M625-E625)*Dashboard!$B$18,IF($Q$2+A625&gt;=$R$2,MAX(0,M625-E625*POWER(1+$C$2,$E$2-A625))*MAX(Dashboard!$C$18,Dashboard!$B$18),IF($S$2&lt;$R$2,(M625-E625)*0.5*Dashboard!$B$18,(E625*POWER(1+$A$2,$R$2-($Q$2+A625))-E625)*0.5*Dashboard!$B$18+MAX(0,M625-E625*POWER(1+$A$2,$R$2-($Q$2+A625))*POWER(1+$C$2,$S$2-$R$2))*MAX(Dashboard!$C$18,Dashboard!$B$18)))))</f>
        <v>0</v>
      </c>
    </row>
    <row r="626" spans="1:14" x14ac:dyDescent="0.2">
      <c r="A626" s="22">
        <f t="shared" si="107"/>
        <v>621</v>
      </c>
      <c r="B626" s="23">
        <f t="shared" si="108"/>
        <v>69.804794520548327</v>
      </c>
      <c r="C626" t="str">
        <f t="shared" si="99"/>
        <v>69 y 9.66 m</v>
      </c>
      <c r="D626" s="24">
        <f>IF(A626&gt;=$E$2,IF(A626&lt;$E$2+$H$2,$P$2,0),IF(B626&lt;Dashboard!$I$6,0,IF(A626&gt;=$F$2,Dashboard!$C$23*POWER(1+$C$2,A626-$F$2),Dashboard!$C$23)))</f>
        <v>0</v>
      </c>
      <c r="E626" s="24">
        <f>IF(A626&gt;=$F$2,0,IF(A626=0,Dashboard!$G$10,IF(B626&lt;Dashboard!$I$6,IF($J$2&lt;=Dashboard!$H$10,Dashboard!$H$10,MAX(Dashboard!$H$10,MIN($J$2,Dashboard!$H$10*POWER($J$2/Dashboard!$H$10,A626/$D$2)))),$I$2-D626-Dashboard!$I$10-Dashboard!$J$10-Dashboard!$F$10*$I$2)))</f>
        <v>0</v>
      </c>
      <c r="F626" s="24">
        <f t="shared" si="100"/>
        <v>10313.850179661991</v>
      </c>
      <c r="G626" s="24">
        <f t="shared" si="101"/>
        <v>13902.672242849723</v>
      </c>
      <c r="H626" s="24">
        <f t="shared" si="102"/>
        <v>0</v>
      </c>
      <c r="I626" s="24">
        <f t="shared" si="103"/>
        <v>-13902.672242849723</v>
      </c>
      <c r="J626" s="25">
        <f t="shared" si="104"/>
        <v>7.9741404289037643E-3</v>
      </c>
      <c r="K626" s="24">
        <f t="shared" si="109"/>
        <v>23518191.376284774</v>
      </c>
      <c r="L626" s="24">
        <f t="shared" si="105"/>
        <v>23518191.376284774</v>
      </c>
      <c r="M626" s="24">
        <f t="shared" si="106"/>
        <v>0</v>
      </c>
      <c r="N626" s="24">
        <f>IF(M626&lt;=0,0,IF($E$2-A626&lt;12,(M626-E626)*Dashboard!$B$18,IF($Q$2+A626&gt;=$R$2,MAX(0,M626-E626*POWER(1+$C$2,$E$2-A626))*MAX(Dashboard!$C$18,Dashboard!$B$18),IF($S$2&lt;$R$2,(M626-E626)*0.5*Dashboard!$B$18,(E626*POWER(1+$A$2,$R$2-($Q$2+A626))-E626)*0.5*Dashboard!$B$18+MAX(0,M626-E626*POWER(1+$A$2,$R$2-($Q$2+A626))*POWER(1+$C$2,$S$2-$R$2))*MAX(Dashboard!$C$18,Dashboard!$B$18)))))</f>
        <v>0</v>
      </c>
    </row>
    <row r="627" spans="1:14" x14ac:dyDescent="0.2">
      <c r="A627" s="22">
        <f t="shared" si="107"/>
        <v>622</v>
      </c>
      <c r="B627" s="23">
        <f t="shared" si="108"/>
        <v>69.888127853881656</v>
      </c>
      <c r="C627" t="str">
        <f t="shared" si="99"/>
        <v>69 y 10.66 m</v>
      </c>
      <c r="D627" s="24">
        <f>IF(A627&gt;=$E$2,IF(A627&lt;$E$2+$H$2,$P$2,0),IF(B627&lt;Dashboard!$I$6,0,IF(A627&gt;=$F$2,Dashboard!$C$23*POWER(1+$C$2,A627-$F$2),Dashboard!$C$23)))</f>
        <v>0</v>
      </c>
      <c r="E627" s="24">
        <f>IF(A627&gt;=$F$2,0,IF(A627=0,Dashboard!$G$10,IF(B627&lt;Dashboard!$I$6,IF($J$2&lt;=Dashboard!$H$10,Dashboard!$H$10,MAX(Dashboard!$H$10,MIN($J$2,Dashboard!$H$10*POWER($J$2/Dashboard!$H$10,A627/$D$2)))),$I$2-D627-Dashboard!$I$10-Dashboard!$J$10-Dashboard!$F$10*$I$2)))</f>
        <v>0</v>
      </c>
      <c r="F627" s="24">
        <f t="shared" si="100"/>
        <v>10335.095022343781</v>
      </c>
      <c r="G627" s="24">
        <f t="shared" si="101"/>
        <v>13936.394215360497</v>
      </c>
      <c r="H627" s="24">
        <f t="shared" si="102"/>
        <v>0</v>
      </c>
      <c r="I627" s="24">
        <f t="shared" si="103"/>
        <v>-13936.394215360497</v>
      </c>
      <c r="J627" s="25">
        <f t="shared" si="104"/>
        <v>7.9741404289037643E-3</v>
      </c>
      <c r="K627" s="24">
        <f t="shared" si="109"/>
        <v>23691681.211973198</v>
      </c>
      <c r="L627" s="24">
        <f t="shared" si="105"/>
        <v>23691681.211973198</v>
      </c>
      <c r="M627" s="24">
        <f t="shared" si="106"/>
        <v>0</v>
      </c>
      <c r="N627" s="24">
        <f>IF(M627&lt;=0,0,IF($E$2-A627&lt;12,(M627-E627)*Dashboard!$B$18,IF($Q$2+A627&gt;=$R$2,MAX(0,M627-E627*POWER(1+$C$2,$E$2-A627))*MAX(Dashboard!$C$18,Dashboard!$B$18),IF($S$2&lt;$R$2,(M627-E627)*0.5*Dashboard!$B$18,(E627*POWER(1+$A$2,$R$2-($Q$2+A627))-E627)*0.5*Dashboard!$B$18+MAX(0,M627-E627*POWER(1+$A$2,$R$2-($Q$2+A627))*POWER(1+$C$2,$S$2-$R$2))*MAX(Dashboard!$C$18,Dashboard!$B$18)))))</f>
        <v>0</v>
      </c>
    </row>
    <row r="628" spans="1:14" x14ac:dyDescent="0.2">
      <c r="A628" s="22">
        <f t="shared" si="107"/>
        <v>623</v>
      </c>
      <c r="B628" s="23">
        <f t="shared" si="108"/>
        <v>69.971461187214985</v>
      </c>
      <c r="C628" t="str">
        <f t="shared" si="99"/>
        <v>69 y 11.66 m</v>
      </c>
      <c r="D628" s="24">
        <f>IF(A628&gt;=$E$2,IF(A628&lt;$E$2+$H$2,$P$2,0),IF(B628&lt;Dashboard!$I$6,0,IF(A628&gt;=$F$2,Dashboard!$C$23*POWER(1+$C$2,A628-$F$2),Dashboard!$C$23)))</f>
        <v>0</v>
      </c>
      <c r="E628" s="24">
        <f>IF(A628&gt;=$F$2,0,IF(A628=0,Dashboard!$G$10,IF(B628&lt;Dashboard!$I$6,IF($J$2&lt;=Dashboard!$H$10,Dashboard!$H$10,MAX(Dashboard!$H$10,MIN($J$2,Dashboard!$H$10*POWER($J$2/Dashboard!$H$10,A628/$D$2)))),$I$2-D628-Dashboard!$I$10-Dashboard!$J$10-Dashboard!$F$10*$I$2)))</f>
        <v>0</v>
      </c>
      <c r="F628" s="24">
        <f t="shared" si="100"/>
        <v>10356.383625923076</v>
      </c>
      <c r="G628" s="24">
        <f t="shared" si="101"/>
        <v>13970.185649613348</v>
      </c>
      <c r="H628" s="24">
        <f t="shared" si="102"/>
        <v>0</v>
      </c>
      <c r="I628" s="24">
        <f t="shared" si="103"/>
        <v>-13970.185649613348</v>
      </c>
      <c r="J628" s="25">
        <f t="shared" si="104"/>
        <v>7.9741404289037643E-3</v>
      </c>
      <c r="K628" s="24">
        <f t="shared" si="109"/>
        <v>23866520.419082489</v>
      </c>
      <c r="L628" s="24">
        <f t="shared" si="105"/>
        <v>23866520.419082489</v>
      </c>
      <c r="M628" s="24">
        <f t="shared" si="106"/>
        <v>0</v>
      </c>
      <c r="N628" s="24">
        <f>IF(M628&lt;=0,0,IF($E$2-A628&lt;12,(M628-E628)*Dashboard!$B$18,IF($Q$2+A628&gt;=$R$2,MAX(0,M628-E628*POWER(1+$C$2,$E$2-A628))*MAX(Dashboard!$C$18,Dashboard!$B$18),IF($S$2&lt;$R$2,(M628-E628)*0.5*Dashboard!$B$18,(E628*POWER(1+$A$2,$R$2-($Q$2+A628))-E628)*0.5*Dashboard!$B$18+MAX(0,M628-E628*POWER(1+$A$2,$R$2-($Q$2+A628))*POWER(1+$C$2,$S$2-$R$2))*MAX(Dashboard!$C$18,Dashboard!$B$18)))))</f>
        <v>0</v>
      </c>
    </row>
    <row r="629" spans="1:14" x14ac:dyDescent="0.2">
      <c r="A629" s="22">
        <f t="shared" si="107"/>
        <v>624</v>
      </c>
      <c r="B629" s="23">
        <f t="shared" si="108"/>
        <v>70.054794520548313</v>
      </c>
      <c r="C629" t="str">
        <f t="shared" si="99"/>
        <v>70 y 0.66 m</v>
      </c>
      <c r="D629" s="24">
        <f>IF(A629&gt;=$E$2,IF(A629&lt;$E$2+$H$2,$P$2,0),IF(B629&lt;Dashboard!$I$6,0,IF(A629&gt;=$F$2,Dashboard!$C$23*POWER(1+$C$2,A629-$F$2),Dashboard!$C$23)))</f>
        <v>0</v>
      </c>
      <c r="E629" s="24">
        <f>IF(A629&gt;=$F$2,0,IF(A629=0,Dashboard!$G$10,IF(B629&lt;Dashboard!$I$6,IF($J$2&lt;=Dashboard!$H$10,Dashboard!$H$10,MAX(Dashboard!$H$10,MIN($J$2,Dashboard!$H$10*POWER($J$2/Dashboard!$H$10,A629/$D$2)))),$I$2-D629-Dashboard!$I$10-Dashboard!$J$10-Dashboard!$F$10*$I$2)))</f>
        <v>0</v>
      </c>
      <c r="F629" s="24">
        <f t="shared" si="100"/>
        <v>10377.716080540158</v>
      </c>
      <c r="G629" s="24">
        <f t="shared" si="101"/>
        <v>14004.046688688082</v>
      </c>
      <c r="H629" s="24">
        <f t="shared" si="102"/>
        <v>0</v>
      </c>
      <c r="I629" s="24">
        <f t="shared" si="103"/>
        <v>-14004.046688688082</v>
      </c>
      <c r="J629" s="25">
        <f t="shared" si="104"/>
        <v>7.9741404289037643E-3</v>
      </c>
      <c r="K629" s="24">
        <f t="shared" si="109"/>
        <v>24042719.687529996</v>
      </c>
      <c r="L629" s="24">
        <f t="shared" si="105"/>
        <v>24042719.687529996</v>
      </c>
      <c r="M629" s="24">
        <f t="shared" si="106"/>
        <v>0</v>
      </c>
      <c r="N629" s="24">
        <f>IF(M629&lt;=0,0,IF($E$2-A629&lt;12,(M629-E629)*Dashboard!$B$18,IF($Q$2+A629&gt;=$R$2,MAX(0,M629-E629*POWER(1+$C$2,$E$2-A629))*MAX(Dashboard!$C$18,Dashboard!$B$18),IF($S$2&lt;$R$2,(M629-E629)*0.5*Dashboard!$B$18,(E629*POWER(1+$A$2,$R$2-($Q$2+A629))-E629)*0.5*Dashboard!$B$18+MAX(0,M629-E629*POWER(1+$A$2,$R$2-($Q$2+A629))*POWER(1+$C$2,$S$2-$R$2))*MAX(Dashboard!$C$18,Dashboard!$B$18)))))</f>
        <v>0</v>
      </c>
    </row>
    <row r="630" spans="1:14" x14ac:dyDescent="0.2">
      <c r="A630" s="22">
        <f t="shared" si="107"/>
        <v>625</v>
      </c>
      <c r="B630" s="23">
        <f t="shared" si="108"/>
        <v>70.138127853881642</v>
      </c>
      <c r="C630" t="str">
        <f t="shared" si="99"/>
        <v>70 y 1.66 m</v>
      </c>
      <c r="D630" s="24">
        <f>IF(A630&gt;=$E$2,IF(A630&lt;$E$2+$H$2,$P$2,0),IF(B630&lt;Dashboard!$I$6,0,IF(A630&gt;=$F$2,Dashboard!$C$23*POWER(1+$C$2,A630-$F$2),Dashboard!$C$23)))</f>
        <v>0</v>
      </c>
      <c r="E630" s="24">
        <f>IF(A630&gt;=$F$2,0,IF(A630=0,Dashboard!$G$10,IF(B630&lt;Dashboard!$I$6,IF($J$2&lt;=Dashboard!$H$10,Dashboard!$H$10,MAX(Dashboard!$H$10,MIN($J$2,Dashboard!$H$10*POWER($J$2/Dashboard!$H$10,A630/$D$2)))),$I$2-D630-Dashboard!$I$10-Dashboard!$J$10-Dashboard!$F$10*$I$2)))</f>
        <v>0</v>
      </c>
      <c r="F630" s="24">
        <f t="shared" si="100"/>
        <v>10399.092476520986</v>
      </c>
      <c r="G630" s="24">
        <f t="shared" si="101"/>
        <v>14037.977475959235</v>
      </c>
      <c r="H630" s="24">
        <f t="shared" si="102"/>
        <v>0</v>
      </c>
      <c r="I630" s="24">
        <f t="shared" si="103"/>
        <v>-14037.977475959235</v>
      </c>
      <c r="J630" s="25">
        <f t="shared" si="104"/>
        <v>7.9741404289037643E-3</v>
      </c>
      <c r="K630" s="24">
        <f t="shared" si="109"/>
        <v>24220289.792331439</v>
      </c>
      <c r="L630" s="24">
        <f t="shared" si="105"/>
        <v>24220289.792331439</v>
      </c>
      <c r="M630" s="24">
        <f t="shared" si="106"/>
        <v>0</v>
      </c>
      <c r="N630" s="24">
        <f>IF(M630&lt;=0,0,IF($E$2-A630&lt;12,(M630-E630)*Dashboard!$B$18,IF($Q$2+A630&gt;=$R$2,MAX(0,M630-E630*POWER(1+$C$2,$E$2-A630))*MAX(Dashboard!$C$18,Dashboard!$B$18),IF($S$2&lt;$R$2,(M630-E630)*0.5*Dashboard!$B$18,(E630*POWER(1+$A$2,$R$2-($Q$2+A630))-E630)*0.5*Dashboard!$B$18+MAX(0,M630-E630*POWER(1+$A$2,$R$2-($Q$2+A630))*POWER(1+$C$2,$S$2-$R$2))*MAX(Dashboard!$C$18,Dashboard!$B$18)))))</f>
        <v>0</v>
      </c>
    </row>
    <row r="631" spans="1:14" x14ac:dyDescent="0.2">
      <c r="A631" s="22">
        <f t="shared" si="107"/>
        <v>626</v>
      </c>
      <c r="B631" s="23">
        <f t="shared" si="108"/>
        <v>70.22146118721497</v>
      </c>
      <c r="C631" t="str">
        <f t="shared" si="99"/>
        <v>70 y 2.66 m</v>
      </c>
      <c r="D631" s="24">
        <f>IF(A631&gt;=$E$2,IF(A631&lt;$E$2+$H$2,$P$2,0),IF(B631&lt;Dashboard!$I$6,0,IF(A631&gt;=$F$2,Dashboard!$C$23*POWER(1+$C$2,A631-$F$2),Dashboard!$C$23)))</f>
        <v>0</v>
      </c>
      <c r="E631" s="24">
        <f>IF(A631&gt;=$F$2,0,IF(A631=0,Dashboard!$G$10,IF(B631&lt;Dashboard!$I$6,IF($J$2&lt;=Dashboard!$H$10,Dashboard!$H$10,MAX(Dashboard!$H$10,MIN($J$2,Dashboard!$H$10*POWER($J$2/Dashboard!$H$10,A631/$D$2)))),$I$2-D631-Dashboard!$I$10-Dashboard!$J$10-Dashboard!$F$10*$I$2)))</f>
        <v>0</v>
      </c>
      <c r="F631" s="24">
        <f t="shared" si="100"/>
        <v>10420.512904377571</v>
      </c>
      <c r="G631" s="24">
        <f t="shared" si="101"/>
        <v>14071.978155096673</v>
      </c>
      <c r="H631" s="24">
        <f t="shared" si="102"/>
        <v>0</v>
      </c>
      <c r="I631" s="24">
        <f t="shared" si="103"/>
        <v>-14071.978155096673</v>
      </c>
      <c r="J631" s="25">
        <f t="shared" si="104"/>
        <v>7.9741404289037643E-3</v>
      </c>
      <c r="K631" s="24">
        <f t="shared" si="109"/>
        <v>24399241.594279218</v>
      </c>
      <c r="L631" s="24">
        <f t="shared" si="105"/>
        <v>24399241.594279218</v>
      </c>
      <c r="M631" s="24">
        <f t="shared" si="106"/>
        <v>0</v>
      </c>
      <c r="N631" s="24">
        <f>IF(M631&lt;=0,0,IF($E$2-A631&lt;12,(M631-E631)*Dashboard!$B$18,IF($Q$2+A631&gt;=$R$2,MAX(0,M631-E631*POWER(1+$C$2,$E$2-A631))*MAX(Dashboard!$C$18,Dashboard!$B$18),IF($S$2&lt;$R$2,(M631-E631)*0.5*Dashboard!$B$18,(E631*POWER(1+$A$2,$R$2-($Q$2+A631))-E631)*0.5*Dashboard!$B$18+MAX(0,M631-E631*POWER(1+$A$2,$R$2-($Q$2+A631))*POWER(1+$C$2,$S$2-$R$2))*MAX(Dashboard!$C$18,Dashboard!$B$18)))))</f>
        <v>0</v>
      </c>
    </row>
    <row r="632" spans="1:14" x14ac:dyDescent="0.2">
      <c r="A632" s="22">
        <f t="shared" si="107"/>
        <v>627</v>
      </c>
      <c r="B632" s="23">
        <f t="shared" si="108"/>
        <v>70.304794520548299</v>
      </c>
      <c r="C632" t="str">
        <f t="shared" si="99"/>
        <v>70 y 3.66 m</v>
      </c>
      <c r="D632" s="24">
        <f>IF(A632&gt;=$E$2,IF(A632&lt;$E$2+$H$2,$P$2,0),IF(B632&lt;Dashboard!$I$6,0,IF(A632&gt;=$F$2,Dashboard!$C$23*POWER(1+$C$2,A632-$F$2),Dashboard!$C$23)))</f>
        <v>0</v>
      </c>
      <c r="E632" s="24">
        <f>IF(A632&gt;=$F$2,0,IF(A632=0,Dashboard!$G$10,IF(B632&lt;Dashboard!$I$6,IF($J$2&lt;=Dashboard!$H$10,Dashboard!$H$10,MAX(Dashboard!$H$10,MIN($J$2,Dashboard!$H$10*POWER($J$2/Dashboard!$H$10,A632/$D$2)))),$I$2-D632-Dashboard!$I$10-Dashboard!$J$10-Dashboard!$F$10*$I$2)))</f>
        <v>0</v>
      </c>
      <c r="F632" s="24">
        <f t="shared" si="100"/>
        <v>10441.977454808375</v>
      </c>
      <c r="G632" s="24">
        <f t="shared" si="101"/>
        <v>14106.048870066204</v>
      </c>
      <c r="H632" s="24">
        <f t="shared" si="102"/>
        <v>0</v>
      </c>
      <c r="I632" s="24">
        <f t="shared" si="103"/>
        <v>-14106.048870066204</v>
      </c>
      <c r="J632" s="25">
        <f t="shared" si="104"/>
        <v>7.9741404289037643E-3</v>
      </c>
      <c r="K632" s="24">
        <f t="shared" si="109"/>
        <v>24579586.040626097</v>
      </c>
      <c r="L632" s="24">
        <f t="shared" si="105"/>
        <v>24579586.040626097</v>
      </c>
      <c r="M632" s="24">
        <f t="shared" si="106"/>
        <v>0</v>
      </c>
      <c r="N632" s="24">
        <f>IF(M632&lt;=0,0,IF($E$2-A632&lt;12,(M632-E632)*Dashboard!$B$18,IF($Q$2+A632&gt;=$R$2,MAX(0,M632-E632*POWER(1+$C$2,$E$2-A632))*MAX(Dashboard!$C$18,Dashboard!$B$18),IF($S$2&lt;$R$2,(M632-E632)*0.5*Dashboard!$B$18,(E632*POWER(1+$A$2,$R$2-($Q$2+A632))-E632)*0.5*Dashboard!$B$18+MAX(0,M632-E632*POWER(1+$A$2,$R$2-($Q$2+A632))*POWER(1+$C$2,$S$2-$R$2))*MAX(Dashboard!$C$18,Dashboard!$B$18)))))</f>
        <v>0</v>
      </c>
    </row>
    <row r="633" spans="1:14" x14ac:dyDescent="0.2">
      <c r="A633" s="22">
        <f t="shared" si="107"/>
        <v>628</v>
      </c>
      <c r="B633" s="23">
        <f t="shared" si="108"/>
        <v>70.388127853881628</v>
      </c>
      <c r="C633" t="str">
        <f t="shared" si="99"/>
        <v>70 y 4.66 m</v>
      </c>
      <c r="D633" s="24">
        <f>IF(A633&gt;=$E$2,IF(A633&lt;$E$2+$H$2,$P$2,0),IF(B633&lt;Dashboard!$I$6,0,IF(A633&gt;=$F$2,Dashboard!$C$23*POWER(1+$C$2,A633-$F$2),Dashboard!$C$23)))</f>
        <v>0</v>
      </c>
      <c r="E633" s="24">
        <f>IF(A633&gt;=$F$2,0,IF(A633=0,Dashboard!$G$10,IF(B633&lt;Dashboard!$I$6,IF($J$2&lt;=Dashboard!$H$10,Dashboard!$H$10,MAX(Dashboard!$H$10,MIN($J$2,Dashboard!$H$10*POWER($J$2/Dashboard!$H$10,A633/$D$2)))),$I$2-D633-Dashboard!$I$10-Dashboard!$J$10-Dashboard!$F$10*$I$2)))</f>
        <v>0</v>
      </c>
      <c r="F633" s="24">
        <f t="shared" si="100"/>
        <v>10463.486218698667</v>
      </c>
      <c r="G633" s="24">
        <f t="shared" si="101"/>
        <v>14140.189765130161</v>
      </c>
      <c r="H633" s="24">
        <f t="shared" si="102"/>
        <v>0</v>
      </c>
      <c r="I633" s="24">
        <f t="shared" si="103"/>
        <v>-14140.189765130161</v>
      </c>
      <c r="J633" s="25">
        <f t="shared" si="104"/>
        <v>7.9741404289037643E-3</v>
      </c>
      <c r="K633" s="24">
        <f t="shared" si="109"/>
        <v>24761334.165774364</v>
      </c>
      <c r="L633" s="24">
        <f t="shared" si="105"/>
        <v>24761334.165774364</v>
      </c>
      <c r="M633" s="24">
        <f t="shared" si="106"/>
        <v>0</v>
      </c>
      <c r="N633" s="24">
        <f>IF(M633&lt;=0,0,IF($E$2-A633&lt;12,(M633-E633)*Dashboard!$B$18,IF($Q$2+A633&gt;=$R$2,MAX(0,M633-E633*POWER(1+$C$2,$E$2-A633))*MAX(Dashboard!$C$18,Dashboard!$B$18),IF($S$2&lt;$R$2,(M633-E633)*0.5*Dashboard!$B$18,(E633*POWER(1+$A$2,$R$2-($Q$2+A633))-E633)*0.5*Dashboard!$B$18+MAX(0,M633-E633*POWER(1+$A$2,$R$2-($Q$2+A633))*POWER(1+$C$2,$S$2-$R$2))*MAX(Dashboard!$C$18,Dashboard!$B$18)))))</f>
        <v>0</v>
      </c>
    </row>
    <row r="634" spans="1:14" x14ac:dyDescent="0.2">
      <c r="A634" s="22">
        <f t="shared" si="107"/>
        <v>629</v>
      </c>
      <c r="B634" s="23">
        <f t="shared" si="108"/>
        <v>70.471461187214956</v>
      </c>
      <c r="C634" t="str">
        <f t="shared" si="99"/>
        <v>70 y 5.66 m</v>
      </c>
      <c r="D634" s="24">
        <f>IF(A634&gt;=$E$2,IF(A634&lt;$E$2+$H$2,$P$2,0),IF(B634&lt;Dashboard!$I$6,0,IF(A634&gt;=$F$2,Dashboard!$C$23*POWER(1+$C$2,A634-$F$2),Dashboard!$C$23)))</f>
        <v>0</v>
      </c>
      <c r="E634" s="24">
        <f>IF(A634&gt;=$F$2,0,IF(A634=0,Dashboard!$G$10,IF(B634&lt;Dashboard!$I$6,IF($J$2&lt;=Dashboard!$H$10,Dashboard!$H$10,MAX(Dashboard!$H$10,MIN($J$2,Dashboard!$H$10*POWER($J$2/Dashboard!$H$10,A634/$D$2)))),$I$2-D634-Dashboard!$I$10-Dashboard!$J$10-Dashboard!$F$10*$I$2)))</f>
        <v>0</v>
      </c>
      <c r="F634" s="24">
        <f t="shared" si="100"/>
        <v>10485.039287120942</v>
      </c>
      <c r="G634" s="24">
        <f t="shared" si="101"/>
        <v>14174.400984848058</v>
      </c>
      <c r="H634" s="24">
        <f t="shared" si="102"/>
        <v>0</v>
      </c>
      <c r="I634" s="24">
        <f t="shared" si="103"/>
        <v>-14174.400984848058</v>
      </c>
      <c r="J634" s="25">
        <f t="shared" si="104"/>
        <v>7.9741404289037643E-3</v>
      </c>
      <c r="K634" s="24">
        <f t="shared" si="109"/>
        <v>24944497.091970462</v>
      </c>
      <c r="L634" s="24">
        <f t="shared" si="105"/>
        <v>24944497.091970462</v>
      </c>
      <c r="M634" s="24">
        <f t="shared" si="106"/>
        <v>0</v>
      </c>
      <c r="N634" s="24">
        <f>IF(M634&lt;=0,0,IF($E$2-A634&lt;12,(M634-E634)*Dashboard!$B$18,IF($Q$2+A634&gt;=$R$2,MAX(0,M634-E634*POWER(1+$C$2,$E$2-A634))*MAX(Dashboard!$C$18,Dashboard!$B$18),IF($S$2&lt;$R$2,(M634-E634)*0.5*Dashboard!$B$18,(E634*POWER(1+$A$2,$R$2-($Q$2+A634))-E634)*0.5*Dashboard!$B$18+MAX(0,M634-E634*POWER(1+$A$2,$R$2-($Q$2+A634))*POWER(1+$C$2,$S$2-$R$2))*MAX(Dashboard!$C$18,Dashboard!$B$18)))))</f>
        <v>0</v>
      </c>
    </row>
    <row r="635" spans="1:14" x14ac:dyDescent="0.2">
      <c r="A635" s="22">
        <f t="shared" si="107"/>
        <v>630</v>
      </c>
      <c r="B635" s="23">
        <f t="shared" si="108"/>
        <v>70.554794520548285</v>
      </c>
      <c r="C635" t="str">
        <f t="shared" si="99"/>
        <v>70 y 6.66 m</v>
      </c>
      <c r="D635" s="24">
        <f>IF(A635&gt;=$E$2,IF(A635&lt;$E$2+$H$2,$P$2,0),IF(B635&lt;Dashboard!$I$6,0,IF(A635&gt;=$F$2,Dashboard!$C$23*POWER(1+$C$2,A635-$F$2),Dashboard!$C$23)))</f>
        <v>0</v>
      </c>
      <c r="E635" s="24">
        <f>IF(A635&gt;=$F$2,0,IF(A635=0,Dashboard!$G$10,IF(B635&lt;Dashboard!$I$6,IF($J$2&lt;=Dashboard!$H$10,Dashboard!$H$10,MAX(Dashboard!$H$10,MIN($J$2,Dashboard!$H$10*POWER($J$2/Dashboard!$H$10,A635/$D$2)))),$I$2-D635-Dashboard!$I$10-Dashboard!$J$10-Dashboard!$F$10*$I$2)))</f>
        <v>0</v>
      </c>
      <c r="F635" s="24">
        <f t="shared" si="100"/>
        <v>10506.636751335282</v>
      </c>
      <c r="G635" s="24">
        <f t="shared" si="101"/>
        <v>14208.682674077167</v>
      </c>
      <c r="H635" s="24">
        <f t="shared" si="102"/>
        <v>0</v>
      </c>
      <c r="I635" s="24">
        <f t="shared" si="103"/>
        <v>-14208.682674077167</v>
      </c>
      <c r="J635" s="25">
        <f t="shared" si="104"/>
        <v>7.9741404289037643E-3</v>
      </c>
      <c r="K635" s="24">
        <f t="shared" si="109"/>
        <v>25129086.030005187</v>
      </c>
      <c r="L635" s="24">
        <f t="shared" si="105"/>
        <v>25129086.030005187</v>
      </c>
      <c r="M635" s="24">
        <f t="shared" si="106"/>
        <v>0</v>
      </c>
      <c r="N635" s="24">
        <f>IF(M635&lt;=0,0,IF($E$2-A635&lt;12,(M635-E635)*Dashboard!$B$18,IF($Q$2+A635&gt;=$R$2,MAX(0,M635-E635*POWER(1+$C$2,$E$2-A635))*MAX(Dashboard!$C$18,Dashboard!$B$18),IF($S$2&lt;$R$2,(M635-E635)*0.5*Dashboard!$B$18,(E635*POWER(1+$A$2,$R$2-($Q$2+A635))-E635)*0.5*Dashboard!$B$18+MAX(0,M635-E635*POWER(1+$A$2,$R$2-($Q$2+A635))*POWER(1+$C$2,$S$2-$R$2))*MAX(Dashboard!$C$18,Dashboard!$B$18)))))</f>
        <v>0</v>
      </c>
    </row>
    <row r="636" spans="1:14" x14ac:dyDescent="0.2">
      <c r="A636" s="22">
        <f t="shared" si="107"/>
        <v>631</v>
      </c>
      <c r="B636" s="23">
        <f t="shared" si="108"/>
        <v>70.638127853881613</v>
      </c>
      <c r="C636" t="str">
        <f t="shared" si="99"/>
        <v>70 y 7.66 m</v>
      </c>
      <c r="D636" s="24">
        <f>IF(A636&gt;=$E$2,IF(A636&lt;$E$2+$H$2,$P$2,0),IF(B636&lt;Dashboard!$I$6,0,IF(A636&gt;=$F$2,Dashboard!$C$23*POWER(1+$C$2,A636-$F$2),Dashboard!$C$23)))</f>
        <v>0</v>
      </c>
      <c r="E636" s="24">
        <f>IF(A636&gt;=$F$2,0,IF(A636=0,Dashboard!$G$10,IF(B636&lt;Dashboard!$I$6,IF($J$2&lt;=Dashboard!$H$10,Dashboard!$H$10,MAX(Dashboard!$H$10,MIN($J$2,Dashboard!$H$10*POWER($J$2/Dashboard!$H$10,A636/$D$2)))),$I$2-D636-Dashboard!$I$10-Dashboard!$J$10-Dashboard!$F$10*$I$2)))</f>
        <v>0</v>
      </c>
      <c r="F636" s="24">
        <f t="shared" si="100"/>
        <v>10528.278702789745</v>
      </c>
      <c r="G636" s="24">
        <f t="shared" si="101"/>
        <v>14243.03497797314</v>
      </c>
      <c r="H636" s="24">
        <f t="shared" si="102"/>
        <v>0</v>
      </c>
      <c r="I636" s="24">
        <f t="shared" si="103"/>
        <v>-14243.03497797314</v>
      </c>
      <c r="J636" s="25">
        <f t="shared" si="104"/>
        <v>7.9741404289037643E-3</v>
      </c>
      <c r="K636" s="24">
        <f t="shared" si="109"/>
        <v>25315112.279919431</v>
      </c>
      <c r="L636" s="24">
        <f t="shared" si="105"/>
        <v>25315112.279919431</v>
      </c>
      <c r="M636" s="24">
        <f t="shared" si="106"/>
        <v>0</v>
      </c>
      <c r="N636" s="24">
        <f>IF(M636&lt;=0,0,IF($E$2-A636&lt;12,(M636-E636)*Dashboard!$B$18,IF($Q$2+A636&gt;=$R$2,MAX(0,M636-E636*POWER(1+$C$2,$E$2-A636))*MAX(Dashboard!$C$18,Dashboard!$B$18),IF($S$2&lt;$R$2,(M636-E636)*0.5*Dashboard!$B$18,(E636*POWER(1+$A$2,$R$2-($Q$2+A636))-E636)*0.5*Dashboard!$B$18+MAX(0,M636-E636*POWER(1+$A$2,$R$2-($Q$2+A636))*POWER(1+$C$2,$S$2-$R$2))*MAX(Dashboard!$C$18,Dashboard!$B$18)))))</f>
        <v>0</v>
      </c>
    </row>
    <row r="637" spans="1:14" x14ac:dyDescent="0.2">
      <c r="A637" s="22">
        <f t="shared" si="107"/>
        <v>632</v>
      </c>
      <c r="B637" s="23">
        <f t="shared" si="108"/>
        <v>70.721461187214942</v>
      </c>
      <c r="C637" t="str">
        <f t="shared" si="99"/>
        <v>70 y 8.66 m</v>
      </c>
      <c r="D637" s="24">
        <f>IF(A637&gt;=$E$2,IF(A637&lt;$E$2+$H$2,$P$2,0),IF(B637&lt;Dashboard!$I$6,0,IF(A637&gt;=$F$2,Dashboard!$C$23*POWER(1+$C$2,A637-$F$2),Dashboard!$C$23)))</f>
        <v>0</v>
      </c>
      <c r="E637" s="24">
        <f>IF(A637&gt;=$F$2,0,IF(A637=0,Dashboard!$G$10,IF(B637&lt;Dashboard!$I$6,IF($J$2&lt;=Dashboard!$H$10,Dashboard!$H$10,MAX(Dashboard!$H$10,MIN($J$2,Dashboard!$H$10*POWER($J$2/Dashboard!$H$10,A637/$D$2)))),$I$2-D637-Dashboard!$I$10-Dashboard!$J$10-Dashboard!$F$10*$I$2)))</f>
        <v>0</v>
      </c>
      <c r="F637" s="24">
        <f t="shared" si="100"/>
        <v>10549.965233120764</v>
      </c>
      <c r="G637" s="24">
        <f t="shared" si="101"/>
        <v>14277.458041990632</v>
      </c>
      <c r="H637" s="24">
        <f t="shared" si="102"/>
        <v>0</v>
      </c>
      <c r="I637" s="24">
        <f t="shared" si="103"/>
        <v>-14277.458041990632</v>
      </c>
      <c r="J637" s="25">
        <f t="shared" si="104"/>
        <v>7.9741404289037643E-3</v>
      </c>
      <c r="K637" s="24">
        <f t="shared" si="109"/>
        <v>25502587.231715586</v>
      </c>
      <c r="L637" s="24">
        <f t="shared" si="105"/>
        <v>25502587.231715586</v>
      </c>
      <c r="M637" s="24">
        <f t="shared" si="106"/>
        <v>0</v>
      </c>
      <c r="N637" s="24">
        <f>IF(M637&lt;=0,0,IF($E$2-A637&lt;12,(M637-E637)*Dashboard!$B$18,IF($Q$2+A637&gt;=$R$2,MAX(0,M637-E637*POWER(1+$C$2,$E$2-A637))*MAX(Dashboard!$C$18,Dashboard!$B$18),IF($S$2&lt;$R$2,(M637-E637)*0.5*Dashboard!$B$18,(E637*POWER(1+$A$2,$R$2-($Q$2+A637))-E637)*0.5*Dashboard!$B$18+MAX(0,M637-E637*POWER(1+$A$2,$R$2-($Q$2+A637))*POWER(1+$C$2,$S$2-$R$2))*MAX(Dashboard!$C$18,Dashboard!$B$18)))))</f>
        <v>0</v>
      </c>
    </row>
    <row r="638" spans="1:14" x14ac:dyDescent="0.2">
      <c r="A638" s="22">
        <f t="shared" si="107"/>
        <v>633</v>
      </c>
      <c r="B638" s="23">
        <f t="shared" si="108"/>
        <v>70.80479452054827</v>
      </c>
      <c r="C638" t="str">
        <f t="shared" si="99"/>
        <v>70 y 9.66 m</v>
      </c>
      <c r="D638" s="24">
        <f>IF(A638&gt;=$E$2,IF(A638&lt;$E$2+$H$2,$P$2,0),IF(B638&lt;Dashboard!$I$6,0,IF(A638&gt;=$F$2,Dashboard!$C$23*POWER(1+$C$2,A638-$F$2),Dashboard!$C$23)))</f>
        <v>0</v>
      </c>
      <c r="E638" s="24">
        <f>IF(A638&gt;=$F$2,0,IF(A638=0,Dashboard!$G$10,IF(B638&lt;Dashboard!$I$6,IF($J$2&lt;=Dashboard!$H$10,Dashboard!$H$10,MAX(Dashboard!$H$10,MIN($J$2,Dashboard!$H$10*POWER($J$2/Dashboard!$H$10,A638/$D$2)))),$I$2-D638-Dashboard!$I$10-Dashboard!$J$10-Dashboard!$F$10*$I$2)))</f>
        <v>0</v>
      </c>
      <c r="F638" s="24">
        <f t="shared" si="100"/>
        <v>10571.696434153524</v>
      </c>
      <c r="G638" s="24">
        <f t="shared" si="101"/>
        <v>14311.952011883899</v>
      </c>
      <c r="H638" s="24">
        <f t="shared" si="102"/>
        <v>0</v>
      </c>
      <c r="I638" s="24">
        <f t="shared" si="103"/>
        <v>-14311.952011883899</v>
      </c>
      <c r="J638" s="25">
        <f t="shared" si="104"/>
        <v>7.9741404289037643E-3</v>
      </c>
      <c r="K638" s="24">
        <f t="shared" si="109"/>
        <v>25691522.366074618</v>
      </c>
      <c r="L638" s="24">
        <f t="shared" si="105"/>
        <v>25691522.366074618</v>
      </c>
      <c r="M638" s="24">
        <f t="shared" si="106"/>
        <v>0</v>
      </c>
      <c r="N638" s="24">
        <f>IF(M638&lt;=0,0,IF($E$2-A638&lt;12,(M638-E638)*Dashboard!$B$18,IF($Q$2+A638&gt;=$R$2,MAX(0,M638-E638*POWER(1+$C$2,$E$2-A638))*MAX(Dashboard!$C$18,Dashboard!$B$18),IF($S$2&lt;$R$2,(M638-E638)*0.5*Dashboard!$B$18,(E638*POWER(1+$A$2,$R$2-($Q$2+A638))-E638)*0.5*Dashboard!$B$18+MAX(0,M638-E638*POWER(1+$A$2,$R$2-($Q$2+A638))*POWER(1+$C$2,$S$2-$R$2))*MAX(Dashboard!$C$18,Dashboard!$B$18)))))</f>
        <v>0</v>
      </c>
    </row>
    <row r="639" spans="1:14" x14ac:dyDescent="0.2">
      <c r="A639" s="22">
        <f t="shared" si="107"/>
        <v>634</v>
      </c>
      <c r="B639" s="23">
        <f t="shared" si="108"/>
        <v>70.888127853881599</v>
      </c>
      <c r="C639" t="str">
        <f t="shared" si="99"/>
        <v>70 y 10.66 m</v>
      </c>
      <c r="D639" s="24">
        <f>IF(A639&gt;=$E$2,IF(A639&lt;$E$2+$H$2,$P$2,0),IF(B639&lt;Dashboard!$I$6,0,IF(A639&gt;=$F$2,Dashboard!$C$23*POWER(1+$C$2,A639-$F$2),Dashboard!$C$23)))</f>
        <v>0</v>
      </c>
      <c r="E639" s="24">
        <f>IF(A639&gt;=$F$2,0,IF(A639=0,Dashboard!$G$10,IF(B639&lt;Dashboard!$I$6,IF($J$2&lt;=Dashboard!$H$10,Dashboard!$H$10,MAX(Dashboard!$H$10,MIN($J$2,Dashboard!$H$10*POWER($J$2/Dashboard!$H$10,A639/$D$2)))),$I$2-D639-Dashboard!$I$10-Dashboard!$J$10-Dashboard!$F$10*$I$2)))</f>
        <v>0</v>
      </c>
      <c r="F639" s="24">
        <f t="shared" si="100"/>
        <v>10593.472397902362</v>
      </c>
      <c r="G639" s="24">
        <f t="shared" si="101"/>
        <v>14346.517033707452</v>
      </c>
      <c r="H639" s="24">
        <f t="shared" si="102"/>
        <v>0</v>
      </c>
      <c r="I639" s="24">
        <f t="shared" si="103"/>
        <v>-14346.517033707452</v>
      </c>
      <c r="J639" s="25">
        <f t="shared" si="104"/>
        <v>7.9741404289037643E-3</v>
      </c>
      <c r="K639" s="24">
        <f t="shared" si="109"/>
        <v>25881929.255078819</v>
      </c>
      <c r="L639" s="24">
        <f t="shared" si="105"/>
        <v>25881929.255078819</v>
      </c>
      <c r="M639" s="24">
        <f t="shared" si="106"/>
        <v>0</v>
      </c>
      <c r="N639" s="24">
        <f>IF(M639&lt;=0,0,IF($E$2-A639&lt;12,(M639-E639)*Dashboard!$B$18,IF($Q$2+A639&gt;=$R$2,MAX(0,M639-E639*POWER(1+$C$2,$E$2-A639))*MAX(Dashboard!$C$18,Dashboard!$B$18),IF($S$2&lt;$R$2,(M639-E639)*0.5*Dashboard!$B$18,(E639*POWER(1+$A$2,$R$2-($Q$2+A639))-E639)*0.5*Dashboard!$B$18+MAX(0,M639-E639*POWER(1+$A$2,$R$2-($Q$2+A639))*POWER(1+$C$2,$S$2-$R$2))*MAX(Dashboard!$C$18,Dashboard!$B$18)))))</f>
        <v>0</v>
      </c>
    </row>
    <row r="640" spans="1:14" x14ac:dyDescent="0.2">
      <c r="A640" s="22">
        <f t="shared" si="107"/>
        <v>635</v>
      </c>
      <c r="B640" s="23">
        <f t="shared" si="108"/>
        <v>70.971461187214928</v>
      </c>
      <c r="C640" t="str">
        <f t="shared" si="99"/>
        <v>70 y 11.66 m</v>
      </c>
      <c r="D640" s="24">
        <f>IF(A640&gt;=$E$2,IF(A640&lt;$E$2+$H$2,$P$2,0),IF(B640&lt;Dashboard!$I$6,0,IF(A640&gt;=$F$2,Dashboard!$C$23*POWER(1+$C$2,A640-$F$2),Dashboard!$C$23)))</f>
        <v>0</v>
      </c>
      <c r="E640" s="24">
        <f>IF(A640&gt;=$F$2,0,IF(A640=0,Dashboard!$G$10,IF(B640&lt;Dashboard!$I$6,IF($J$2&lt;=Dashboard!$H$10,Dashboard!$H$10,MAX(Dashboard!$H$10,MIN($J$2,Dashboard!$H$10*POWER($J$2/Dashboard!$H$10,A640/$D$2)))),$I$2-D640-Dashboard!$I$10-Dashboard!$J$10-Dashboard!$F$10*$I$2)))</f>
        <v>0</v>
      </c>
      <c r="F640" s="24">
        <f t="shared" si="100"/>
        <v>10615.293216571141</v>
      </c>
      <c r="G640" s="24">
        <f t="shared" si="101"/>
        <v>14381.153253816627</v>
      </c>
      <c r="H640" s="24">
        <f t="shared" si="102"/>
        <v>0</v>
      </c>
      <c r="I640" s="24">
        <f t="shared" si="103"/>
        <v>-14381.153253816627</v>
      </c>
      <c r="J640" s="25">
        <f t="shared" si="104"/>
        <v>7.9741404289037643E-3</v>
      </c>
      <c r="K640" s="24">
        <f t="shared" si="109"/>
        <v>26073819.562940378</v>
      </c>
      <c r="L640" s="24">
        <f t="shared" si="105"/>
        <v>26073819.562940378</v>
      </c>
      <c r="M640" s="24">
        <f t="shared" si="106"/>
        <v>0</v>
      </c>
      <c r="N640" s="24">
        <f>IF(M640&lt;=0,0,IF($E$2-A640&lt;12,(M640-E640)*Dashboard!$B$18,IF($Q$2+A640&gt;=$R$2,MAX(0,M640-E640*POWER(1+$C$2,$E$2-A640))*MAX(Dashboard!$C$18,Dashboard!$B$18),IF($S$2&lt;$R$2,(M640-E640)*0.5*Dashboard!$B$18,(E640*POWER(1+$A$2,$R$2-($Q$2+A640))-E640)*0.5*Dashboard!$B$18+MAX(0,M640-E640*POWER(1+$A$2,$R$2-($Q$2+A640))*POWER(1+$C$2,$S$2-$R$2))*MAX(Dashboard!$C$18,Dashboard!$B$18)))))</f>
        <v>0</v>
      </c>
    </row>
    <row r="641" spans="1:14" x14ac:dyDescent="0.2">
      <c r="A641" s="22">
        <f t="shared" si="107"/>
        <v>636</v>
      </c>
      <c r="B641" s="23">
        <f t="shared" si="108"/>
        <v>71.054794520548256</v>
      </c>
      <c r="C641" t="str">
        <f t="shared" si="99"/>
        <v>71 y 0.66 m</v>
      </c>
      <c r="D641" s="24">
        <f>IF(A641&gt;=$E$2,IF(A641&lt;$E$2+$H$2,$P$2,0),IF(B641&lt;Dashboard!$I$6,0,IF(A641&gt;=$F$2,Dashboard!$C$23*POWER(1+$C$2,A641-$F$2),Dashboard!$C$23)))</f>
        <v>0</v>
      </c>
      <c r="E641" s="24">
        <f>IF(A641&gt;=$F$2,0,IF(A641=0,Dashboard!$G$10,IF(B641&lt;Dashboard!$I$6,IF($J$2&lt;=Dashboard!$H$10,Dashboard!$H$10,MAX(Dashboard!$H$10,MIN($J$2,Dashboard!$H$10*POWER($J$2/Dashboard!$H$10,A641/$D$2)))),$I$2-D641-Dashboard!$I$10-Dashboard!$J$10-Dashboard!$F$10*$I$2)))</f>
        <v>0</v>
      </c>
      <c r="F641" s="24">
        <f t="shared" si="100"/>
        <v>10637.158982553647</v>
      </c>
      <c r="G641" s="24">
        <f t="shared" si="101"/>
        <v>14415.860818868221</v>
      </c>
      <c r="H641" s="24">
        <f t="shared" si="102"/>
        <v>0</v>
      </c>
      <c r="I641" s="24">
        <f t="shared" si="103"/>
        <v>-14415.860818868221</v>
      </c>
      <c r="J641" s="25">
        <f t="shared" si="104"/>
        <v>7.9741404289037643E-3</v>
      </c>
      <c r="K641" s="24">
        <f t="shared" si="109"/>
        <v>26267205.046735723</v>
      </c>
      <c r="L641" s="24">
        <f t="shared" si="105"/>
        <v>26267205.046735723</v>
      </c>
      <c r="M641" s="24">
        <f t="shared" si="106"/>
        <v>0</v>
      </c>
      <c r="N641" s="24">
        <f>IF(M641&lt;=0,0,IF($E$2-A641&lt;12,(M641-E641)*Dashboard!$B$18,IF($Q$2+A641&gt;=$R$2,MAX(0,M641-E641*POWER(1+$C$2,$E$2-A641))*MAX(Dashboard!$C$18,Dashboard!$B$18),IF($S$2&lt;$R$2,(M641-E641)*0.5*Dashboard!$B$18,(E641*POWER(1+$A$2,$R$2-($Q$2+A641))-E641)*0.5*Dashboard!$B$18+MAX(0,M641-E641*POWER(1+$A$2,$R$2-($Q$2+A641))*POWER(1+$C$2,$S$2-$R$2))*MAX(Dashboard!$C$18,Dashboard!$B$18)))))</f>
        <v>0</v>
      </c>
    </row>
    <row r="642" spans="1:14" x14ac:dyDescent="0.2">
      <c r="A642" s="22">
        <f t="shared" si="107"/>
        <v>637</v>
      </c>
      <c r="B642" s="23">
        <f t="shared" si="108"/>
        <v>71.138127853881585</v>
      </c>
      <c r="C642" t="str">
        <f t="shared" si="99"/>
        <v>71 y 1.66 m</v>
      </c>
      <c r="D642" s="24">
        <f>IF(A642&gt;=$E$2,IF(A642&lt;$E$2+$H$2,$P$2,0),IF(B642&lt;Dashboard!$I$6,0,IF(A642&gt;=$F$2,Dashboard!$C$23*POWER(1+$C$2,A642-$F$2),Dashboard!$C$23)))</f>
        <v>0</v>
      </c>
      <c r="E642" s="24">
        <f>IF(A642&gt;=$F$2,0,IF(A642=0,Dashboard!$G$10,IF(B642&lt;Dashboard!$I$6,IF($J$2&lt;=Dashboard!$H$10,Dashboard!$H$10,MAX(Dashboard!$H$10,MIN($J$2,Dashboard!$H$10*POWER($J$2/Dashboard!$H$10,A642/$D$2)))),$I$2-D642-Dashboard!$I$10-Dashboard!$J$10-Dashboard!$F$10*$I$2)))</f>
        <v>0</v>
      </c>
      <c r="F642" s="24">
        <f t="shared" si="100"/>
        <v>10659.069788433993</v>
      </c>
      <c r="G642" s="24">
        <f t="shared" si="101"/>
        <v>14450.639875821153</v>
      </c>
      <c r="H642" s="24">
        <f t="shared" si="102"/>
        <v>0</v>
      </c>
      <c r="I642" s="24">
        <f t="shared" si="103"/>
        <v>-14450.639875821153</v>
      </c>
      <c r="J642" s="25">
        <f t="shared" si="104"/>
        <v>7.9741404289037643E-3</v>
      </c>
      <c r="K642" s="24">
        <f t="shared" si="109"/>
        <v>26462097.557145722</v>
      </c>
      <c r="L642" s="24">
        <f t="shared" si="105"/>
        <v>26462097.557145722</v>
      </c>
      <c r="M642" s="24">
        <f t="shared" si="106"/>
        <v>0</v>
      </c>
      <c r="N642" s="24">
        <f>IF(M642&lt;=0,0,IF($E$2-A642&lt;12,(M642-E642)*Dashboard!$B$18,IF($Q$2+A642&gt;=$R$2,MAX(0,M642-E642*POWER(1+$C$2,$E$2-A642))*MAX(Dashboard!$C$18,Dashboard!$B$18),IF($S$2&lt;$R$2,(M642-E642)*0.5*Dashboard!$B$18,(E642*POWER(1+$A$2,$R$2-($Q$2+A642))-E642)*0.5*Dashboard!$B$18+MAX(0,M642-E642*POWER(1+$A$2,$R$2-($Q$2+A642))*POWER(1+$C$2,$S$2-$R$2))*MAX(Dashboard!$C$18,Dashboard!$B$18)))))</f>
        <v>0</v>
      </c>
    </row>
    <row r="643" spans="1:14" x14ac:dyDescent="0.2">
      <c r="A643" s="22">
        <f t="shared" si="107"/>
        <v>638</v>
      </c>
      <c r="B643" s="23">
        <f t="shared" si="108"/>
        <v>71.221461187214913</v>
      </c>
      <c r="C643" t="str">
        <f t="shared" si="99"/>
        <v>71 y 2.66 m</v>
      </c>
      <c r="D643" s="24">
        <f>IF(A643&gt;=$E$2,IF(A643&lt;$E$2+$H$2,$P$2,0),IF(B643&lt;Dashboard!$I$6,0,IF(A643&gt;=$F$2,Dashboard!$C$23*POWER(1+$C$2,A643-$F$2),Dashboard!$C$23)))</f>
        <v>0</v>
      </c>
      <c r="E643" s="24">
        <f>IF(A643&gt;=$F$2,0,IF(A643=0,Dashboard!$G$10,IF(B643&lt;Dashboard!$I$6,IF($J$2&lt;=Dashboard!$H$10,Dashboard!$H$10,MAX(Dashboard!$H$10,MIN($J$2,Dashboard!$H$10*POWER($J$2/Dashboard!$H$10,A643/$D$2)))),$I$2-D643-Dashboard!$I$10-Dashboard!$J$10-Dashboard!$F$10*$I$2)))</f>
        <v>0</v>
      </c>
      <c r="F643" s="24">
        <f t="shared" si="100"/>
        <v>10681.025726986998</v>
      </c>
      <c r="G643" s="24">
        <f t="shared" si="101"/>
        <v>14485.490571937034</v>
      </c>
      <c r="H643" s="24">
        <f t="shared" si="102"/>
        <v>0</v>
      </c>
      <c r="I643" s="24">
        <f t="shared" si="103"/>
        <v>-14485.490571937034</v>
      </c>
      <c r="J643" s="25">
        <f t="shared" si="104"/>
        <v>7.9741404289037643E-3</v>
      </c>
      <c r="K643" s="24">
        <f t="shared" si="109"/>
        <v>26658509.039201811</v>
      </c>
      <c r="L643" s="24">
        <f t="shared" si="105"/>
        <v>26658509.039201811</v>
      </c>
      <c r="M643" s="24">
        <f t="shared" si="106"/>
        <v>0</v>
      </c>
      <c r="N643" s="24">
        <f>IF(M643&lt;=0,0,IF($E$2-A643&lt;12,(M643-E643)*Dashboard!$B$18,IF($Q$2+A643&gt;=$R$2,MAX(0,M643-E643*POWER(1+$C$2,$E$2-A643))*MAX(Dashboard!$C$18,Dashboard!$B$18),IF($S$2&lt;$R$2,(M643-E643)*0.5*Dashboard!$B$18,(E643*POWER(1+$A$2,$R$2-($Q$2+A643))-E643)*0.5*Dashboard!$B$18+MAX(0,M643-E643*POWER(1+$A$2,$R$2-($Q$2+A643))*POWER(1+$C$2,$S$2-$R$2))*MAX(Dashboard!$C$18,Dashboard!$B$18)))))</f>
        <v>0</v>
      </c>
    </row>
    <row r="644" spans="1:14" x14ac:dyDescent="0.2">
      <c r="A644" s="22">
        <f t="shared" si="107"/>
        <v>639</v>
      </c>
      <c r="B644" s="23">
        <f t="shared" si="108"/>
        <v>71.304794520548242</v>
      </c>
      <c r="C644" t="str">
        <f t="shared" si="99"/>
        <v>71 y 3.66 m</v>
      </c>
      <c r="D644" s="24">
        <f>IF(A644&gt;=$E$2,IF(A644&lt;$E$2+$H$2,$P$2,0),IF(B644&lt;Dashboard!$I$6,0,IF(A644&gt;=$F$2,Dashboard!$C$23*POWER(1+$C$2,A644-$F$2),Dashboard!$C$23)))</f>
        <v>0</v>
      </c>
      <c r="E644" s="24">
        <f>IF(A644&gt;=$F$2,0,IF(A644=0,Dashboard!$G$10,IF(B644&lt;Dashboard!$I$6,IF($J$2&lt;=Dashboard!$H$10,Dashboard!$H$10,MAX(Dashboard!$H$10,MIN($J$2,Dashboard!$H$10*POWER($J$2/Dashboard!$H$10,A644/$D$2)))),$I$2-D644-Dashboard!$I$10-Dashboard!$J$10-Dashboard!$F$10*$I$2)))</f>
        <v>0</v>
      </c>
      <c r="F644" s="24">
        <f t="shared" si="100"/>
        <v>10703.026891178568</v>
      </c>
      <c r="G644" s="24">
        <f t="shared" si="101"/>
        <v>14520.413054780796</v>
      </c>
      <c r="H644" s="24">
        <f t="shared" si="102"/>
        <v>0</v>
      </c>
      <c r="I644" s="24">
        <f t="shared" si="103"/>
        <v>-14520.413054780796</v>
      </c>
      <c r="J644" s="25">
        <f t="shared" si="104"/>
        <v>7.9741404289037643E-3</v>
      </c>
      <c r="K644" s="24">
        <f t="shared" si="109"/>
        <v>26856451.533038042</v>
      </c>
      <c r="L644" s="24">
        <f t="shared" si="105"/>
        <v>26856451.533038042</v>
      </c>
      <c r="M644" s="24">
        <f t="shared" si="106"/>
        <v>0</v>
      </c>
      <c r="N644" s="24">
        <f>IF(M644&lt;=0,0,IF($E$2-A644&lt;12,(M644-E644)*Dashboard!$B$18,IF($Q$2+A644&gt;=$R$2,MAX(0,M644-E644*POWER(1+$C$2,$E$2-A644))*MAX(Dashboard!$C$18,Dashboard!$B$18),IF($S$2&lt;$R$2,(M644-E644)*0.5*Dashboard!$B$18,(E644*POWER(1+$A$2,$R$2-($Q$2+A644))-E644)*0.5*Dashboard!$B$18+MAX(0,M644-E644*POWER(1+$A$2,$R$2-($Q$2+A644))*POWER(1+$C$2,$S$2-$R$2))*MAX(Dashboard!$C$18,Dashboard!$B$18)))))</f>
        <v>0</v>
      </c>
    </row>
    <row r="645" spans="1:14" x14ac:dyDescent="0.2">
      <c r="A645" s="22">
        <f t="shared" si="107"/>
        <v>640</v>
      </c>
      <c r="B645" s="23">
        <f t="shared" si="108"/>
        <v>71.388127853881571</v>
      </c>
      <c r="C645" t="str">
        <f t="shared" ref="C645:C708" si="110">INT(B645)&amp;" y "&amp;ROUND((B645-INT(B645))*12,2)&amp;" m"</f>
        <v>71 y 4.66 m</v>
      </c>
      <c r="D645" s="24">
        <f>IF(A645&gt;=$E$2,IF(A645&lt;$E$2+$H$2,$P$2,0),IF(B645&lt;Dashboard!$I$6,0,IF(A645&gt;=$F$2,Dashboard!$C$23*POWER(1+$C$2,A645-$F$2),Dashboard!$C$23)))</f>
        <v>0</v>
      </c>
      <c r="E645" s="24">
        <f>IF(A645&gt;=$F$2,0,IF(A645=0,Dashboard!$G$10,IF(B645&lt;Dashboard!$I$6,IF($J$2&lt;=Dashboard!$H$10,Dashboard!$H$10,MAX(Dashboard!$H$10,MIN($J$2,Dashboard!$H$10*POWER($J$2/Dashboard!$H$10,A645/$D$2)))),$I$2-D645-Dashboard!$I$10-Dashboard!$J$10-Dashboard!$F$10*$I$2)))</f>
        <v>0</v>
      </c>
      <c r="F645" s="24">
        <f t="shared" ref="F645:F688" si="111">IF(A645&gt;=$F$2,$X$2*POWER(1+$C$2,A645-$F$2)+D645,0)</f>
        <v>10725.073374166119</v>
      </c>
      <c r="G645" s="24">
        <f t="shared" ref="G645:G708" si="112">IF(F645&lt;=0,0,IF(F645*12&lt;=18200,F645,IF(F645*12&lt;=40712,(18200+(F645*12-18200)/0.84)/12,IF(F645*12&lt;=103712,(45000+(F645*12-40712)/0.7)/12,IF(F645*12&lt;=138362,(135000+(F645*12-103712)/0.63)/12,(190000+(F645*12-138362)/0.55)/12)))))</f>
        <v>14555.407472221354</v>
      </c>
      <c r="H645" s="24">
        <f t="shared" ref="H645:H688" si="113">IF(A645=$E$2,$W$2,0)</f>
        <v>0</v>
      </c>
      <c r="I645" s="24">
        <f t="shared" ref="I645:I708" si="114">E645-G645-H645</f>
        <v>-14555.407472221354</v>
      </c>
      <c r="J645" s="25">
        <f t="shared" ref="J645:J688" si="115">IF(A645&gt;=$F$2,$B$2,$A$2)</f>
        <v>7.9741404289037643E-3</v>
      </c>
      <c r="K645" s="24">
        <f t="shared" si="109"/>
        <v>27055937.174649131</v>
      </c>
      <c r="L645" s="24">
        <f t="shared" ref="L645:L708" si="116">IF(A645&gt;=$F$2,K645,"")</f>
        <v>27055937.174649131</v>
      </c>
      <c r="M645" s="24">
        <f t="shared" ref="M645:M688" si="117">IF(AND(A645&lt;$E$2,E645&gt;0),E645*POWER(1+$A$2,$E$2-A645),0)</f>
        <v>0</v>
      </c>
      <c r="N645" s="24">
        <f>IF(M645&lt;=0,0,IF($E$2-A645&lt;12,(M645-E645)*Dashboard!$B$18,IF($Q$2+A645&gt;=$R$2,MAX(0,M645-E645*POWER(1+$C$2,$E$2-A645))*MAX(Dashboard!$C$18,Dashboard!$B$18),IF($S$2&lt;$R$2,(M645-E645)*0.5*Dashboard!$B$18,(E645*POWER(1+$A$2,$R$2-($Q$2+A645))-E645)*0.5*Dashboard!$B$18+MAX(0,M645-E645*POWER(1+$A$2,$R$2-($Q$2+A645))*POWER(1+$C$2,$S$2-$R$2))*MAX(Dashboard!$C$18,Dashboard!$B$18)))))</f>
        <v>0</v>
      </c>
    </row>
    <row r="646" spans="1:14" x14ac:dyDescent="0.2">
      <c r="A646" s="22">
        <f t="shared" ref="A646:A688" si="118">A645+1</f>
        <v>641</v>
      </c>
      <c r="B646" s="23">
        <f t="shared" ref="B646:B688" si="119">B645+1/12</f>
        <v>71.471461187214899</v>
      </c>
      <c r="C646" t="str">
        <f t="shared" si="110"/>
        <v>71 y 5.66 m</v>
      </c>
      <c r="D646" s="24">
        <f>IF(A646&gt;=$E$2,IF(A646&lt;$E$2+$H$2,$P$2,0),IF(B646&lt;Dashboard!$I$6,0,IF(A646&gt;=$F$2,Dashboard!$C$23*POWER(1+$C$2,A646-$F$2),Dashboard!$C$23)))</f>
        <v>0</v>
      </c>
      <c r="E646" s="24">
        <f>IF(A646&gt;=$F$2,0,IF(A646=0,Dashboard!$G$10,IF(B646&lt;Dashboard!$I$6,IF($J$2&lt;=Dashboard!$H$10,Dashboard!$H$10,MAX(Dashboard!$H$10,MIN($J$2,Dashboard!$H$10*POWER($J$2/Dashboard!$H$10,A646/$D$2)))),$I$2-D646-Dashboard!$I$10-Dashboard!$J$10-Dashboard!$F$10*$I$2)))</f>
        <v>0</v>
      </c>
      <c r="F646" s="24">
        <f t="shared" si="111"/>
        <v>10747.16526929895</v>
      </c>
      <c r="G646" s="24">
        <f t="shared" si="112"/>
        <v>14590.473972432193</v>
      </c>
      <c r="H646" s="24">
        <f t="shared" si="113"/>
        <v>0</v>
      </c>
      <c r="I646" s="24">
        <f t="shared" si="114"/>
        <v>-14590.473972432193</v>
      </c>
      <c r="J646" s="25">
        <f t="shared" si="115"/>
        <v>7.9741404289037643E-3</v>
      </c>
      <c r="K646" s="24">
        <f t="shared" ref="K646:K709" si="120">(K645+I646)*(1+J646)</f>
        <v>27256978.196654569</v>
      </c>
      <c r="L646" s="24">
        <f t="shared" si="116"/>
        <v>27256978.196654569</v>
      </c>
      <c r="M646" s="24">
        <f t="shared" si="117"/>
        <v>0</v>
      </c>
      <c r="N646" s="24">
        <f>IF(M646&lt;=0,0,IF($E$2-A646&lt;12,(M646-E646)*Dashboard!$B$18,IF($Q$2+A646&gt;=$R$2,MAX(0,M646-E646*POWER(1+$C$2,$E$2-A646))*MAX(Dashboard!$C$18,Dashboard!$B$18),IF($S$2&lt;$R$2,(M646-E646)*0.5*Dashboard!$B$18,(E646*POWER(1+$A$2,$R$2-($Q$2+A646))-E646)*0.5*Dashboard!$B$18+MAX(0,M646-E646*POWER(1+$A$2,$R$2-($Q$2+A646))*POWER(1+$C$2,$S$2-$R$2))*MAX(Dashboard!$C$18,Dashboard!$B$18)))))</f>
        <v>0</v>
      </c>
    </row>
    <row r="647" spans="1:14" x14ac:dyDescent="0.2">
      <c r="A647" s="22">
        <f t="shared" si="118"/>
        <v>642</v>
      </c>
      <c r="B647" s="23">
        <f t="shared" si="119"/>
        <v>71.554794520548228</v>
      </c>
      <c r="C647" t="str">
        <f t="shared" si="110"/>
        <v>71 y 6.66 m</v>
      </c>
      <c r="D647" s="24">
        <f>IF(A647&gt;=$E$2,IF(A647&lt;$E$2+$H$2,$P$2,0),IF(B647&lt;Dashboard!$I$6,0,IF(A647&gt;=$F$2,Dashboard!$C$23*POWER(1+$C$2,A647-$F$2),Dashboard!$C$23)))</f>
        <v>0</v>
      </c>
      <c r="E647" s="24">
        <f>IF(A647&gt;=$F$2,0,IF(A647=0,Dashboard!$G$10,IF(B647&lt;Dashboard!$I$6,IF($J$2&lt;=Dashboard!$H$10,Dashboard!$H$10,MAX(Dashboard!$H$10,MIN($J$2,Dashboard!$H$10*POWER($J$2/Dashboard!$H$10,A647/$D$2)))),$I$2-D647-Dashboard!$I$10-Dashboard!$J$10-Dashboard!$F$10*$I$2)))</f>
        <v>0</v>
      </c>
      <c r="F647" s="24">
        <f t="shared" si="111"/>
        <v>10769.302670118646</v>
      </c>
      <c r="G647" s="24">
        <f t="shared" si="112"/>
        <v>14625.612703892031</v>
      </c>
      <c r="H647" s="24">
        <f t="shared" si="113"/>
        <v>0</v>
      </c>
      <c r="I647" s="24">
        <f t="shared" si="114"/>
        <v>-14625.612703892031</v>
      </c>
      <c r="J647" s="25">
        <f t="shared" si="115"/>
        <v>7.9741404289037643E-3</v>
      </c>
      <c r="K647" s="24">
        <f t="shared" si="120"/>
        <v>27459586.929068808</v>
      </c>
      <c r="L647" s="24">
        <f t="shared" si="116"/>
        <v>27459586.929068808</v>
      </c>
      <c r="M647" s="24">
        <f t="shared" si="117"/>
        <v>0</v>
      </c>
      <c r="N647" s="24">
        <f>IF(M647&lt;=0,0,IF($E$2-A647&lt;12,(M647-E647)*Dashboard!$B$18,IF($Q$2+A647&gt;=$R$2,MAX(0,M647-E647*POWER(1+$C$2,$E$2-A647))*MAX(Dashboard!$C$18,Dashboard!$B$18),IF($S$2&lt;$R$2,(M647-E647)*0.5*Dashboard!$B$18,(E647*POWER(1+$A$2,$R$2-($Q$2+A647))-E647)*0.5*Dashboard!$B$18+MAX(0,M647-E647*POWER(1+$A$2,$R$2-($Q$2+A647))*POWER(1+$C$2,$S$2-$R$2))*MAX(Dashboard!$C$18,Dashboard!$B$18)))))</f>
        <v>0</v>
      </c>
    </row>
    <row r="648" spans="1:14" x14ac:dyDescent="0.2">
      <c r="A648" s="22">
        <f t="shared" si="118"/>
        <v>643</v>
      </c>
      <c r="B648" s="23">
        <f t="shared" si="119"/>
        <v>71.638127853881556</v>
      </c>
      <c r="C648" t="str">
        <f t="shared" si="110"/>
        <v>71 y 7.66 m</v>
      </c>
      <c r="D648" s="24">
        <f>IF(A648&gt;=$E$2,IF(A648&lt;$E$2+$H$2,$P$2,0),IF(B648&lt;Dashboard!$I$6,0,IF(A648&gt;=$F$2,Dashboard!$C$23*POWER(1+$C$2,A648-$F$2),Dashboard!$C$23)))</f>
        <v>0</v>
      </c>
      <c r="E648" s="24">
        <f>IF(A648&gt;=$F$2,0,IF(A648=0,Dashboard!$G$10,IF(B648&lt;Dashboard!$I$6,IF($J$2&lt;=Dashboard!$H$10,Dashboard!$H$10,MAX(Dashboard!$H$10,MIN($J$2,Dashboard!$H$10*POWER($J$2/Dashboard!$H$10,A648/$D$2)))),$I$2-D648-Dashboard!$I$10-Dashboard!$J$10-Dashboard!$F$10*$I$2)))</f>
        <v>0</v>
      </c>
      <c r="F648" s="24">
        <f t="shared" si="111"/>
        <v>10791.485670359472</v>
      </c>
      <c r="G648" s="24">
        <f t="shared" si="112"/>
        <v>14660.823815385405</v>
      </c>
      <c r="H648" s="24">
        <f t="shared" si="113"/>
        <v>0</v>
      </c>
      <c r="I648" s="24">
        <f t="shared" si="114"/>
        <v>-14660.823815385405</v>
      </c>
      <c r="J648" s="25">
        <f t="shared" si="115"/>
        <v>7.9741404289037643E-3</v>
      </c>
      <c r="K648" s="24">
        <f t="shared" si="120"/>
        <v>27663775.800077599</v>
      </c>
      <c r="L648" s="24">
        <f t="shared" si="116"/>
        <v>27663775.800077599</v>
      </c>
      <c r="M648" s="24">
        <f t="shared" si="117"/>
        <v>0</v>
      </c>
      <c r="N648" s="24">
        <f>IF(M648&lt;=0,0,IF($E$2-A648&lt;12,(M648-E648)*Dashboard!$B$18,IF($Q$2+A648&gt;=$R$2,MAX(0,M648-E648*POWER(1+$C$2,$E$2-A648))*MAX(Dashboard!$C$18,Dashboard!$B$18),IF($S$2&lt;$R$2,(M648-E648)*0.5*Dashboard!$B$18,(E648*POWER(1+$A$2,$R$2-($Q$2+A648))-E648)*0.5*Dashboard!$B$18+MAX(0,M648-E648*POWER(1+$A$2,$R$2-($Q$2+A648))*POWER(1+$C$2,$S$2-$R$2))*MAX(Dashboard!$C$18,Dashboard!$B$18)))))</f>
        <v>0</v>
      </c>
    </row>
    <row r="649" spans="1:14" x14ac:dyDescent="0.2">
      <c r="A649" s="22">
        <f t="shared" si="118"/>
        <v>644</v>
      </c>
      <c r="B649" s="23">
        <f t="shared" si="119"/>
        <v>71.721461187214885</v>
      </c>
      <c r="C649" t="str">
        <f t="shared" si="110"/>
        <v>71 y 8.66 m</v>
      </c>
      <c r="D649" s="24">
        <f>IF(A649&gt;=$E$2,IF(A649&lt;$E$2+$H$2,$P$2,0),IF(B649&lt;Dashboard!$I$6,0,IF(A649&gt;=$F$2,Dashboard!$C$23*POWER(1+$C$2,A649-$F$2),Dashboard!$C$23)))</f>
        <v>0</v>
      </c>
      <c r="E649" s="24">
        <f>IF(A649&gt;=$F$2,0,IF(A649=0,Dashboard!$G$10,IF(B649&lt;Dashboard!$I$6,IF($J$2&lt;=Dashboard!$H$10,Dashboard!$H$10,MAX(Dashboard!$H$10,MIN($J$2,Dashboard!$H$10*POWER($J$2/Dashboard!$H$10,A649/$D$2)))),$I$2-D649-Dashboard!$I$10-Dashboard!$J$10-Dashboard!$F$10*$I$2)))</f>
        <v>0</v>
      </c>
      <c r="F649" s="24">
        <f t="shared" si="111"/>
        <v>10813.714363948766</v>
      </c>
      <c r="G649" s="24">
        <f t="shared" si="112"/>
        <v>14696.107456003332</v>
      </c>
      <c r="H649" s="24">
        <f t="shared" si="113"/>
        <v>0</v>
      </c>
      <c r="I649" s="24">
        <f t="shared" si="114"/>
        <v>-14696.107456003332</v>
      </c>
      <c r="J649" s="25">
        <f t="shared" si="115"/>
        <v>7.9741404289037643E-3</v>
      </c>
      <c r="K649" s="24">
        <f t="shared" si="120"/>
        <v>27869557.336820513</v>
      </c>
      <c r="L649" s="24">
        <f t="shared" si="116"/>
        <v>27869557.336820513</v>
      </c>
      <c r="M649" s="24">
        <f t="shared" si="117"/>
        <v>0</v>
      </c>
      <c r="N649" s="24">
        <f>IF(M649&lt;=0,0,IF($E$2-A649&lt;12,(M649-E649)*Dashboard!$B$18,IF($Q$2+A649&gt;=$R$2,MAX(0,M649-E649*POWER(1+$C$2,$E$2-A649))*MAX(Dashboard!$C$18,Dashboard!$B$18),IF($S$2&lt;$R$2,(M649-E649)*0.5*Dashboard!$B$18,(E649*POWER(1+$A$2,$R$2-($Q$2+A649))-E649)*0.5*Dashboard!$B$18+MAX(0,M649-E649*POWER(1+$A$2,$R$2-($Q$2+A649))*POWER(1+$C$2,$S$2-$R$2))*MAX(Dashboard!$C$18,Dashboard!$B$18)))))</f>
        <v>0</v>
      </c>
    </row>
    <row r="650" spans="1:14" x14ac:dyDescent="0.2">
      <c r="A650" s="22">
        <f t="shared" si="118"/>
        <v>645</v>
      </c>
      <c r="B650" s="23">
        <f t="shared" si="119"/>
        <v>71.804794520548214</v>
      </c>
      <c r="C650" t="str">
        <f t="shared" si="110"/>
        <v>71 y 9.66 m</v>
      </c>
      <c r="D650" s="24">
        <f>IF(A650&gt;=$E$2,IF(A650&lt;$E$2+$H$2,$P$2,0),IF(B650&lt;Dashboard!$I$6,0,IF(A650&gt;=$F$2,Dashboard!$C$23*POWER(1+$C$2,A650-$F$2),Dashboard!$C$23)))</f>
        <v>0</v>
      </c>
      <c r="E650" s="24">
        <f>IF(A650&gt;=$F$2,0,IF(A650=0,Dashboard!$G$10,IF(B650&lt;Dashboard!$I$6,IF($J$2&lt;=Dashboard!$H$10,Dashboard!$H$10,MAX(Dashboard!$H$10,MIN($J$2,Dashboard!$H$10*POWER($J$2/Dashboard!$H$10,A650/$D$2)))),$I$2-D650-Dashboard!$I$10-Dashboard!$J$10-Dashboard!$F$10*$I$2)))</f>
        <v>0</v>
      </c>
      <c r="F650" s="24">
        <f t="shared" si="111"/>
        <v>10835.988845007347</v>
      </c>
      <c r="G650" s="24">
        <f t="shared" si="112"/>
        <v>14731.463775143935</v>
      </c>
      <c r="H650" s="24">
        <f t="shared" si="113"/>
        <v>0</v>
      </c>
      <c r="I650" s="24">
        <f t="shared" si="114"/>
        <v>-14731.463775143935</v>
      </c>
      <c r="J650" s="25">
        <f t="shared" si="115"/>
        <v>7.9741404289037643E-3</v>
      </c>
      <c r="K650" s="24">
        <f t="shared" si="120"/>
        <v>28076944.166179694</v>
      </c>
      <c r="L650" s="24">
        <f t="shared" si="116"/>
        <v>28076944.166179694</v>
      </c>
      <c r="M650" s="24">
        <f t="shared" si="117"/>
        <v>0</v>
      </c>
      <c r="N650" s="24">
        <f>IF(M650&lt;=0,0,IF($E$2-A650&lt;12,(M650-E650)*Dashboard!$B$18,IF($Q$2+A650&gt;=$R$2,MAX(0,M650-E650*POWER(1+$C$2,$E$2-A650))*MAX(Dashboard!$C$18,Dashboard!$B$18),IF($S$2&lt;$R$2,(M650-E650)*0.5*Dashboard!$B$18,(E650*POWER(1+$A$2,$R$2-($Q$2+A650))-E650)*0.5*Dashboard!$B$18+MAX(0,M650-E650*POWER(1+$A$2,$R$2-($Q$2+A650))*POWER(1+$C$2,$S$2-$R$2))*MAX(Dashboard!$C$18,Dashboard!$B$18)))))</f>
        <v>0</v>
      </c>
    </row>
    <row r="651" spans="1:14" x14ac:dyDescent="0.2">
      <c r="A651" s="22">
        <f t="shared" si="118"/>
        <v>646</v>
      </c>
      <c r="B651" s="23">
        <f t="shared" si="119"/>
        <v>71.888127853881542</v>
      </c>
      <c r="C651" t="str">
        <f t="shared" si="110"/>
        <v>71 y 10.66 m</v>
      </c>
      <c r="D651" s="24">
        <f>IF(A651&gt;=$E$2,IF(A651&lt;$E$2+$H$2,$P$2,0),IF(B651&lt;Dashboard!$I$6,0,IF(A651&gt;=$F$2,Dashboard!$C$23*POWER(1+$C$2,A651-$F$2),Dashboard!$C$23)))</f>
        <v>0</v>
      </c>
      <c r="E651" s="24">
        <f>IF(A651&gt;=$F$2,0,IF(A651=0,Dashboard!$G$10,IF(B651&lt;Dashboard!$I$6,IF($J$2&lt;=Dashboard!$H$10,Dashboard!$H$10,MAX(Dashboard!$H$10,MIN($J$2,Dashboard!$H$10*POWER($J$2/Dashboard!$H$10,A651/$D$2)))),$I$2-D651-Dashboard!$I$10-Dashboard!$J$10-Dashboard!$F$10*$I$2)))</f>
        <v>0</v>
      </c>
      <c r="F651" s="24">
        <f t="shared" si="111"/>
        <v>10858.309207849907</v>
      </c>
      <c r="G651" s="24">
        <f t="shared" si="112"/>
        <v>14766.89292251308</v>
      </c>
      <c r="H651" s="24">
        <f t="shared" si="113"/>
        <v>0</v>
      </c>
      <c r="I651" s="24">
        <f t="shared" si="114"/>
        <v>-14766.89292251308</v>
      </c>
      <c r="J651" s="25">
        <f t="shared" si="115"/>
        <v>7.9741404289037643E-3</v>
      </c>
      <c r="K651" s="24">
        <f t="shared" si="120"/>
        <v>28285949.015574925</v>
      </c>
      <c r="L651" s="24">
        <f t="shared" si="116"/>
        <v>28285949.015574925</v>
      </c>
      <c r="M651" s="24">
        <f t="shared" si="117"/>
        <v>0</v>
      </c>
      <c r="N651" s="24">
        <f>IF(M651&lt;=0,0,IF($E$2-A651&lt;12,(M651-E651)*Dashboard!$B$18,IF($Q$2+A651&gt;=$R$2,MAX(0,M651-E651*POWER(1+$C$2,$E$2-A651))*MAX(Dashboard!$C$18,Dashboard!$B$18),IF($S$2&lt;$R$2,(M651-E651)*0.5*Dashboard!$B$18,(E651*POWER(1+$A$2,$R$2-($Q$2+A651))-E651)*0.5*Dashboard!$B$18+MAX(0,M651-E651*POWER(1+$A$2,$R$2-($Q$2+A651))*POWER(1+$C$2,$S$2-$R$2))*MAX(Dashboard!$C$18,Dashboard!$B$18)))))</f>
        <v>0</v>
      </c>
    </row>
    <row r="652" spans="1:14" x14ac:dyDescent="0.2">
      <c r="A652" s="22">
        <f t="shared" si="118"/>
        <v>647</v>
      </c>
      <c r="B652" s="23">
        <f t="shared" si="119"/>
        <v>71.971461187214871</v>
      </c>
      <c r="C652" t="str">
        <f t="shared" si="110"/>
        <v>71 y 11.66 m</v>
      </c>
      <c r="D652" s="24">
        <f>IF(A652&gt;=$E$2,IF(A652&lt;$E$2+$H$2,$P$2,0),IF(B652&lt;Dashboard!$I$6,0,IF(A652&gt;=$F$2,Dashboard!$C$23*POWER(1+$C$2,A652-$F$2),Dashboard!$C$23)))</f>
        <v>0</v>
      </c>
      <c r="E652" s="24">
        <f>IF(A652&gt;=$F$2,0,IF(A652=0,Dashboard!$G$10,IF(B652&lt;Dashboard!$I$6,IF($J$2&lt;=Dashboard!$H$10,Dashboard!$H$10,MAX(Dashboard!$H$10,MIN($J$2,Dashboard!$H$10*POWER($J$2/Dashboard!$H$10,A652/$D$2)))),$I$2-D652-Dashboard!$I$10-Dashboard!$J$10-Dashboard!$F$10*$I$2)))</f>
        <v>0</v>
      </c>
      <c r="F652" s="24">
        <f t="shared" si="111"/>
        <v>10880.675546985402</v>
      </c>
      <c r="G652" s="24">
        <f t="shared" si="112"/>
        <v>14802.395048124976</v>
      </c>
      <c r="H652" s="24">
        <f t="shared" si="113"/>
        <v>0</v>
      </c>
      <c r="I652" s="24">
        <f t="shared" si="114"/>
        <v>-14802.395048124976</v>
      </c>
      <c r="J652" s="25">
        <f t="shared" si="115"/>
        <v>7.9741404289037643E-3</v>
      </c>
      <c r="K652" s="24">
        <f t="shared" si="120"/>
        <v>28496584.713765007</v>
      </c>
      <c r="L652" s="24">
        <f t="shared" si="116"/>
        <v>28496584.713765007</v>
      </c>
      <c r="M652" s="24">
        <f t="shared" si="117"/>
        <v>0</v>
      </c>
      <c r="N652" s="24">
        <f>IF(M652&lt;=0,0,IF($E$2-A652&lt;12,(M652-E652)*Dashboard!$B$18,IF($Q$2+A652&gt;=$R$2,MAX(0,M652-E652*POWER(1+$C$2,$E$2-A652))*MAX(Dashboard!$C$18,Dashboard!$B$18),IF($S$2&lt;$R$2,(M652-E652)*0.5*Dashboard!$B$18,(E652*POWER(1+$A$2,$R$2-($Q$2+A652))-E652)*0.5*Dashboard!$B$18+MAX(0,M652-E652*POWER(1+$A$2,$R$2-($Q$2+A652))*POWER(1+$C$2,$S$2-$R$2))*MAX(Dashboard!$C$18,Dashboard!$B$18)))))</f>
        <v>0</v>
      </c>
    </row>
    <row r="653" spans="1:14" x14ac:dyDescent="0.2">
      <c r="A653" s="22">
        <f t="shared" si="118"/>
        <v>648</v>
      </c>
      <c r="B653" s="23">
        <f t="shared" si="119"/>
        <v>72.054794520548199</v>
      </c>
      <c r="C653" t="str">
        <f t="shared" si="110"/>
        <v>72 y 0.66 m</v>
      </c>
      <c r="D653" s="24">
        <f>IF(A653&gt;=$E$2,IF(A653&lt;$E$2+$H$2,$P$2,0),IF(B653&lt;Dashboard!$I$6,0,IF(A653&gt;=$F$2,Dashboard!$C$23*POWER(1+$C$2,A653-$F$2),Dashboard!$C$23)))</f>
        <v>0</v>
      </c>
      <c r="E653" s="24">
        <f>IF(A653&gt;=$F$2,0,IF(A653=0,Dashboard!$G$10,IF(B653&lt;Dashboard!$I$6,IF($J$2&lt;=Dashboard!$H$10,Dashboard!$H$10,MAX(Dashboard!$H$10,MIN($J$2,Dashboard!$H$10*POWER($J$2/Dashboard!$H$10,A653/$D$2)))),$I$2-D653-Dashboard!$I$10-Dashboard!$J$10-Dashboard!$F$10*$I$2)))</f>
        <v>0</v>
      </c>
      <c r="F653" s="24">
        <f t="shared" si="111"/>
        <v>10903.087957117474</v>
      </c>
      <c r="G653" s="24">
        <f t="shared" si="112"/>
        <v>14837.970302302869</v>
      </c>
      <c r="H653" s="24">
        <f t="shared" si="113"/>
        <v>0</v>
      </c>
      <c r="I653" s="24">
        <f t="shared" si="114"/>
        <v>-14837.970302302869</v>
      </c>
      <c r="J653" s="25">
        <f t="shared" si="115"/>
        <v>7.9741404289037643E-3</v>
      </c>
      <c r="K653" s="24">
        <f t="shared" si="120"/>
        <v>28708864.191655546</v>
      </c>
      <c r="L653" s="24">
        <f t="shared" si="116"/>
        <v>28708864.191655546</v>
      </c>
      <c r="M653" s="24">
        <f t="shared" si="117"/>
        <v>0</v>
      </c>
      <c r="N653" s="24">
        <f>IF(M653&lt;=0,0,IF($E$2-A653&lt;12,(M653-E653)*Dashboard!$B$18,IF($Q$2+A653&gt;=$R$2,MAX(0,M653-E653*POWER(1+$C$2,$E$2-A653))*MAX(Dashboard!$C$18,Dashboard!$B$18),IF($S$2&lt;$R$2,(M653-E653)*0.5*Dashboard!$B$18,(E653*POWER(1+$A$2,$R$2-($Q$2+A653))-E653)*0.5*Dashboard!$B$18+MAX(0,M653-E653*POWER(1+$A$2,$R$2-($Q$2+A653))*POWER(1+$C$2,$S$2-$R$2))*MAX(Dashboard!$C$18,Dashboard!$B$18)))))</f>
        <v>0</v>
      </c>
    </row>
    <row r="654" spans="1:14" x14ac:dyDescent="0.2">
      <c r="A654" s="22">
        <f t="shared" si="118"/>
        <v>649</v>
      </c>
      <c r="B654" s="23">
        <f t="shared" si="119"/>
        <v>72.138127853881528</v>
      </c>
      <c r="C654" t="str">
        <f t="shared" si="110"/>
        <v>72 y 1.66 m</v>
      </c>
      <c r="D654" s="24">
        <f>IF(A654&gt;=$E$2,IF(A654&lt;$E$2+$H$2,$P$2,0),IF(B654&lt;Dashboard!$I$6,0,IF(A654&gt;=$F$2,Dashboard!$C$23*POWER(1+$C$2,A654-$F$2),Dashboard!$C$23)))</f>
        <v>0</v>
      </c>
      <c r="E654" s="24">
        <f>IF(A654&gt;=$F$2,0,IF(A654=0,Dashboard!$G$10,IF(B654&lt;Dashboard!$I$6,IF($J$2&lt;=Dashboard!$H$10,Dashboard!$H$10,MAX(Dashboard!$H$10,MIN($J$2,Dashboard!$H$10*POWER($J$2/Dashboard!$H$10,A654/$D$2)))),$I$2-D654-Dashboard!$I$10-Dashboard!$J$10-Dashboard!$F$10*$I$2)))</f>
        <v>0</v>
      </c>
      <c r="F654" s="24">
        <f t="shared" si="111"/>
        <v>10925.54653314483</v>
      </c>
      <c r="G654" s="24">
        <f t="shared" si="112"/>
        <v>14873.618835679626</v>
      </c>
      <c r="H654" s="24">
        <f t="shared" si="113"/>
        <v>0</v>
      </c>
      <c r="I654" s="24">
        <f t="shared" si="114"/>
        <v>-14873.618835679626</v>
      </c>
      <c r="J654" s="25">
        <f t="shared" si="115"/>
        <v>7.9741404289037643E-3</v>
      </c>
      <c r="K654" s="24">
        <f t="shared" si="120"/>
        <v>28922800.483113173</v>
      </c>
      <c r="L654" s="24">
        <f t="shared" si="116"/>
        <v>28922800.483113173</v>
      </c>
      <c r="M654" s="24">
        <f t="shared" si="117"/>
        <v>0</v>
      </c>
      <c r="N654" s="24">
        <f>IF(M654&lt;=0,0,IF($E$2-A654&lt;12,(M654-E654)*Dashboard!$B$18,IF($Q$2+A654&gt;=$R$2,MAX(0,M654-E654*POWER(1+$C$2,$E$2-A654))*MAX(Dashboard!$C$18,Dashboard!$B$18),IF($S$2&lt;$R$2,(M654-E654)*0.5*Dashboard!$B$18,(E654*POWER(1+$A$2,$R$2-($Q$2+A654))-E654)*0.5*Dashboard!$B$18+MAX(0,M654-E654*POWER(1+$A$2,$R$2-($Q$2+A654))*POWER(1+$C$2,$S$2-$R$2))*MAX(Dashboard!$C$18,Dashboard!$B$18)))))</f>
        <v>0</v>
      </c>
    </row>
    <row r="655" spans="1:14" x14ac:dyDescent="0.2">
      <c r="A655" s="22">
        <f t="shared" si="118"/>
        <v>650</v>
      </c>
      <c r="B655" s="23">
        <f t="shared" si="119"/>
        <v>72.221461187214857</v>
      </c>
      <c r="C655" t="str">
        <f t="shared" si="110"/>
        <v>72 y 2.66 m</v>
      </c>
      <c r="D655" s="24">
        <f>IF(A655&gt;=$E$2,IF(A655&lt;$E$2+$H$2,$P$2,0),IF(B655&lt;Dashboard!$I$6,0,IF(A655&gt;=$F$2,Dashboard!$C$23*POWER(1+$C$2,A655-$F$2),Dashboard!$C$23)))</f>
        <v>0</v>
      </c>
      <c r="E655" s="24">
        <f>IF(A655&gt;=$F$2,0,IF(A655=0,Dashboard!$G$10,IF(B655&lt;Dashboard!$I$6,IF($J$2&lt;=Dashboard!$H$10,Dashboard!$H$10,MAX(Dashboard!$H$10,MIN($J$2,Dashboard!$H$10*POWER($J$2/Dashboard!$H$10,A655/$D$2)))),$I$2-D655-Dashboard!$I$10-Dashboard!$J$10-Dashboard!$F$10*$I$2)))</f>
        <v>0</v>
      </c>
      <c r="F655" s="24">
        <f t="shared" si="111"/>
        <v>10948.051370161656</v>
      </c>
      <c r="G655" s="24">
        <f t="shared" si="112"/>
        <v>14909.340799198397</v>
      </c>
      <c r="H655" s="24">
        <f t="shared" si="113"/>
        <v>0</v>
      </c>
      <c r="I655" s="24">
        <f t="shared" si="114"/>
        <v>-14909.340799198397</v>
      </c>
      <c r="J655" s="25">
        <f t="shared" si="115"/>
        <v>7.9741404289037643E-3</v>
      </c>
      <c r="K655" s="24">
        <f t="shared" si="120"/>
        <v>29138406.72578625</v>
      </c>
      <c r="L655" s="24">
        <f t="shared" si="116"/>
        <v>29138406.72578625</v>
      </c>
      <c r="M655" s="24">
        <f t="shared" si="117"/>
        <v>0</v>
      </c>
      <c r="N655" s="24">
        <f>IF(M655&lt;=0,0,IF($E$2-A655&lt;12,(M655-E655)*Dashboard!$B$18,IF($Q$2+A655&gt;=$R$2,MAX(0,M655-E655*POWER(1+$C$2,$E$2-A655))*MAX(Dashboard!$C$18,Dashboard!$B$18),IF($S$2&lt;$R$2,(M655-E655)*0.5*Dashboard!$B$18,(E655*POWER(1+$A$2,$R$2-($Q$2+A655))-E655)*0.5*Dashboard!$B$18+MAX(0,M655-E655*POWER(1+$A$2,$R$2-($Q$2+A655))*POWER(1+$C$2,$S$2-$R$2))*MAX(Dashboard!$C$18,Dashboard!$B$18)))))</f>
        <v>0</v>
      </c>
    </row>
    <row r="656" spans="1:14" x14ac:dyDescent="0.2">
      <c r="A656" s="22">
        <f t="shared" si="118"/>
        <v>651</v>
      </c>
      <c r="B656" s="23">
        <f t="shared" si="119"/>
        <v>72.304794520548185</v>
      </c>
      <c r="C656" t="str">
        <f t="shared" si="110"/>
        <v>72 y 3.66 m</v>
      </c>
      <c r="D656" s="24">
        <f>IF(A656&gt;=$E$2,IF(A656&lt;$E$2+$H$2,$P$2,0),IF(B656&lt;Dashboard!$I$6,0,IF(A656&gt;=$F$2,Dashboard!$C$23*POWER(1+$C$2,A656-$F$2),Dashboard!$C$23)))</f>
        <v>0</v>
      </c>
      <c r="E656" s="24">
        <f>IF(A656&gt;=$F$2,0,IF(A656=0,Dashboard!$G$10,IF(B656&lt;Dashboard!$I$6,IF($J$2&lt;=Dashboard!$H$10,Dashboard!$H$10,MAX(Dashboard!$H$10,MIN($J$2,Dashboard!$H$10*POWER($J$2/Dashboard!$H$10,A656/$D$2)))),$I$2-D656-Dashboard!$I$10-Dashboard!$J$10-Dashboard!$F$10*$I$2)))</f>
        <v>0</v>
      </c>
      <c r="F656" s="24">
        <f t="shared" si="111"/>
        <v>10970.602563458016</v>
      </c>
      <c r="G656" s="24">
        <f t="shared" si="112"/>
        <v>14945.136344113254</v>
      </c>
      <c r="H656" s="24">
        <f t="shared" si="113"/>
        <v>0</v>
      </c>
      <c r="I656" s="24">
        <f t="shared" si="114"/>
        <v>-14945.136344113254</v>
      </c>
      <c r="J656" s="25">
        <f t="shared" si="115"/>
        <v>7.9741404289037643E-3</v>
      </c>
      <c r="K656" s="24">
        <f t="shared" si="120"/>
        <v>29355696.161932133</v>
      </c>
      <c r="L656" s="24">
        <f t="shared" si="116"/>
        <v>29355696.161932133</v>
      </c>
      <c r="M656" s="24">
        <f t="shared" si="117"/>
        <v>0</v>
      </c>
      <c r="N656" s="24">
        <f>IF(M656&lt;=0,0,IF($E$2-A656&lt;12,(M656-E656)*Dashboard!$B$18,IF($Q$2+A656&gt;=$R$2,MAX(0,M656-E656*POWER(1+$C$2,$E$2-A656))*MAX(Dashboard!$C$18,Dashboard!$B$18),IF($S$2&lt;$R$2,(M656-E656)*0.5*Dashboard!$B$18,(E656*POWER(1+$A$2,$R$2-($Q$2+A656))-E656)*0.5*Dashboard!$B$18+MAX(0,M656-E656*POWER(1+$A$2,$R$2-($Q$2+A656))*POWER(1+$C$2,$S$2-$R$2))*MAX(Dashboard!$C$18,Dashboard!$B$18)))))</f>
        <v>0</v>
      </c>
    </row>
    <row r="657" spans="1:14" x14ac:dyDescent="0.2">
      <c r="A657" s="22">
        <f t="shared" si="118"/>
        <v>652</v>
      </c>
      <c r="B657" s="23">
        <f t="shared" si="119"/>
        <v>72.388127853881514</v>
      </c>
      <c r="C657" t="str">
        <f t="shared" si="110"/>
        <v>72 y 4.66 m</v>
      </c>
      <c r="D657" s="24">
        <f>IF(A657&gt;=$E$2,IF(A657&lt;$E$2+$H$2,$P$2,0),IF(B657&lt;Dashboard!$I$6,0,IF(A657&gt;=$F$2,Dashboard!$C$23*POWER(1+$C$2,A657-$F$2),Dashboard!$C$23)))</f>
        <v>0</v>
      </c>
      <c r="E657" s="24">
        <f>IF(A657&gt;=$F$2,0,IF(A657=0,Dashboard!$G$10,IF(B657&lt;Dashboard!$I$6,IF($J$2&lt;=Dashboard!$H$10,Dashboard!$H$10,MAX(Dashboard!$H$10,MIN($J$2,Dashboard!$H$10*POWER($J$2/Dashboard!$H$10,A657/$D$2)))),$I$2-D657-Dashboard!$I$10-Dashboard!$J$10-Dashboard!$F$10*$I$2)))</f>
        <v>0</v>
      </c>
      <c r="F657" s="24">
        <f t="shared" si="111"/>
        <v>10993.200208520255</v>
      </c>
      <c r="G657" s="24">
        <f t="shared" si="112"/>
        <v>14981.005621989823</v>
      </c>
      <c r="H657" s="24">
        <f t="shared" si="113"/>
        <v>0</v>
      </c>
      <c r="I657" s="24">
        <f t="shared" si="114"/>
        <v>-14981.005621989823</v>
      </c>
      <c r="J657" s="25">
        <f t="shared" si="115"/>
        <v>7.9741404289037643E-3</v>
      </c>
      <c r="K657" s="24">
        <f t="shared" si="120"/>
        <v>29574682.139251027</v>
      </c>
      <c r="L657" s="24">
        <f t="shared" si="116"/>
        <v>29574682.139251027</v>
      </c>
      <c r="M657" s="24">
        <f t="shared" si="117"/>
        <v>0</v>
      </c>
      <c r="N657" s="24">
        <f>IF(M657&lt;=0,0,IF($E$2-A657&lt;12,(M657-E657)*Dashboard!$B$18,IF($Q$2+A657&gt;=$R$2,MAX(0,M657-E657*POWER(1+$C$2,$E$2-A657))*MAX(Dashboard!$C$18,Dashboard!$B$18),IF($S$2&lt;$R$2,(M657-E657)*0.5*Dashboard!$B$18,(E657*POWER(1+$A$2,$R$2-($Q$2+A657))-E657)*0.5*Dashboard!$B$18+MAX(0,M657-E657*POWER(1+$A$2,$R$2-($Q$2+A657))*POWER(1+$C$2,$S$2-$R$2))*MAX(Dashboard!$C$18,Dashboard!$B$18)))))</f>
        <v>0</v>
      </c>
    </row>
    <row r="658" spans="1:14" x14ac:dyDescent="0.2">
      <c r="A658" s="22">
        <f t="shared" si="118"/>
        <v>653</v>
      </c>
      <c r="B658" s="23">
        <f t="shared" si="119"/>
        <v>72.471461187214842</v>
      </c>
      <c r="C658" t="str">
        <f t="shared" si="110"/>
        <v>72 y 5.66 m</v>
      </c>
      <c r="D658" s="24">
        <f>IF(A658&gt;=$E$2,IF(A658&lt;$E$2+$H$2,$P$2,0),IF(B658&lt;Dashboard!$I$6,0,IF(A658&gt;=$F$2,Dashboard!$C$23*POWER(1+$C$2,A658-$F$2),Dashboard!$C$23)))</f>
        <v>0</v>
      </c>
      <c r="E658" s="24">
        <f>IF(A658&gt;=$F$2,0,IF(A658=0,Dashboard!$G$10,IF(B658&lt;Dashboard!$I$6,IF($J$2&lt;=Dashboard!$H$10,Dashboard!$H$10,MAX(Dashboard!$H$10,MIN($J$2,Dashboard!$H$10*POWER($J$2/Dashboard!$H$10,A658/$D$2)))),$I$2-D658-Dashboard!$I$10-Dashboard!$J$10-Dashboard!$F$10*$I$2)))</f>
        <v>0</v>
      </c>
      <c r="F658" s="24">
        <f t="shared" si="111"/>
        <v>11015.844401031409</v>
      </c>
      <c r="G658" s="24">
        <f t="shared" si="112"/>
        <v>15016.948784705937</v>
      </c>
      <c r="H658" s="24">
        <f t="shared" si="113"/>
        <v>0</v>
      </c>
      <c r="I658" s="24">
        <f t="shared" si="114"/>
        <v>-15016.948784705937</v>
      </c>
      <c r="J658" s="25">
        <f t="shared" si="115"/>
        <v>7.9741404289037643E-3</v>
      </c>
      <c r="K658" s="24">
        <f t="shared" si="120"/>
        <v>29795378.111726478</v>
      </c>
      <c r="L658" s="24">
        <f t="shared" si="116"/>
        <v>29795378.111726478</v>
      </c>
      <c r="M658" s="24">
        <f t="shared" si="117"/>
        <v>0</v>
      </c>
      <c r="N658" s="24">
        <f>IF(M658&lt;=0,0,IF($E$2-A658&lt;12,(M658-E658)*Dashboard!$B$18,IF($Q$2+A658&gt;=$R$2,MAX(0,M658-E658*POWER(1+$C$2,$E$2-A658))*MAX(Dashboard!$C$18,Dashboard!$B$18),IF($S$2&lt;$R$2,(M658-E658)*0.5*Dashboard!$B$18,(E658*POWER(1+$A$2,$R$2-($Q$2+A658))-E658)*0.5*Dashboard!$B$18+MAX(0,M658-E658*POWER(1+$A$2,$R$2-($Q$2+A658))*POWER(1+$C$2,$S$2-$R$2))*MAX(Dashboard!$C$18,Dashboard!$B$18)))))</f>
        <v>0</v>
      </c>
    </row>
    <row r="659" spans="1:14" x14ac:dyDescent="0.2">
      <c r="A659" s="22">
        <f t="shared" si="118"/>
        <v>654</v>
      </c>
      <c r="B659" s="23">
        <f t="shared" si="119"/>
        <v>72.554794520548171</v>
      </c>
      <c r="C659" t="str">
        <f t="shared" si="110"/>
        <v>72 y 6.66 m</v>
      </c>
      <c r="D659" s="24">
        <f>IF(A659&gt;=$E$2,IF(A659&lt;$E$2+$H$2,$P$2,0),IF(B659&lt;Dashboard!$I$6,0,IF(A659&gt;=$F$2,Dashboard!$C$23*POWER(1+$C$2,A659-$F$2),Dashboard!$C$23)))</f>
        <v>0</v>
      </c>
      <c r="E659" s="24">
        <f>IF(A659&gt;=$F$2,0,IF(A659=0,Dashboard!$G$10,IF(B659&lt;Dashboard!$I$6,IF($J$2&lt;=Dashboard!$H$10,Dashboard!$H$10,MAX(Dashboard!$H$10,MIN($J$2,Dashboard!$H$10*POWER($J$2/Dashboard!$H$10,A659/$D$2)))),$I$2-D659-Dashboard!$I$10-Dashboard!$J$10-Dashboard!$F$10*$I$2)))</f>
        <v>0</v>
      </c>
      <c r="F659" s="24">
        <f t="shared" si="111"/>
        <v>11038.535236871599</v>
      </c>
      <c r="G659" s="24">
        <f t="shared" si="112"/>
        <v>15052.965984452276</v>
      </c>
      <c r="H659" s="24">
        <f t="shared" si="113"/>
        <v>0</v>
      </c>
      <c r="I659" s="24">
        <f t="shared" si="114"/>
        <v>-15052.965984452276</v>
      </c>
      <c r="J659" s="25">
        <f t="shared" si="115"/>
        <v>7.9741404289037643E-3</v>
      </c>
      <c r="K659" s="24">
        <f t="shared" si="120"/>
        <v>30017797.640472587</v>
      </c>
      <c r="L659" s="24">
        <f t="shared" si="116"/>
        <v>30017797.640472587</v>
      </c>
      <c r="M659" s="24">
        <f t="shared" si="117"/>
        <v>0</v>
      </c>
      <c r="N659" s="24">
        <f>IF(M659&lt;=0,0,IF($E$2-A659&lt;12,(M659-E659)*Dashboard!$B$18,IF($Q$2+A659&gt;=$R$2,MAX(0,M659-E659*POWER(1+$C$2,$E$2-A659))*MAX(Dashboard!$C$18,Dashboard!$B$18),IF($S$2&lt;$R$2,(M659-E659)*0.5*Dashboard!$B$18,(E659*POWER(1+$A$2,$R$2-($Q$2+A659))-E659)*0.5*Dashboard!$B$18+MAX(0,M659-E659*POWER(1+$A$2,$R$2-($Q$2+A659))*POWER(1+$C$2,$S$2-$R$2))*MAX(Dashboard!$C$18,Dashboard!$B$18)))))</f>
        <v>0</v>
      </c>
    </row>
    <row r="660" spans="1:14" x14ac:dyDescent="0.2">
      <c r="A660" s="22">
        <f t="shared" si="118"/>
        <v>655</v>
      </c>
      <c r="B660" s="23">
        <f t="shared" si="119"/>
        <v>72.6381278538815</v>
      </c>
      <c r="C660" t="str">
        <f t="shared" si="110"/>
        <v>72 y 7.66 m</v>
      </c>
      <c r="D660" s="24">
        <f>IF(A660&gt;=$E$2,IF(A660&lt;$E$2+$H$2,$P$2,0),IF(B660&lt;Dashboard!$I$6,0,IF(A660&gt;=$F$2,Dashboard!$C$23*POWER(1+$C$2,A660-$F$2),Dashboard!$C$23)))</f>
        <v>0</v>
      </c>
      <c r="E660" s="24">
        <f>IF(A660&gt;=$F$2,0,IF(A660=0,Dashboard!$G$10,IF(B660&lt;Dashboard!$I$6,IF($J$2&lt;=Dashboard!$H$10,Dashboard!$H$10,MAX(Dashboard!$H$10,MIN($J$2,Dashboard!$H$10*POWER($J$2/Dashboard!$H$10,A660/$D$2)))),$I$2-D660-Dashboard!$I$10-Dashboard!$J$10-Dashboard!$F$10*$I$2)))</f>
        <v>0</v>
      </c>
      <c r="F660" s="24">
        <f t="shared" si="111"/>
        <v>11061.272812118443</v>
      </c>
      <c r="G660" s="24">
        <f t="shared" si="112"/>
        <v>15089.057373732978</v>
      </c>
      <c r="H660" s="24">
        <f t="shared" si="113"/>
        <v>0</v>
      </c>
      <c r="I660" s="24">
        <f t="shared" si="114"/>
        <v>-15089.057373732978</v>
      </c>
      <c r="J660" s="25">
        <f t="shared" si="115"/>
        <v>7.9741404289037643E-3</v>
      </c>
      <c r="K660" s="24">
        <f t="shared" si="120"/>
        <v>30241954.39458796</v>
      </c>
      <c r="L660" s="24">
        <f t="shared" si="116"/>
        <v>30241954.39458796</v>
      </c>
      <c r="M660" s="24">
        <f t="shared" si="117"/>
        <v>0</v>
      </c>
      <c r="N660" s="24">
        <f>IF(M660&lt;=0,0,IF($E$2-A660&lt;12,(M660-E660)*Dashboard!$B$18,IF($Q$2+A660&gt;=$R$2,MAX(0,M660-E660*POWER(1+$C$2,$E$2-A660))*MAX(Dashboard!$C$18,Dashboard!$B$18),IF($S$2&lt;$R$2,(M660-E660)*0.5*Dashboard!$B$18,(E660*POWER(1+$A$2,$R$2-($Q$2+A660))-E660)*0.5*Dashboard!$B$18+MAX(0,M660-E660*POWER(1+$A$2,$R$2-($Q$2+A660))*POWER(1+$C$2,$S$2-$R$2))*MAX(Dashboard!$C$18,Dashboard!$B$18)))))</f>
        <v>0</v>
      </c>
    </row>
    <row r="661" spans="1:14" x14ac:dyDescent="0.2">
      <c r="A661" s="22">
        <f t="shared" si="118"/>
        <v>656</v>
      </c>
      <c r="B661" s="23">
        <f t="shared" si="119"/>
        <v>72.721461187214828</v>
      </c>
      <c r="C661" t="str">
        <f t="shared" si="110"/>
        <v>72 y 8.66 m</v>
      </c>
      <c r="D661" s="24">
        <f>IF(A661&gt;=$E$2,IF(A661&lt;$E$2+$H$2,$P$2,0),IF(B661&lt;Dashboard!$I$6,0,IF(A661&gt;=$F$2,Dashboard!$C$23*POWER(1+$C$2,A661-$F$2),Dashboard!$C$23)))</f>
        <v>0</v>
      </c>
      <c r="E661" s="24">
        <f>IF(A661&gt;=$F$2,0,IF(A661=0,Dashboard!$G$10,IF(B661&lt;Dashboard!$I$6,IF($J$2&lt;=Dashboard!$H$10,Dashboard!$H$10,MAX(Dashboard!$H$10,MIN($J$2,Dashboard!$H$10*POWER($J$2/Dashboard!$H$10,A661/$D$2)))),$I$2-D661-Dashboard!$I$10-Dashboard!$J$10-Dashboard!$F$10*$I$2)))</f>
        <v>0</v>
      </c>
      <c r="F661" s="24">
        <f t="shared" si="111"/>
        <v>11084.05722304747</v>
      </c>
      <c r="G661" s="24">
        <f t="shared" si="112"/>
        <v>15125.223105366355</v>
      </c>
      <c r="H661" s="24">
        <f t="shared" si="113"/>
        <v>0</v>
      </c>
      <c r="I661" s="24">
        <f t="shared" si="114"/>
        <v>-15125.223105366355</v>
      </c>
      <c r="J661" s="25">
        <f t="shared" si="115"/>
        <v>7.9741404289037643E-3</v>
      </c>
      <c r="K661" s="24">
        <f t="shared" si="120"/>
        <v>30467862.15201648</v>
      </c>
      <c r="L661" s="24">
        <f t="shared" si="116"/>
        <v>30467862.15201648</v>
      </c>
      <c r="M661" s="24">
        <f t="shared" si="117"/>
        <v>0</v>
      </c>
      <c r="N661" s="24">
        <f>IF(M661&lt;=0,0,IF($E$2-A661&lt;12,(M661-E661)*Dashboard!$B$18,IF($Q$2+A661&gt;=$R$2,MAX(0,M661-E661*POWER(1+$C$2,$E$2-A661))*MAX(Dashboard!$C$18,Dashboard!$B$18),IF($S$2&lt;$R$2,(M661-E661)*0.5*Dashboard!$B$18,(E661*POWER(1+$A$2,$R$2-($Q$2+A661))-E661)*0.5*Dashboard!$B$18+MAX(0,M661-E661*POWER(1+$A$2,$R$2-($Q$2+A661))*POWER(1+$C$2,$S$2-$R$2))*MAX(Dashboard!$C$18,Dashboard!$B$18)))))</f>
        <v>0</v>
      </c>
    </row>
    <row r="662" spans="1:14" x14ac:dyDescent="0.2">
      <c r="A662" s="22">
        <f t="shared" si="118"/>
        <v>657</v>
      </c>
      <c r="B662" s="23">
        <f t="shared" si="119"/>
        <v>72.804794520548157</v>
      </c>
      <c r="C662" t="str">
        <f t="shared" si="110"/>
        <v>72 y 9.66 m</v>
      </c>
      <c r="D662" s="24">
        <f>IF(A662&gt;=$E$2,IF(A662&lt;$E$2+$H$2,$P$2,0),IF(B662&lt;Dashboard!$I$6,0,IF(A662&gt;=$F$2,Dashboard!$C$23*POWER(1+$C$2,A662-$F$2),Dashboard!$C$23)))</f>
        <v>0</v>
      </c>
      <c r="E662" s="24">
        <f>IF(A662&gt;=$F$2,0,IF(A662=0,Dashboard!$G$10,IF(B662&lt;Dashboard!$I$6,IF($J$2&lt;=Dashboard!$H$10,Dashboard!$H$10,MAX(Dashboard!$H$10,MIN($J$2,Dashboard!$H$10*POWER($J$2/Dashboard!$H$10,A662/$D$2)))),$I$2-D662-Dashboard!$I$10-Dashboard!$J$10-Dashboard!$F$10*$I$2)))</f>
        <v>0</v>
      </c>
      <c r="F662" s="24">
        <f t="shared" si="111"/>
        <v>11106.888566132515</v>
      </c>
      <c r="G662" s="24">
        <f t="shared" si="112"/>
        <v>15161.463332485471</v>
      </c>
      <c r="H662" s="24">
        <f t="shared" si="113"/>
        <v>0</v>
      </c>
      <c r="I662" s="24">
        <f t="shared" si="114"/>
        <v>-15161.463332485471</v>
      </c>
      <c r="J662" s="25">
        <f t="shared" si="115"/>
        <v>7.9741404289037643E-3</v>
      </c>
      <c r="K662" s="24">
        <f t="shared" si="120"/>
        <v>30695534.800414935</v>
      </c>
      <c r="L662" s="24">
        <f t="shared" si="116"/>
        <v>30695534.800414935</v>
      </c>
      <c r="M662" s="24">
        <f t="shared" si="117"/>
        <v>0</v>
      </c>
      <c r="N662" s="24">
        <f>IF(M662&lt;=0,0,IF($E$2-A662&lt;12,(M662-E662)*Dashboard!$B$18,IF($Q$2+A662&gt;=$R$2,MAX(0,M662-E662*POWER(1+$C$2,$E$2-A662))*MAX(Dashboard!$C$18,Dashboard!$B$18),IF($S$2&lt;$R$2,(M662-E662)*0.5*Dashboard!$B$18,(E662*POWER(1+$A$2,$R$2-($Q$2+A662))-E662)*0.5*Dashboard!$B$18+MAX(0,M662-E662*POWER(1+$A$2,$R$2-($Q$2+A662))*POWER(1+$C$2,$S$2-$R$2))*MAX(Dashboard!$C$18,Dashboard!$B$18)))))</f>
        <v>0</v>
      </c>
    </row>
    <row r="663" spans="1:14" x14ac:dyDescent="0.2">
      <c r="A663" s="22">
        <f t="shared" si="118"/>
        <v>658</v>
      </c>
      <c r="B663" s="23">
        <f t="shared" si="119"/>
        <v>72.888127853881485</v>
      </c>
      <c r="C663" t="str">
        <f t="shared" si="110"/>
        <v>72 y 10.66 m</v>
      </c>
      <c r="D663" s="24">
        <f>IF(A663&gt;=$E$2,IF(A663&lt;$E$2+$H$2,$P$2,0),IF(B663&lt;Dashboard!$I$6,0,IF(A663&gt;=$F$2,Dashboard!$C$23*POWER(1+$C$2,A663-$F$2),Dashboard!$C$23)))</f>
        <v>0</v>
      </c>
      <c r="E663" s="24">
        <f>IF(A663&gt;=$F$2,0,IF(A663=0,Dashboard!$G$10,IF(B663&lt;Dashboard!$I$6,IF($J$2&lt;=Dashboard!$H$10,Dashboard!$H$10,MAX(Dashboard!$H$10,MIN($J$2,Dashboard!$H$10*POWER($J$2/Dashboard!$H$10,A663/$D$2)))),$I$2-D663-Dashboard!$I$10-Dashboard!$J$10-Dashboard!$F$10*$I$2)))</f>
        <v>0</v>
      </c>
      <c r="F663" s="24">
        <f t="shared" si="111"/>
        <v>11129.766938046136</v>
      </c>
      <c r="G663" s="24">
        <f t="shared" si="112"/>
        <v>15197.778208538839</v>
      </c>
      <c r="H663" s="24">
        <f t="shared" si="113"/>
        <v>0</v>
      </c>
      <c r="I663" s="24">
        <f t="shared" si="114"/>
        <v>-15197.778208538839</v>
      </c>
      <c r="J663" s="25">
        <f t="shared" si="115"/>
        <v>7.9741404289037643E-3</v>
      </c>
      <c r="K663" s="24">
        <f t="shared" si="120"/>
        <v>30924986.338027567</v>
      </c>
      <c r="L663" s="24">
        <f t="shared" si="116"/>
        <v>30924986.338027567</v>
      </c>
      <c r="M663" s="24">
        <f t="shared" si="117"/>
        <v>0</v>
      </c>
      <c r="N663" s="24">
        <f>IF(M663&lt;=0,0,IF($E$2-A663&lt;12,(M663-E663)*Dashboard!$B$18,IF($Q$2+A663&gt;=$R$2,MAX(0,M663-E663*POWER(1+$C$2,$E$2-A663))*MAX(Dashboard!$C$18,Dashboard!$B$18),IF($S$2&lt;$R$2,(M663-E663)*0.5*Dashboard!$B$18,(E663*POWER(1+$A$2,$R$2-($Q$2+A663))-E663)*0.5*Dashboard!$B$18+MAX(0,M663-E663*POWER(1+$A$2,$R$2-($Q$2+A663))*POWER(1+$C$2,$S$2-$R$2))*MAX(Dashboard!$C$18,Dashboard!$B$18)))))</f>
        <v>0</v>
      </c>
    </row>
    <row r="664" spans="1:14" x14ac:dyDescent="0.2">
      <c r="A664" s="22">
        <f t="shared" si="118"/>
        <v>659</v>
      </c>
      <c r="B664" s="23">
        <f t="shared" si="119"/>
        <v>72.971461187214814</v>
      </c>
      <c r="C664" t="str">
        <f t="shared" si="110"/>
        <v>72 y 11.66 m</v>
      </c>
      <c r="D664" s="24">
        <f>IF(A664&gt;=$E$2,IF(A664&lt;$E$2+$H$2,$P$2,0),IF(B664&lt;Dashboard!$I$6,0,IF(A664&gt;=$F$2,Dashboard!$C$23*POWER(1+$C$2,A664-$F$2),Dashboard!$C$23)))</f>
        <v>0</v>
      </c>
      <c r="E664" s="24">
        <f>IF(A664&gt;=$F$2,0,IF(A664=0,Dashboard!$G$10,IF(B664&lt;Dashboard!$I$6,IF($J$2&lt;=Dashboard!$H$10,Dashboard!$H$10,MAX(Dashboard!$H$10,MIN($J$2,Dashboard!$H$10*POWER($J$2/Dashboard!$H$10,A664/$D$2)))),$I$2-D664-Dashboard!$I$10-Dashboard!$J$10-Dashboard!$F$10*$I$2)))</f>
        <v>0</v>
      </c>
      <c r="F664" s="24">
        <f t="shared" si="111"/>
        <v>11152.692435660021</v>
      </c>
      <c r="G664" s="24">
        <f t="shared" si="112"/>
        <v>15234.16788729104</v>
      </c>
      <c r="H664" s="24">
        <f t="shared" si="113"/>
        <v>0</v>
      </c>
      <c r="I664" s="24">
        <f t="shared" si="114"/>
        <v>-15234.16788729104</v>
      </c>
      <c r="J664" s="25">
        <f t="shared" si="115"/>
        <v>7.9741404289037643E-3</v>
      </c>
      <c r="K664" s="24">
        <f t="shared" si="120"/>
        <v>31156230.874567587</v>
      </c>
      <c r="L664" s="24">
        <f t="shared" si="116"/>
        <v>31156230.874567587</v>
      </c>
      <c r="M664" s="24">
        <f t="shared" si="117"/>
        <v>0</v>
      </c>
      <c r="N664" s="24">
        <f>IF(M664&lt;=0,0,IF($E$2-A664&lt;12,(M664-E664)*Dashboard!$B$18,IF($Q$2+A664&gt;=$R$2,MAX(0,M664-E664*POWER(1+$C$2,$E$2-A664))*MAX(Dashboard!$C$18,Dashboard!$B$18),IF($S$2&lt;$R$2,(M664-E664)*0.5*Dashboard!$B$18,(E664*POWER(1+$A$2,$R$2-($Q$2+A664))-E664)*0.5*Dashboard!$B$18+MAX(0,M664-E664*POWER(1+$A$2,$R$2-($Q$2+A664))*POWER(1+$C$2,$S$2-$R$2))*MAX(Dashboard!$C$18,Dashboard!$B$18)))))</f>
        <v>0</v>
      </c>
    </row>
    <row r="665" spans="1:14" x14ac:dyDescent="0.2">
      <c r="A665" s="22">
        <f t="shared" si="118"/>
        <v>660</v>
      </c>
      <c r="B665" s="23">
        <f t="shared" si="119"/>
        <v>73.054794520548143</v>
      </c>
      <c r="C665" t="str">
        <f t="shared" si="110"/>
        <v>73 y 0.66 m</v>
      </c>
      <c r="D665" s="24">
        <f>IF(A665&gt;=$E$2,IF(A665&lt;$E$2+$H$2,$P$2,0),IF(B665&lt;Dashboard!$I$6,0,IF(A665&gt;=$F$2,Dashboard!$C$23*POWER(1+$C$2,A665-$F$2),Dashboard!$C$23)))</f>
        <v>0</v>
      </c>
      <c r="E665" s="24">
        <f>IF(A665&gt;=$F$2,0,IF(A665=0,Dashboard!$G$10,IF(B665&lt;Dashboard!$I$6,IF($J$2&lt;=Dashboard!$H$10,Dashboard!$H$10,MAX(Dashboard!$H$10,MIN($J$2,Dashboard!$H$10*POWER($J$2/Dashboard!$H$10,A665/$D$2)))),$I$2-D665-Dashboard!$I$10-Dashboard!$J$10-Dashboard!$F$10*$I$2)))</f>
        <v>0</v>
      </c>
      <c r="F665" s="24">
        <f t="shared" si="111"/>
        <v>11175.665156045394</v>
      </c>
      <c r="G665" s="24">
        <f t="shared" si="112"/>
        <v>15270.632522823378</v>
      </c>
      <c r="H665" s="24">
        <f t="shared" si="113"/>
        <v>0</v>
      </c>
      <c r="I665" s="24">
        <f t="shared" si="114"/>
        <v>-15270.632522823378</v>
      </c>
      <c r="J665" s="25">
        <f t="shared" si="115"/>
        <v>7.9741404289037643E-3</v>
      </c>
      <c r="K665" s="24">
        <f t="shared" si="120"/>
        <v>31389282.632105734</v>
      </c>
      <c r="L665" s="24">
        <f t="shared" si="116"/>
        <v>31389282.632105734</v>
      </c>
      <c r="M665" s="24">
        <f t="shared" si="117"/>
        <v>0</v>
      </c>
      <c r="N665" s="24">
        <f>IF(M665&lt;=0,0,IF($E$2-A665&lt;12,(M665-E665)*Dashboard!$B$18,IF($Q$2+A665&gt;=$R$2,MAX(0,M665-E665*POWER(1+$C$2,$E$2-A665))*MAX(Dashboard!$C$18,Dashboard!$B$18),IF($S$2&lt;$R$2,(M665-E665)*0.5*Dashboard!$B$18,(E665*POWER(1+$A$2,$R$2-($Q$2+A665))-E665)*0.5*Dashboard!$B$18+MAX(0,M665-E665*POWER(1+$A$2,$R$2-($Q$2+A665))*POWER(1+$C$2,$S$2-$R$2))*MAX(Dashboard!$C$18,Dashboard!$B$18)))))</f>
        <v>0</v>
      </c>
    </row>
    <row r="666" spans="1:14" x14ac:dyDescent="0.2">
      <c r="A666" s="22">
        <f t="shared" si="118"/>
        <v>661</v>
      </c>
      <c r="B666" s="23">
        <f t="shared" si="119"/>
        <v>73.138127853881471</v>
      </c>
      <c r="C666" t="str">
        <f t="shared" si="110"/>
        <v>73 y 1.66 m</v>
      </c>
      <c r="D666" s="24">
        <f>IF(A666&gt;=$E$2,IF(A666&lt;$E$2+$H$2,$P$2,0),IF(B666&lt;Dashboard!$I$6,0,IF(A666&gt;=$F$2,Dashboard!$C$23*POWER(1+$C$2,A666-$F$2),Dashboard!$C$23)))</f>
        <v>0</v>
      </c>
      <c r="E666" s="24">
        <f>IF(A666&gt;=$F$2,0,IF(A666=0,Dashboard!$G$10,IF(B666&lt;Dashboard!$I$6,IF($J$2&lt;=Dashboard!$H$10,Dashboard!$H$10,MAX(Dashboard!$H$10,MIN($J$2,Dashboard!$H$10*POWER($J$2/Dashboard!$H$10,A666/$D$2)))),$I$2-D666-Dashboard!$I$10-Dashboard!$J$10-Dashboard!$F$10*$I$2)))</f>
        <v>0</v>
      </c>
      <c r="F666" s="24">
        <f t="shared" si="111"/>
        <v>11198.685196473434</v>
      </c>
      <c r="G666" s="24">
        <f t="shared" si="112"/>
        <v>15307.172269534551</v>
      </c>
      <c r="H666" s="24">
        <f t="shared" si="113"/>
        <v>0</v>
      </c>
      <c r="I666" s="24">
        <f t="shared" si="114"/>
        <v>-15307.172269534551</v>
      </c>
      <c r="J666" s="25">
        <f t="shared" si="115"/>
        <v>7.9741404289037643E-3</v>
      </c>
      <c r="K666" s="24">
        <f t="shared" si="120"/>
        <v>31624155.945965916</v>
      </c>
      <c r="L666" s="24">
        <f t="shared" si="116"/>
        <v>31624155.945965916</v>
      </c>
      <c r="M666" s="24">
        <f t="shared" si="117"/>
        <v>0</v>
      </c>
      <c r="N666" s="24">
        <f>IF(M666&lt;=0,0,IF($E$2-A666&lt;12,(M666-E666)*Dashboard!$B$18,IF($Q$2+A666&gt;=$R$2,MAX(0,M666-E666*POWER(1+$C$2,$E$2-A666))*MAX(Dashboard!$C$18,Dashboard!$B$18),IF($S$2&lt;$R$2,(M666-E666)*0.5*Dashboard!$B$18,(E666*POWER(1+$A$2,$R$2-($Q$2+A666))-E666)*0.5*Dashboard!$B$18+MAX(0,M666-E666*POWER(1+$A$2,$R$2-($Q$2+A666))*POWER(1+$C$2,$S$2-$R$2))*MAX(Dashboard!$C$18,Dashboard!$B$18)))))</f>
        <v>0</v>
      </c>
    </row>
    <row r="667" spans="1:14" x14ac:dyDescent="0.2">
      <c r="A667" s="22">
        <f t="shared" si="118"/>
        <v>662</v>
      </c>
      <c r="B667" s="23">
        <f t="shared" si="119"/>
        <v>73.2214611872148</v>
      </c>
      <c r="C667" t="str">
        <f t="shared" si="110"/>
        <v>73 y 2.66 m</v>
      </c>
      <c r="D667" s="24">
        <f>IF(A667&gt;=$E$2,IF(A667&lt;$E$2+$H$2,$P$2,0),IF(B667&lt;Dashboard!$I$6,0,IF(A667&gt;=$F$2,Dashboard!$C$23*POWER(1+$C$2,A667-$F$2),Dashboard!$C$23)))</f>
        <v>0</v>
      </c>
      <c r="E667" s="24">
        <f>IF(A667&gt;=$F$2,0,IF(A667=0,Dashboard!$G$10,IF(B667&lt;Dashboard!$I$6,IF($J$2&lt;=Dashboard!$H$10,Dashboard!$H$10,MAX(Dashboard!$H$10,MIN($J$2,Dashboard!$H$10*POWER($J$2/Dashboard!$H$10,A667/$D$2)))),$I$2-D667-Dashboard!$I$10-Dashboard!$J$10-Dashboard!$F$10*$I$2)))</f>
        <v>0</v>
      </c>
      <c r="F667" s="24">
        <f t="shared" si="111"/>
        <v>11221.752654415683</v>
      </c>
      <c r="G667" s="24">
        <f t="shared" si="112"/>
        <v>15343.787282141295</v>
      </c>
      <c r="H667" s="24">
        <f t="shared" si="113"/>
        <v>0</v>
      </c>
      <c r="I667" s="24">
        <f t="shared" si="114"/>
        <v>-15343.787282141295</v>
      </c>
      <c r="J667" s="25">
        <f t="shared" si="115"/>
        <v>7.9741404289037643E-3</v>
      </c>
      <c r="K667" s="24">
        <f t="shared" si="120"/>
        <v>31860865.265627958</v>
      </c>
      <c r="L667" s="24">
        <f t="shared" si="116"/>
        <v>31860865.265627958</v>
      </c>
      <c r="M667" s="24">
        <f t="shared" si="117"/>
        <v>0</v>
      </c>
      <c r="N667" s="24">
        <f>IF(M667&lt;=0,0,IF($E$2-A667&lt;12,(M667-E667)*Dashboard!$B$18,IF($Q$2+A667&gt;=$R$2,MAX(0,M667-E667*POWER(1+$C$2,$E$2-A667))*MAX(Dashboard!$C$18,Dashboard!$B$18),IF($S$2&lt;$R$2,(M667-E667)*0.5*Dashboard!$B$18,(E667*POWER(1+$A$2,$R$2-($Q$2+A667))-E667)*0.5*Dashboard!$B$18+MAX(0,M667-E667*POWER(1+$A$2,$R$2-($Q$2+A667))*POWER(1+$C$2,$S$2-$R$2))*MAX(Dashboard!$C$18,Dashboard!$B$18)))))</f>
        <v>0</v>
      </c>
    </row>
    <row r="668" spans="1:14" x14ac:dyDescent="0.2">
      <c r="A668" s="22">
        <f t="shared" si="118"/>
        <v>663</v>
      </c>
      <c r="B668" s="23">
        <f t="shared" si="119"/>
        <v>73.304794520548128</v>
      </c>
      <c r="C668" t="str">
        <f t="shared" si="110"/>
        <v>73 y 3.66 m</v>
      </c>
      <c r="D668" s="24">
        <f>IF(A668&gt;=$E$2,IF(A668&lt;$E$2+$H$2,$P$2,0),IF(B668&lt;Dashboard!$I$6,0,IF(A668&gt;=$F$2,Dashboard!$C$23*POWER(1+$C$2,A668-$F$2),Dashboard!$C$23)))</f>
        <v>0</v>
      </c>
      <c r="E668" s="24">
        <f>IF(A668&gt;=$F$2,0,IF(A668=0,Dashboard!$G$10,IF(B668&lt;Dashboard!$I$6,IF($J$2&lt;=Dashboard!$H$10,Dashboard!$H$10,MAX(Dashboard!$H$10,MIN($J$2,Dashboard!$H$10*POWER($J$2/Dashboard!$H$10,A668/$D$2)))),$I$2-D668-Dashboard!$I$10-Dashboard!$J$10-Dashboard!$F$10*$I$2)))</f>
        <v>0</v>
      </c>
      <c r="F668" s="24">
        <f t="shared" si="111"/>
        <v>11244.86762754445</v>
      </c>
      <c r="G668" s="24">
        <f t="shared" si="112"/>
        <v>15380.477715679022</v>
      </c>
      <c r="H668" s="24">
        <f t="shared" si="113"/>
        <v>0</v>
      </c>
      <c r="I668" s="24">
        <f t="shared" si="114"/>
        <v>-15380.477715679022</v>
      </c>
      <c r="J668" s="25">
        <f t="shared" si="115"/>
        <v>7.9741404289037643E-3</v>
      </c>
      <c r="K668" s="24">
        <f t="shared" si="120"/>
        <v>32099425.155637611</v>
      </c>
      <c r="L668" s="24">
        <f t="shared" si="116"/>
        <v>32099425.155637611</v>
      </c>
      <c r="M668" s="24">
        <f t="shared" si="117"/>
        <v>0</v>
      </c>
      <c r="N668" s="24">
        <f>IF(M668&lt;=0,0,IF($E$2-A668&lt;12,(M668-E668)*Dashboard!$B$18,IF($Q$2+A668&gt;=$R$2,MAX(0,M668-E668*POWER(1+$C$2,$E$2-A668))*MAX(Dashboard!$C$18,Dashboard!$B$18),IF($S$2&lt;$R$2,(M668-E668)*0.5*Dashboard!$B$18,(E668*POWER(1+$A$2,$R$2-($Q$2+A668))-E668)*0.5*Dashboard!$B$18+MAX(0,M668-E668*POWER(1+$A$2,$R$2-($Q$2+A668))*POWER(1+$C$2,$S$2-$R$2))*MAX(Dashboard!$C$18,Dashboard!$B$18)))))</f>
        <v>0</v>
      </c>
    </row>
    <row r="669" spans="1:14" x14ac:dyDescent="0.2">
      <c r="A669" s="22">
        <f t="shared" si="118"/>
        <v>664</v>
      </c>
      <c r="B669" s="23">
        <f t="shared" si="119"/>
        <v>73.388127853881457</v>
      </c>
      <c r="C669" t="str">
        <f t="shared" si="110"/>
        <v>73 y 4.66 m</v>
      </c>
      <c r="D669" s="24">
        <f>IF(A669&gt;=$E$2,IF(A669&lt;$E$2+$H$2,$P$2,0),IF(B669&lt;Dashboard!$I$6,0,IF(A669&gt;=$F$2,Dashboard!$C$23*POWER(1+$C$2,A669-$F$2),Dashboard!$C$23)))</f>
        <v>0</v>
      </c>
      <c r="E669" s="24">
        <f>IF(A669&gt;=$F$2,0,IF(A669=0,Dashboard!$G$10,IF(B669&lt;Dashboard!$I$6,IF($J$2&lt;=Dashboard!$H$10,Dashboard!$H$10,MAX(Dashboard!$H$10,MIN($J$2,Dashboard!$H$10*POWER($J$2/Dashboard!$H$10,A669/$D$2)))),$I$2-D669-Dashboard!$I$10-Dashboard!$J$10-Dashboard!$F$10*$I$2)))</f>
        <v>0</v>
      </c>
      <c r="F669" s="24">
        <f t="shared" si="111"/>
        <v>11268.030213733249</v>
      </c>
      <c r="G669" s="24">
        <f t="shared" si="112"/>
        <v>15417.243725502514</v>
      </c>
      <c r="H669" s="24">
        <f t="shared" si="113"/>
        <v>0</v>
      </c>
      <c r="I669" s="24">
        <f t="shared" si="114"/>
        <v>-15417.243725502514</v>
      </c>
      <c r="J669" s="25">
        <f t="shared" si="115"/>
        <v>7.9741404289037643E-3</v>
      </c>
      <c r="K669" s="24">
        <f t="shared" si="120"/>
        <v>32339850.296523757</v>
      </c>
      <c r="L669" s="24">
        <f t="shared" si="116"/>
        <v>32339850.296523757</v>
      </c>
      <c r="M669" s="24">
        <f t="shared" si="117"/>
        <v>0</v>
      </c>
      <c r="N669" s="24">
        <f>IF(M669&lt;=0,0,IF($E$2-A669&lt;12,(M669-E669)*Dashboard!$B$18,IF($Q$2+A669&gt;=$R$2,MAX(0,M669-E669*POWER(1+$C$2,$E$2-A669))*MAX(Dashboard!$C$18,Dashboard!$B$18),IF($S$2&lt;$R$2,(M669-E669)*0.5*Dashboard!$B$18,(E669*POWER(1+$A$2,$R$2-($Q$2+A669))-E669)*0.5*Dashboard!$B$18+MAX(0,M669-E669*POWER(1+$A$2,$R$2-($Q$2+A669))*POWER(1+$C$2,$S$2-$R$2))*MAX(Dashboard!$C$18,Dashboard!$B$18)))))</f>
        <v>0</v>
      </c>
    </row>
    <row r="670" spans="1:14" x14ac:dyDescent="0.2">
      <c r="A670" s="22">
        <f t="shared" si="118"/>
        <v>665</v>
      </c>
      <c r="B670" s="23">
        <f t="shared" si="119"/>
        <v>73.471461187214786</v>
      </c>
      <c r="C670" t="str">
        <f t="shared" si="110"/>
        <v>73 y 5.66 m</v>
      </c>
      <c r="D670" s="24">
        <f>IF(A670&gt;=$E$2,IF(A670&lt;$E$2+$H$2,$P$2,0),IF(B670&lt;Dashboard!$I$6,0,IF(A670&gt;=$F$2,Dashboard!$C$23*POWER(1+$C$2,A670-$F$2),Dashboard!$C$23)))</f>
        <v>0</v>
      </c>
      <c r="E670" s="24">
        <f>IF(A670&gt;=$F$2,0,IF(A670=0,Dashboard!$G$10,IF(B670&lt;Dashboard!$I$6,IF($J$2&lt;=Dashboard!$H$10,Dashboard!$H$10,MAX(Dashboard!$H$10,MIN($J$2,Dashboard!$H$10*POWER($J$2/Dashboard!$H$10,A670/$D$2)))),$I$2-D670-Dashboard!$I$10-Dashboard!$J$10-Dashboard!$F$10*$I$2)))</f>
        <v>0</v>
      </c>
      <c r="F670" s="24">
        <f t="shared" si="111"/>
        <v>11291.24051105718</v>
      </c>
      <c r="G670" s="24">
        <f t="shared" si="112"/>
        <v>15454.08546728653</v>
      </c>
      <c r="H670" s="24">
        <f t="shared" si="113"/>
        <v>0</v>
      </c>
      <c r="I670" s="24">
        <f t="shared" si="114"/>
        <v>-15454.08546728653</v>
      </c>
      <c r="J670" s="25">
        <f t="shared" si="115"/>
        <v>7.9741404289037643E-3</v>
      </c>
      <c r="K670" s="24">
        <f t="shared" si="120"/>
        <v>32582155.485722959</v>
      </c>
      <c r="L670" s="24">
        <f t="shared" si="116"/>
        <v>32582155.485722959</v>
      </c>
      <c r="M670" s="24">
        <f t="shared" si="117"/>
        <v>0</v>
      </c>
      <c r="N670" s="24">
        <f>IF(M670&lt;=0,0,IF($E$2-A670&lt;12,(M670-E670)*Dashboard!$B$18,IF($Q$2+A670&gt;=$R$2,MAX(0,M670-E670*POWER(1+$C$2,$E$2-A670))*MAX(Dashboard!$C$18,Dashboard!$B$18),IF($S$2&lt;$R$2,(M670-E670)*0.5*Dashboard!$B$18,(E670*POWER(1+$A$2,$R$2-($Q$2+A670))-E670)*0.5*Dashboard!$B$18+MAX(0,M670-E670*POWER(1+$A$2,$R$2-($Q$2+A670))*POWER(1+$C$2,$S$2-$R$2))*MAX(Dashboard!$C$18,Dashboard!$B$18)))))</f>
        <v>0</v>
      </c>
    </row>
    <row r="671" spans="1:14" x14ac:dyDescent="0.2">
      <c r="A671" s="22">
        <f t="shared" si="118"/>
        <v>666</v>
      </c>
      <c r="B671" s="23">
        <f t="shared" si="119"/>
        <v>73.554794520548114</v>
      </c>
      <c r="C671" t="str">
        <f t="shared" si="110"/>
        <v>73 y 6.66 m</v>
      </c>
      <c r="D671" s="24">
        <f>IF(A671&gt;=$E$2,IF(A671&lt;$E$2+$H$2,$P$2,0),IF(B671&lt;Dashboard!$I$6,0,IF(A671&gt;=$F$2,Dashboard!$C$23*POWER(1+$C$2,A671-$F$2),Dashboard!$C$23)))</f>
        <v>0</v>
      </c>
      <c r="E671" s="24">
        <f>IF(A671&gt;=$F$2,0,IF(A671=0,Dashboard!$G$10,IF(B671&lt;Dashboard!$I$6,IF($J$2&lt;=Dashboard!$H$10,Dashboard!$H$10,MAX(Dashboard!$H$10,MIN($J$2,Dashboard!$H$10*POWER($J$2/Dashboard!$H$10,A671/$D$2)))),$I$2-D671-Dashboard!$I$10-Dashboard!$J$10-Dashboard!$F$10*$I$2)))</f>
        <v>0</v>
      </c>
      <c r="F671" s="24">
        <f t="shared" si="111"/>
        <v>11314.498617793372</v>
      </c>
      <c r="G671" s="24">
        <f t="shared" si="112"/>
        <v>15491.003097026514</v>
      </c>
      <c r="H671" s="24">
        <f t="shared" si="113"/>
        <v>0</v>
      </c>
      <c r="I671" s="24">
        <f t="shared" si="114"/>
        <v>-15491.003097026514</v>
      </c>
      <c r="J671" s="25">
        <f t="shared" si="115"/>
        <v>7.9741404289037643E-3</v>
      </c>
      <c r="K671" s="24">
        <f t="shared" si="120"/>
        <v>32826355.638511382</v>
      </c>
      <c r="L671" s="24">
        <f t="shared" si="116"/>
        <v>32826355.638511382</v>
      </c>
      <c r="M671" s="24">
        <f t="shared" si="117"/>
        <v>0</v>
      </c>
      <c r="N671" s="24">
        <f>IF(M671&lt;=0,0,IF($E$2-A671&lt;12,(M671-E671)*Dashboard!$B$18,IF($Q$2+A671&gt;=$R$2,MAX(0,M671-E671*POWER(1+$C$2,$E$2-A671))*MAX(Dashboard!$C$18,Dashboard!$B$18),IF($S$2&lt;$R$2,(M671-E671)*0.5*Dashboard!$B$18,(E671*POWER(1+$A$2,$R$2-($Q$2+A671))-E671)*0.5*Dashboard!$B$18+MAX(0,M671-E671*POWER(1+$A$2,$R$2-($Q$2+A671))*POWER(1+$C$2,$S$2-$R$2))*MAX(Dashboard!$C$18,Dashboard!$B$18)))))</f>
        <v>0</v>
      </c>
    </row>
    <row r="672" spans="1:14" x14ac:dyDescent="0.2">
      <c r="A672" s="22">
        <f t="shared" si="118"/>
        <v>667</v>
      </c>
      <c r="B672" s="23">
        <f t="shared" si="119"/>
        <v>73.638127853881443</v>
      </c>
      <c r="C672" t="str">
        <f t="shared" si="110"/>
        <v>73 y 7.66 m</v>
      </c>
      <c r="D672" s="24">
        <f>IF(A672&gt;=$E$2,IF(A672&lt;$E$2+$H$2,$P$2,0),IF(B672&lt;Dashboard!$I$6,0,IF(A672&gt;=$F$2,Dashboard!$C$23*POWER(1+$C$2,A672-$F$2),Dashboard!$C$23)))</f>
        <v>0</v>
      </c>
      <c r="E672" s="24">
        <f>IF(A672&gt;=$F$2,0,IF(A672=0,Dashboard!$G$10,IF(B672&lt;Dashboard!$I$6,IF($J$2&lt;=Dashboard!$H$10,Dashboard!$H$10,MAX(Dashboard!$H$10,MIN($J$2,Dashboard!$H$10*POWER($J$2/Dashboard!$H$10,A672/$D$2)))),$I$2-D672-Dashboard!$I$10-Dashboard!$J$10-Dashboard!$F$10*$I$2)))</f>
        <v>0</v>
      </c>
      <c r="F672" s="24">
        <f t="shared" si="111"/>
        <v>11337.80463242139</v>
      </c>
      <c r="G672" s="24">
        <f t="shared" si="112"/>
        <v>15527.996771039243</v>
      </c>
      <c r="H672" s="24">
        <f t="shared" si="113"/>
        <v>0</v>
      </c>
      <c r="I672" s="24">
        <f t="shared" si="114"/>
        <v>-15527.996771039243</v>
      </c>
      <c r="J672" s="25">
        <f t="shared" si="115"/>
        <v>7.9741404289037643E-3</v>
      </c>
      <c r="K672" s="24">
        <f t="shared" si="120"/>
        <v>33072465.78894414</v>
      </c>
      <c r="L672" s="24">
        <f t="shared" si="116"/>
        <v>33072465.78894414</v>
      </c>
      <c r="M672" s="24">
        <f t="shared" si="117"/>
        <v>0</v>
      </c>
      <c r="N672" s="24">
        <f>IF(M672&lt;=0,0,IF($E$2-A672&lt;12,(M672-E672)*Dashboard!$B$18,IF($Q$2+A672&gt;=$R$2,MAX(0,M672-E672*POWER(1+$C$2,$E$2-A672))*MAX(Dashboard!$C$18,Dashboard!$B$18),IF($S$2&lt;$R$2,(M672-E672)*0.5*Dashboard!$B$18,(E672*POWER(1+$A$2,$R$2-($Q$2+A672))-E672)*0.5*Dashboard!$B$18+MAX(0,M672-E672*POWER(1+$A$2,$R$2-($Q$2+A672))*POWER(1+$C$2,$S$2-$R$2))*MAX(Dashboard!$C$18,Dashboard!$B$18)))))</f>
        <v>0</v>
      </c>
    </row>
    <row r="673" spans="1:14" x14ac:dyDescent="0.2">
      <c r="A673" s="22">
        <f t="shared" si="118"/>
        <v>668</v>
      </c>
      <c r="B673" s="23">
        <f t="shared" si="119"/>
        <v>73.721461187214771</v>
      </c>
      <c r="C673" t="str">
        <f t="shared" si="110"/>
        <v>73 y 8.66 m</v>
      </c>
      <c r="D673" s="24">
        <f>IF(A673&gt;=$E$2,IF(A673&lt;$E$2+$H$2,$P$2,0),IF(B673&lt;Dashboard!$I$6,0,IF(A673&gt;=$F$2,Dashboard!$C$23*POWER(1+$C$2,A673-$F$2),Dashboard!$C$23)))</f>
        <v>0</v>
      </c>
      <c r="E673" s="24">
        <f>IF(A673&gt;=$F$2,0,IF(A673=0,Dashboard!$G$10,IF(B673&lt;Dashboard!$I$6,IF($J$2&lt;=Dashboard!$H$10,Dashboard!$H$10,MAX(Dashboard!$H$10,MIN($J$2,Dashboard!$H$10*POWER($J$2/Dashboard!$H$10,A673/$D$2)))),$I$2-D673-Dashboard!$I$10-Dashboard!$J$10-Dashboard!$F$10*$I$2)))</f>
        <v>0</v>
      </c>
      <c r="F673" s="24">
        <f t="shared" si="111"/>
        <v>11361.158653623639</v>
      </c>
      <c r="G673" s="24">
        <f t="shared" si="112"/>
        <v>15565.066645963447</v>
      </c>
      <c r="H673" s="24">
        <f t="shared" si="113"/>
        <v>0</v>
      </c>
      <c r="I673" s="24">
        <f t="shared" si="114"/>
        <v>-15565.066645963447</v>
      </c>
      <c r="J673" s="25">
        <f t="shared" si="115"/>
        <v>7.9741404289037643E-3</v>
      </c>
      <c r="K673" s="24">
        <f t="shared" si="120"/>
        <v>33320501.090802111</v>
      </c>
      <c r="L673" s="24">
        <f t="shared" si="116"/>
        <v>33320501.090802111</v>
      </c>
      <c r="M673" s="24">
        <f t="shared" si="117"/>
        <v>0</v>
      </c>
      <c r="N673" s="24">
        <f>IF(M673&lt;=0,0,IF($E$2-A673&lt;12,(M673-E673)*Dashboard!$B$18,IF($Q$2+A673&gt;=$R$2,MAX(0,M673-E673*POWER(1+$C$2,$E$2-A673))*MAX(Dashboard!$C$18,Dashboard!$B$18),IF($S$2&lt;$R$2,(M673-E673)*0.5*Dashboard!$B$18,(E673*POWER(1+$A$2,$R$2-($Q$2+A673))-E673)*0.5*Dashboard!$B$18+MAX(0,M673-E673*POWER(1+$A$2,$R$2-($Q$2+A673))*POWER(1+$C$2,$S$2-$R$2))*MAX(Dashboard!$C$18,Dashboard!$B$18)))))</f>
        <v>0</v>
      </c>
    </row>
    <row r="674" spans="1:14" x14ac:dyDescent="0.2">
      <c r="A674" s="22">
        <f t="shared" si="118"/>
        <v>669</v>
      </c>
      <c r="B674" s="23">
        <f t="shared" si="119"/>
        <v>73.8047945205481</v>
      </c>
      <c r="C674" t="str">
        <f t="shared" si="110"/>
        <v>73 y 9.66 m</v>
      </c>
      <c r="D674" s="24">
        <f>IF(A674&gt;=$E$2,IF(A674&lt;$E$2+$H$2,$P$2,0),IF(B674&lt;Dashboard!$I$6,0,IF(A674&gt;=$F$2,Dashboard!$C$23*POWER(1+$C$2,A674-$F$2),Dashboard!$C$23)))</f>
        <v>0</v>
      </c>
      <c r="E674" s="24">
        <f>IF(A674&gt;=$F$2,0,IF(A674=0,Dashboard!$G$10,IF(B674&lt;Dashboard!$I$6,IF($J$2&lt;=Dashboard!$H$10,Dashboard!$H$10,MAX(Dashboard!$H$10,MIN($J$2,Dashboard!$H$10*POWER($J$2/Dashboard!$H$10,A674/$D$2)))),$I$2-D674-Dashboard!$I$10-Dashboard!$J$10-Dashboard!$F$10*$I$2)))</f>
        <v>0</v>
      </c>
      <c r="F674" s="24">
        <f t="shared" si="111"/>
        <v>11384.560780285812</v>
      </c>
      <c r="G674" s="24">
        <f t="shared" si="112"/>
        <v>15602.212878760547</v>
      </c>
      <c r="H674" s="24">
        <f t="shared" si="113"/>
        <v>0</v>
      </c>
      <c r="I674" s="24">
        <f t="shared" si="114"/>
        <v>-15602.212878760547</v>
      </c>
      <c r="J674" s="25">
        <f t="shared" si="115"/>
        <v>7.9741404289037643E-3</v>
      </c>
      <c r="K674" s="24">
        <f t="shared" si="120"/>
        <v>33570476.818546347</v>
      </c>
      <c r="L674" s="24">
        <f t="shared" si="116"/>
        <v>33570476.818546347</v>
      </c>
      <c r="M674" s="24">
        <f t="shared" si="117"/>
        <v>0</v>
      </c>
      <c r="N674" s="24">
        <f>IF(M674&lt;=0,0,IF($E$2-A674&lt;12,(M674-E674)*Dashboard!$B$18,IF($Q$2+A674&gt;=$R$2,MAX(0,M674-E674*POWER(1+$C$2,$E$2-A674))*MAX(Dashboard!$C$18,Dashboard!$B$18),IF($S$2&lt;$R$2,(M674-E674)*0.5*Dashboard!$B$18,(E674*POWER(1+$A$2,$R$2-($Q$2+A674))-E674)*0.5*Dashboard!$B$18+MAX(0,M674-E674*POWER(1+$A$2,$R$2-($Q$2+A674))*POWER(1+$C$2,$S$2-$R$2))*MAX(Dashboard!$C$18,Dashboard!$B$18)))))</f>
        <v>0</v>
      </c>
    </row>
    <row r="675" spans="1:14" x14ac:dyDescent="0.2">
      <c r="A675" s="22">
        <f t="shared" si="118"/>
        <v>670</v>
      </c>
      <c r="B675" s="23">
        <f t="shared" si="119"/>
        <v>73.888127853881429</v>
      </c>
      <c r="C675" t="str">
        <f t="shared" si="110"/>
        <v>73 y 10.66 m</v>
      </c>
      <c r="D675" s="24">
        <f>IF(A675&gt;=$E$2,IF(A675&lt;$E$2+$H$2,$P$2,0),IF(B675&lt;Dashboard!$I$6,0,IF(A675&gt;=$F$2,Dashboard!$C$23*POWER(1+$C$2,A675-$F$2),Dashboard!$C$23)))</f>
        <v>0</v>
      </c>
      <c r="E675" s="24">
        <f>IF(A675&gt;=$F$2,0,IF(A675=0,Dashboard!$G$10,IF(B675&lt;Dashboard!$I$6,IF($J$2&lt;=Dashboard!$H$10,Dashboard!$H$10,MAX(Dashboard!$H$10,MIN($J$2,Dashboard!$H$10*POWER($J$2/Dashboard!$H$10,A675/$D$2)))),$I$2-D675-Dashboard!$I$10-Dashboard!$J$10-Dashboard!$F$10*$I$2)))</f>
        <v>0</v>
      </c>
      <c r="F675" s="24">
        <f t="shared" si="111"/>
        <v>11408.011111497275</v>
      </c>
      <c r="G675" s="24">
        <f t="shared" si="112"/>
        <v>15639.435626715253</v>
      </c>
      <c r="H675" s="24">
        <f t="shared" si="113"/>
        <v>0</v>
      </c>
      <c r="I675" s="24">
        <f t="shared" si="114"/>
        <v>-15639.435626715253</v>
      </c>
      <c r="J675" s="25">
        <f t="shared" si="115"/>
        <v>7.9741404289037643E-3</v>
      </c>
      <c r="K675" s="24">
        <f t="shared" si="120"/>
        <v>33822408.368280061</v>
      </c>
      <c r="L675" s="24">
        <f t="shared" si="116"/>
        <v>33822408.368280061</v>
      </c>
      <c r="M675" s="24">
        <f t="shared" si="117"/>
        <v>0</v>
      </c>
      <c r="N675" s="24">
        <f>IF(M675&lt;=0,0,IF($E$2-A675&lt;12,(M675-E675)*Dashboard!$B$18,IF($Q$2+A675&gt;=$R$2,MAX(0,M675-E675*POWER(1+$C$2,$E$2-A675))*MAX(Dashboard!$C$18,Dashboard!$B$18),IF($S$2&lt;$R$2,(M675-E675)*0.5*Dashboard!$B$18,(E675*POWER(1+$A$2,$R$2-($Q$2+A675))-E675)*0.5*Dashboard!$B$18+MAX(0,M675-E675*POWER(1+$A$2,$R$2-($Q$2+A675))*POWER(1+$C$2,$S$2-$R$2))*MAX(Dashboard!$C$18,Dashboard!$B$18)))))</f>
        <v>0</v>
      </c>
    </row>
    <row r="676" spans="1:14" x14ac:dyDescent="0.2">
      <c r="A676" s="22">
        <f t="shared" si="118"/>
        <v>671</v>
      </c>
      <c r="B676" s="23">
        <f t="shared" si="119"/>
        <v>73.971461187214757</v>
      </c>
      <c r="C676" t="str">
        <f t="shared" si="110"/>
        <v>73 y 11.66 m</v>
      </c>
      <c r="D676" s="24">
        <f>IF(A676&gt;=$E$2,IF(A676&lt;$E$2+$H$2,$P$2,0),IF(B676&lt;Dashboard!$I$6,0,IF(A676&gt;=$F$2,Dashboard!$C$23*POWER(1+$C$2,A676-$F$2),Dashboard!$C$23)))</f>
        <v>0</v>
      </c>
      <c r="E676" s="24">
        <f>IF(A676&gt;=$F$2,0,IF(A676=0,Dashboard!$G$10,IF(B676&lt;Dashboard!$I$6,IF($J$2&lt;=Dashboard!$H$10,Dashboard!$H$10,MAX(Dashboard!$H$10,MIN($J$2,Dashboard!$H$10*POWER($J$2/Dashboard!$H$10,A676/$D$2)))),$I$2-D676-Dashboard!$I$10-Dashboard!$J$10-Dashboard!$F$10*$I$2)))</f>
        <v>0</v>
      </c>
      <c r="F676" s="24">
        <f t="shared" si="111"/>
        <v>11431.509746551505</v>
      </c>
      <c r="G676" s="24">
        <f t="shared" si="112"/>
        <v>15676.735047436248</v>
      </c>
      <c r="H676" s="24">
        <f t="shared" si="113"/>
        <v>0</v>
      </c>
      <c r="I676" s="24">
        <f t="shared" si="114"/>
        <v>-15676.735047436248</v>
      </c>
      <c r="J676" s="25">
        <f t="shared" si="115"/>
        <v>7.9741404289037643E-3</v>
      </c>
      <c r="K676" s="24">
        <f t="shared" si="120"/>
        <v>34076311.258718282</v>
      </c>
      <c r="L676" s="24">
        <f t="shared" si="116"/>
        <v>34076311.258718282</v>
      </c>
      <c r="M676" s="24">
        <f t="shared" si="117"/>
        <v>0</v>
      </c>
      <c r="N676" s="24">
        <f>IF(M676&lt;=0,0,IF($E$2-A676&lt;12,(M676-E676)*Dashboard!$B$18,IF($Q$2+A676&gt;=$R$2,MAX(0,M676-E676*POWER(1+$C$2,$E$2-A676))*MAX(Dashboard!$C$18,Dashboard!$B$18),IF($S$2&lt;$R$2,(M676-E676)*0.5*Dashboard!$B$18,(E676*POWER(1+$A$2,$R$2-($Q$2+A676))-E676)*0.5*Dashboard!$B$18+MAX(0,M676-E676*POWER(1+$A$2,$R$2-($Q$2+A676))*POWER(1+$C$2,$S$2-$R$2))*MAX(Dashboard!$C$18,Dashboard!$B$18)))))</f>
        <v>0</v>
      </c>
    </row>
    <row r="677" spans="1:14" x14ac:dyDescent="0.2">
      <c r="A677" s="22">
        <f t="shared" si="118"/>
        <v>672</v>
      </c>
      <c r="B677" s="23">
        <f t="shared" si="119"/>
        <v>74.054794520548086</v>
      </c>
      <c r="C677" t="str">
        <f t="shared" si="110"/>
        <v>74 y 0.66 m</v>
      </c>
      <c r="D677" s="24">
        <f>IF(A677&gt;=$E$2,IF(A677&lt;$E$2+$H$2,$P$2,0),IF(B677&lt;Dashboard!$I$6,0,IF(A677&gt;=$F$2,Dashboard!$C$23*POWER(1+$C$2,A677-$F$2),Dashboard!$C$23)))</f>
        <v>0</v>
      </c>
      <c r="E677" s="24">
        <f>IF(A677&gt;=$F$2,0,IF(A677=0,Dashboard!$G$10,IF(B677&lt;Dashboard!$I$6,IF($J$2&lt;=Dashboard!$H$10,Dashboard!$H$10,MAX(Dashboard!$H$10,MIN($J$2,Dashboard!$H$10*POWER($J$2/Dashboard!$H$10,A677/$D$2)))),$I$2-D677-Dashboard!$I$10-Dashboard!$J$10-Dashboard!$F$10*$I$2)))</f>
        <v>0</v>
      </c>
      <c r="F677" s="24">
        <f t="shared" si="111"/>
        <v>11455.056784946511</v>
      </c>
      <c r="G677" s="24">
        <f t="shared" si="112"/>
        <v>15714.111298856895</v>
      </c>
      <c r="H677" s="24">
        <f t="shared" si="113"/>
        <v>0</v>
      </c>
      <c r="I677" s="24">
        <f t="shared" si="114"/>
        <v>-15714.111298856895</v>
      </c>
      <c r="J677" s="25">
        <f t="shared" si="115"/>
        <v>7.9741404289037643E-3</v>
      </c>
      <c r="K677" s="24">
        <f t="shared" si="120"/>
        <v>34332201.132165261</v>
      </c>
      <c r="L677" s="24">
        <f t="shared" si="116"/>
        <v>34332201.132165261</v>
      </c>
      <c r="M677" s="24">
        <f t="shared" si="117"/>
        <v>0</v>
      </c>
      <c r="N677" s="24">
        <f>IF(M677&lt;=0,0,IF($E$2-A677&lt;12,(M677-E677)*Dashboard!$B$18,IF($Q$2+A677&gt;=$R$2,MAX(0,M677-E677*POWER(1+$C$2,$E$2-A677))*MAX(Dashboard!$C$18,Dashboard!$B$18),IF($S$2&lt;$R$2,(M677-E677)*0.5*Dashboard!$B$18,(E677*POWER(1+$A$2,$R$2-($Q$2+A677))-E677)*0.5*Dashboard!$B$18+MAX(0,M677-E677*POWER(1+$A$2,$R$2-($Q$2+A677))*POWER(1+$C$2,$S$2-$R$2))*MAX(Dashboard!$C$18,Dashboard!$B$18)))))</f>
        <v>0</v>
      </c>
    </row>
    <row r="678" spans="1:14" x14ac:dyDescent="0.2">
      <c r="A678" s="22">
        <f t="shared" si="118"/>
        <v>673</v>
      </c>
      <c r="B678" s="23">
        <f t="shared" si="119"/>
        <v>74.138127853881414</v>
      </c>
      <c r="C678" t="str">
        <f t="shared" si="110"/>
        <v>74 y 1.66 m</v>
      </c>
      <c r="D678" s="24">
        <f>IF(A678&gt;=$E$2,IF(A678&lt;$E$2+$H$2,$P$2,0),IF(B678&lt;Dashboard!$I$6,0,IF(A678&gt;=$F$2,Dashboard!$C$23*POWER(1+$C$2,A678-$F$2),Dashboard!$C$23)))</f>
        <v>0</v>
      </c>
      <c r="E678" s="24">
        <f>IF(A678&gt;=$F$2,0,IF(A678=0,Dashboard!$G$10,IF(B678&lt;Dashboard!$I$6,IF($J$2&lt;=Dashboard!$H$10,Dashboard!$H$10,MAX(Dashboard!$H$10,MIN($J$2,Dashboard!$H$10*POWER($J$2/Dashboard!$H$10,A678/$D$2)))),$I$2-D678-Dashboard!$I$10-Dashboard!$J$10-Dashboard!$F$10*$I$2)))</f>
        <v>0</v>
      </c>
      <c r="F678" s="24">
        <f t="shared" si="111"/>
        <v>11478.652326385254</v>
      </c>
      <c r="G678" s="24">
        <f t="shared" si="112"/>
        <v>15751.564539235851</v>
      </c>
      <c r="H678" s="24">
        <f t="shared" si="113"/>
        <v>0</v>
      </c>
      <c r="I678" s="24">
        <f t="shared" si="114"/>
        <v>-15751.564539235851</v>
      </c>
      <c r="J678" s="25">
        <f t="shared" si="115"/>
        <v>7.9741404289037643E-3</v>
      </c>
      <c r="K678" s="24">
        <f t="shared" si="120"/>
        <v>34590093.755499668</v>
      </c>
      <c r="L678" s="24">
        <f t="shared" si="116"/>
        <v>34590093.755499668</v>
      </c>
      <c r="M678" s="24">
        <f t="shared" si="117"/>
        <v>0</v>
      </c>
      <c r="N678" s="24">
        <f>IF(M678&lt;=0,0,IF($E$2-A678&lt;12,(M678-E678)*Dashboard!$B$18,IF($Q$2+A678&gt;=$R$2,MAX(0,M678-E678*POWER(1+$C$2,$E$2-A678))*MAX(Dashboard!$C$18,Dashboard!$B$18),IF($S$2&lt;$R$2,(M678-E678)*0.5*Dashboard!$B$18,(E678*POWER(1+$A$2,$R$2-($Q$2+A678))-E678)*0.5*Dashboard!$B$18+MAX(0,M678-E678*POWER(1+$A$2,$R$2-($Q$2+A678))*POWER(1+$C$2,$S$2-$R$2))*MAX(Dashboard!$C$18,Dashboard!$B$18)))))</f>
        <v>0</v>
      </c>
    </row>
    <row r="679" spans="1:14" x14ac:dyDescent="0.2">
      <c r="A679" s="22">
        <f t="shared" si="118"/>
        <v>674</v>
      </c>
      <c r="B679" s="23">
        <f t="shared" si="119"/>
        <v>74.221461187214743</v>
      </c>
      <c r="C679" t="str">
        <f t="shared" si="110"/>
        <v>74 y 2.66 m</v>
      </c>
      <c r="D679" s="24">
        <f>IF(A679&gt;=$E$2,IF(A679&lt;$E$2+$H$2,$P$2,0),IF(B679&lt;Dashboard!$I$6,0,IF(A679&gt;=$F$2,Dashboard!$C$23*POWER(1+$C$2,A679-$F$2),Dashboard!$C$23)))</f>
        <v>0</v>
      </c>
      <c r="E679" s="24">
        <f>IF(A679&gt;=$F$2,0,IF(A679=0,Dashboard!$G$10,IF(B679&lt;Dashboard!$I$6,IF($J$2&lt;=Dashboard!$H$10,Dashboard!$H$10,MAX(Dashboard!$H$10,MIN($J$2,Dashboard!$H$10*POWER($J$2/Dashboard!$H$10,A679/$D$2)))),$I$2-D679-Dashboard!$I$10-Dashboard!$J$10-Dashboard!$F$10*$I$2)))</f>
        <v>0</v>
      </c>
      <c r="F679" s="24">
        <f t="shared" si="111"/>
        <v>11502.296470776057</v>
      </c>
      <c r="G679" s="24">
        <f t="shared" si="112"/>
        <v>15789.094927157763</v>
      </c>
      <c r="H679" s="24">
        <f t="shared" si="113"/>
        <v>0</v>
      </c>
      <c r="I679" s="24">
        <f t="shared" si="114"/>
        <v>-15789.094927157763</v>
      </c>
      <c r="J679" s="25">
        <f t="shared" si="115"/>
        <v>7.9741404289037643E-3</v>
      </c>
      <c r="K679" s="24">
        <f t="shared" si="120"/>
        <v>34850005.021167621</v>
      </c>
      <c r="L679" s="24">
        <f t="shared" si="116"/>
        <v>34850005.021167621</v>
      </c>
      <c r="M679" s="24">
        <f t="shared" si="117"/>
        <v>0</v>
      </c>
      <c r="N679" s="24">
        <f>IF(M679&lt;=0,0,IF($E$2-A679&lt;12,(M679-E679)*Dashboard!$B$18,IF($Q$2+A679&gt;=$R$2,MAX(0,M679-E679*POWER(1+$C$2,$E$2-A679))*MAX(Dashboard!$C$18,Dashboard!$B$18),IF($S$2&lt;$R$2,(M679-E679)*0.5*Dashboard!$B$18,(E679*POWER(1+$A$2,$R$2-($Q$2+A679))-E679)*0.5*Dashboard!$B$18+MAX(0,M679-E679*POWER(1+$A$2,$R$2-($Q$2+A679))*POWER(1+$C$2,$S$2-$R$2))*MAX(Dashboard!$C$18,Dashboard!$B$18)))))</f>
        <v>0</v>
      </c>
    </row>
    <row r="680" spans="1:14" x14ac:dyDescent="0.2">
      <c r="A680" s="22">
        <f t="shared" si="118"/>
        <v>675</v>
      </c>
      <c r="B680" s="23">
        <f t="shared" si="119"/>
        <v>74.304794520548072</v>
      </c>
      <c r="C680" t="str">
        <f t="shared" si="110"/>
        <v>74 y 3.66 m</v>
      </c>
      <c r="D680" s="24">
        <f>IF(A680&gt;=$E$2,IF(A680&lt;$E$2+$H$2,$P$2,0),IF(B680&lt;Dashboard!$I$6,0,IF(A680&gt;=$F$2,Dashboard!$C$23*POWER(1+$C$2,A680-$F$2),Dashboard!$C$23)))</f>
        <v>0</v>
      </c>
      <c r="E680" s="24">
        <f>IF(A680&gt;=$F$2,0,IF(A680=0,Dashboard!$G$10,IF(B680&lt;Dashboard!$I$6,IF($J$2&lt;=Dashboard!$H$10,Dashboard!$H$10,MAX(Dashboard!$H$10,MIN($J$2,Dashboard!$H$10*POWER($J$2/Dashboard!$H$10,A680/$D$2)))),$I$2-D680-Dashboard!$I$10-Dashboard!$J$10-Dashboard!$F$10*$I$2)))</f>
        <v>0</v>
      </c>
      <c r="F680" s="24">
        <f t="shared" si="111"/>
        <v>11525.989318233047</v>
      </c>
      <c r="G680" s="24">
        <f t="shared" si="112"/>
        <v>15826.702621533936</v>
      </c>
      <c r="H680" s="24">
        <f t="shared" si="113"/>
        <v>0</v>
      </c>
      <c r="I680" s="24">
        <f t="shared" si="114"/>
        <v>-15826.702621533936</v>
      </c>
      <c r="J680" s="25">
        <f t="shared" si="115"/>
        <v>7.9741404289037643E-3</v>
      </c>
      <c r="K680" s="24">
        <f t="shared" si="120"/>
        <v>35111950.948183648</v>
      </c>
      <c r="L680" s="24">
        <f t="shared" si="116"/>
        <v>35111950.948183648</v>
      </c>
      <c r="M680" s="24">
        <f t="shared" si="117"/>
        <v>0</v>
      </c>
      <c r="N680" s="24">
        <f>IF(M680&lt;=0,0,IF($E$2-A680&lt;12,(M680-E680)*Dashboard!$B$18,IF($Q$2+A680&gt;=$R$2,MAX(0,M680-E680*POWER(1+$C$2,$E$2-A680))*MAX(Dashboard!$C$18,Dashboard!$B$18),IF($S$2&lt;$R$2,(M680-E680)*0.5*Dashboard!$B$18,(E680*POWER(1+$A$2,$R$2-($Q$2+A680))-E680)*0.5*Dashboard!$B$18+MAX(0,M680-E680*POWER(1+$A$2,$R$2-($Q$2+A680))*POWER(1+$C$2,$S$2-$R$2))*MAX(Dashboard!$C$18,Dashboard!$B$18)))))</f>
        <v>0</v>
      </c>
    </row>
    <row r="681" spans="1:14" x14ac:dyDescent="0.2">
      <c r="A681" s="22">
        <f t="shared" si="118"/>
        <v>676</v>
      </c>
      <c r="B681" s="23">
        <f t="shared" si="119"/>
        <v>74.3881278538814</v>
      </c>
      <c r="C681" t="str">
        <f t="shared" si="110"/>
        <v>74 y 4.66 m</v>
      </c>
      <c r="D681" s="24">
        <f>IF(A681&gt;=$E$2,IF(A681&lt;$E$2+$H$2,$P$2,0),IF(B681&lt;Dashboard!$I$6,0,IF(A681&gt;=$F$2,Dashboard!$C$23*POWER(1+$C$2,A681-$F$2),Dashboard!$C$23)))</f>
        <v>0</v>
      </c>
      <c r="E681" s="24">
        <f>IF(A681&gt;=$F$2,0,IF(A681=0,Dashboard!$G$10,IF(B681&lt;Dashboard!$I$6,IF($J$2&lt;=Dashboard!$H$10,Dashboard!$H$10,MAX(Dashboard!$H$10,MIN($J$2,Dashboard!$H$10*POWER($J$2/Dashboard!$H$10,A681/$D$2)))),$I$2-D681-Dashboard!$I$10-Dashboard!$J$10-Dashboard!$F$10*$I$2)))</f>
        <v>0</v>
      </c>
      <c r="F681" s="24">
        <f t="shared" si="111"/>
        <v>11549.730969076561</v>
      </c>
      <c r="G681" s="24">
        <f t="shared" si="112"/>
        <v>15868.904792260415</v>
      </c>
      <c r="H681" s="24">
        <f t="shared" si="113"/>
        <v>0</v>
      </c>
      <c r="I681" s="24">
        <f t="shared" si="114"/>
        <v>-15868.904792260415</v>
      </c>
      <c r="J681" s="25">
        <f t="shared" si="115"/>
        <v>7.9741404289037643E-3</v>
      </c>
      <c r="K681" s="24">
        <f t="shared" si="120"/>
        <v>35375943.130109712</v>
      </c>
      <c r="L681" s="24">
        <f t="shared" si="116"/>
        <v>35375943.130109712</v>
      </c>
      <c r="M681" s="24">
        <f t="shared" si="117"/>
        <v>0</v>
      </c>
      <c r="N681" s="24">
        <f>IF(M681&lt;=0,0,IF($E$2-A681&lt;12,(M681-E681)*Dashboard!$B$18,IF($Q$2+A681&gt;=$R$2,MAX(0,M681-E681*POWER(1+$C$2,$E$2-A681))*MAX(Dashboard!$C$18,Dashboard!$B$18),IF($S$2&lt;$R$2,(M681-E681)*0.5*Dashboard!$B$18,(E681*POWER(1+$A$2,$R$2-($Q$2+A681))-E681)*0.5*Dashboard!$B$18+MAX(0,M681-E681*POWER(1+$A$2,$R$2-($Q$2+A681))*POWER(1+$C$2,$S$2-$R$2))*MAX(Dashboard!$C$18,Dashboard!$B$18)))))</f>
        <v>0</v>
      </c>
    </row>
    <row r="682" spans="1:14" x14ac:dyDescent="0.2">
      <c r="A682" s="22">
        <f t="shared" si="118"/>
        <v>677</v>
      </c>
      <c r="B682" s="23">
        <f t="shared" si="119"/>
        <v>74.471461187214729</v>
      </c>
      <c r="C682" t="str">
        <f t="shared" si="110"/>
        <v>74 y 5.66 m</v>
      </c>
      <c r="D682" s="24">
        <f>IF(A682&gt;=$E$2,IF(A682&lt;$E$2+$H$2,$P$2,0),IF(B682&lt;Dashboard!$I$6,0,IF(A682&gt;=$F$2,Dashboard!$C$23*POWER(1+$C$2,A682-$F$2),Dashboard!$C$23)))</f>
        <v>0</v>
      </c>
      <c r="E682" s="24">
        <f>IF(A682&gt;=$F$2,0,IF(A682=0,Dashboard!$G$10,IF(B682&lt;Dashboard!$I$6,IF($J$2&lt;=Dashboard!$H$10,Dashboard!$H$10,MAX(Dashboard!$H$10,MIN($J$2,Dashboard!$H$10*POWER($J$2/Dashboard!$H$10,A682/$D$2)))),$I$2-D682-Dashboard!$I$10-Dashboard!$J$10-Dashboard!$F$10*$I$2)))</f>
        <v>0</v>
      </c>
      <c r="F682" s="24">
        <f t="shared" si="111"/>
        <v>11573.52152383359</v>
      </c>
      <c r="G682" s="24">
        <f t="shared" si="112"/>
        <v>15912.160346364102</v>
      </c>
      <c r="H682" s="24">
        <f t="shared" si="113"/>
        <v>0</v>
      </c>
      <c r="I682" s="24">
        <f t="shared" si="114"/>
        <v>-15912.160346364102</v>
      </c>
      <c r="J682" s="25">
        <f t="shared" si="115"/>
        <v>7.9741404289037643E-3</v>
      </c>
      <c r="K682" s="24">
        <f t="shared" si="120"/>
        <v>35641996.822286628</v>
      </c>
      <c r="L682" s="24">
        <f t="shared" si="116"/>
        <v>35641996.822286628</v>
      </c>
      <c r="M682" s="24">
        <f t="shared" si="117"/>
        <v>0</v>
      </c>
      <c r="N682" s="24">
        <f>IF(M682&lt;=0,0,IF($E$2-A682&lt;12,(M682-E682)*Dashboard!$B$18,IF($Q$2+A682&gt;=$R$2,MAX(0,M682-E682*POWER(1+$C$2,$E$2-A682))*MAX(Dashboard!$C$18,Dashboard!$B$18),IF($S$2&lt;$R$2,(M682-E682)*0.5*Dashboard!$B$18,(E682*POWER(1+$A$2,$R$2-($Q$2+A682))-E682)*0.5*Dashboard!$B$18+MAX(0,M682-E682*POWER(1+$A$2,$R$2-($Q$2+A682))*POWER(1+$C$2,$S$2-$R$2))*MAX(Dashboard!$C$18,Dashboard!$B$18)))))</f>
        <v>0</v>
      </c>
    </row>
    <row r="683" spans="1:14" x14ac:dyDescent="0.2">
      <c r="A683" s="22">
        <f t="shared" si="118"/>
        <v>678</v>
      </c>
      <c r="B683" s="23">
        <f t="shared" si="119"/>
        <v>74.554794520548057</v>
      </c>
      <c r="C683" t="str">
        <f t="shared" si="110"/>
        <v>74 y 6.66 m</v>
      </c>
      <c r="D683" s="24">
        <f>IF(A683&gt;=$E$2,IF(A683&lt;$E$2+$H$2,$P$2,0),IF(B683&lt;Dashboard!$I$6,0,IF(A683&gt;=$F$2,Dashboard!$C$23*POWER(1+$C$2,A683-$F$2),Dashboard!$C$23)))</f>
        <v>0</v>
      </c>
      <c r="E683" s="24">
        <f>IF(A683&gt;=$F$2,0,IF(A683=0,Dashboard!$G$10,IF(B683&lt;Dashboard!$I$6,IF($J$2&lt;=Dashboard!$H$10,Dashboard!$H$10,MAX(Dashboard!$H$10,MIN($J$2,Dashboard!$H$10*POWER($J$2/Dashboard!$H$10,A683/$D$2)))),$I$2-D683-Dashboard!$I$10-Dashboard!$J$10-Dashboard!$F$10*$I$2)))</f>
        <v>0</v>
      </c>
      <c r="F683" s="24">
        <f t="shared" si="111"/>
        <v>11597.361083238191</v>
      </c>
      <c r="G683" s="24">
        <f t="shared" si="112"/>
        <v>15955.504999827013</v>
      </c>
      <c r="H683" s="24">
        <f t="shared" si="113"/>
        <v>0</v>
      </c>
      <c r="I683" s="24">
        <f t="shared" si="114"/>
        <v>-15955.504999827013</v>
      </c>
      <c r="J683" s="25">
        <f t="shared" si="115"/>
        <v>7.9741404289037643E-3</v>
      </c>
      <c r="K683" s="24">
        <f t="shared" si="120"/>
        <v>35910128.373676777</v>
      </c>
      <c r="L683" s="24">
        <f t="shared" si="116"/>
        <v>35910128.373676777</v>
      </c>
      <c r="M683" s="24">
        <f t="shared" si="117"/>
        <v>0</v>
      </c>
      <c r="N683" s="24">
        <f>IF(M683&lt;=0,0,IF($E$2-A683&lt;12,(M683-E683)*Dashboard!$B$18,IF($Q$2+A683&gt;=$R$2,MAX(0,M683-E683*POWER(1+$C$2,$E$2-A683))*MAX(Dashboard!$C$18,Dashboard!$B$18),IF($S$2&lt;$R$2,(M683-E683)*0.5*Dashboard!$B$18,(E683*POWER(1+$A$2,$R$2-($Q$2+A683))-E683)*0.5*Dashboard!$B$18+MAX(0,M683-E683*POWER(1+$A$2,$R$2-($Q$2+A683))*POWER(1+$C$2,$S$2-$R$2))*MAX(Dashboard!$C$18,Dashboard!$B$18)))))</f>
        <v>0</v>
      </c>
    </row>
    <row r="684" spans="1:14" x14ac:dyDescent="0.2">
      <c r="A684" s="22">
        <f t="shared" si="118"/>
        <v>679</v>
      </c>
      <c r="B684" s="23">
        <f t="shared" si="119"/>
        <v>74.638127853881386</v>
      </c>
      <c r="C684" t="str">
        <f t="shared" si="110"/>
        <v>74 y 7.66 m</v>
      </c>
      <c r="D684" s="24">
        <f>IF(A684&gt;=$E$2,IF(A684&lt;$E$2+$H$2,$P$2,0),IF(B684&lt;Dashboard!$I$6,0,IF(A684&gt;=$F$2,Dashboard!$C$23*POWER(1+$C$2,A684-$F$2),Dashboard!$C$23)))</f>
        <v>0</v>
      </c>
      <c r="E684" s="24">
        <f>IF(A684&gt;=$F$2,0,IF(A684=0,Dashboard!$G$10,IF(B684&lt;Dashboard!$I$6,IF($J$2&lt;=Dashboard!$H$10,Dashboard!$H$10,MAX(Dashboard!$H$10,MIN($J$2,Dashboard!$H$10*POWER($J$2/Dashboard!$H$10,A684/$D$2)))),$I$2-D684-Dashboard!$I$10-Dashboard!$J$10-Dashboard!$F$10*$I$2)))</f>
        <v>0</v>
      </c>
      <c r="F684" s="24">
        <f t="shared" si="111"/>
        <v>11621.249748231907</v>
      </c>
      <c r="G684" s="24">
        <f t="shared" si="112"/>
        <v>15998.938936179222</v>
      </c>
      <c r="H684" s="24">
        <f t="shared" si="113"/>
        <v>0</v>
      </c>
      <c r="I684" s="24">
        <f t="shared" si="114"/>
        <v>-15998.938936179222</v>
      </c>
      <c r="J684" s="25">
        <f t="shared" si="115"/>
        <v>7.9741404289037643E-3</v>
      </c>
      <c r="K684" s="24">
        <f t="shared" si="120"/>
        <v>36180354.263426468</v>
      </c>
      <c r="L684" s="24">
        <f t="shared" si="116"/>
        <v>36180354.263426468</v>
      </c>
      <c r="M684" s="24">
        <f t="shared" si="117"/>
        <v>0</v>
      </c>
      <c r="N684" s="24">
        <f>IF(M684&lt;=0,0,IF($E$2-A684&lt;12,(M684-E684)*Dashboard!$B$18,IF($Q$2+A684&gt;=$R$2,MAX(0,M684-E684*POWER(1+$C$2,$E$2-A684))*MAX(Dashboard!$C$18,Dashboard!$B$18),IF($S$2&lt;$R$2,(M684-E684)*0.5*Dashboard!$B$18,(E684*POWER(1+$A$2,$R$2-($Q$2+A684))-E684)*0.5*Dashboard!$B$18+MAX(0,M684-E684*POWER(1+$A$2,$R$2-($Q$2+A684))*POWER(1+$C$2,$S$2-$R$2))*MAX(Dashboard!$C$18,Dashboard!$B$18)))))</f>
        <v>0</v>
      </c>
    </row>
    <row r="685" spans="1:14" x14ac:dyDescent="0.2">
      <c r="A685" s="22">
        <f t="shared" si="118"/>
        <v>680</v>
      </c>
      <c r="B685" s="23">
        <f t="shared" si="119"/>
        <v>74.721461187214715</v>
      </c>
      <c r="C685" t="str">
        <f t="shared" si="110"/>
        <v>74 y 8.66 m</v>
      </c>
      <c r="D685" s="24">
        <f>IF(A685&gt;=$E$2,IF(A685&lt;$E$2+$H$2,$P$2,0),IF(B685&lt;Dashboard!$I$6,0,IF(A685&gt;=$F$2,Dashboard!$C$23*POWER(1+$C$2,A685-$F$2),Dashboard!$C$23)))</f>
        <v>0</v>
      </c>
      <c r="E685" s="24">
        <f>IF(A685&gt;=$F$2,0,IF(A685=0,Dashboard!$G$10,IF(B685&lt;Dashboard!$I$6,IF($J$2&lt;=Dashboard!$H$10,Dashboard!$H$10,MAX(Dashboard!$H$10,MIN($J$2,Dashboard!$H$10*POWER($J$2/Dashboard!$H$10,A685/$D$2)))),$I$2-D685-Dashboard!$I$10-Dashboard!$J$10-Dashboard!$F$10*$I$2)))</f>
        <v>0</v>
      </c>
      <c r="F685" s="24">
        <f t="shared" si="111"/>
        <v>11645.187619964216</v>
      </c>
      <c r="G685" s="24">
        <f t="shared" si="112"/>
        <v>16042.462339328878</v>
      </c>
      <c r="H685" s="24">
        <f t="shared" si="113"/>
        <v>0</v>
      </c>
      <c r="I685" s="24">
        <f t="shared" si="114"/>
        <v>-16042.462339328878</v>
      </c>
      <c r="J685" s="25">
        <f t="shared" si="115"/>
        <v>7.9741404289037643E-3</v>
      </c>
      <c r="K685" s="24">
        <f t="shared" si="120"/>
        <v>36452691.10190367</v>
      </c>
      <c r="L685" s="24">
        <f t="shared" si="116"/>
        <v>36452691.10190367</v>
      </c>
      <c r="M685" s="24">
        <f t="shared" si="117"/>
        <v>0</v>
      </c>
      <c r="N685" s="24">
        <f>IF(M685&lt;=0,0,IF($E$2-A685&lt;12,(M685-E685)*Dashboard!$B$18,IF($Q$2+A685&gt;=$R$2,MAX(0,M685-E685*POWER(1+$C$2,$E$2-A685))*MAX(Dashboard!$C$18,Dashboard!$B$18),IF($S$2&lt;$R$2,(M685-E685)*0.5*Dashboard!$B$18,(E685*POWER(1+$A$2,$R$2-($Q$2+A685))-E685)*0.5*Dashboard!$B$18+MAX(0,M685-E685*POWER(1+$A$2,$R$2-($Q$2+A685))*POWER(1+$C$2,$S$2-$R$2))*MAX(Dashboard!$C$18,Dashboard!$B$18)))))</f>
        <v>0</v>
      </c>
    </row>
    <row r="686" spans="1:14" x14ac:dyDescent="0.2">
      <c r="A686" s="22">
        <f t="shared" si="118"/>
        <v>681</v>
      </c>
      <c r="B686" s="23">
        <f t="shared" si="119"/>
        <v>74.804794520548043</v>
      </c>
      <c r="C686" t="str">
        <f t="shared" si="110"/>
        <v>74 y 9.66 m</v>
      </c>
      <c r="D686" s="24">
        <f>IF(A686&gt;=$E$2,IF(A686&lt;$E$2+$H$2,$P$2,0),IF(B686&lt;Dashboard!$I$6,0,IF(A686&gt;=$F$2,Dashboard!$C$23*POWER(1+$C$2,A686-$F$2),Dashboard!$C$23)))</f>
        <v>0</v>
      </c>
      <c r="E686" s="24">
        <f>IF(A686&gt;=$F$2,0,IF(A686=0,Dashboard!$G$10,IF(B686&lt;Dashboard!$I$6,IF($J$2&lt;=Dashboard!$H$10,Dashboard!$H$10,MAX(Dashboard!$H$10,MIN($J$2,Dashboard!$H$10*POWER($J$2/Dashboard!$H$10,A686/$D$2)))),$I$2-D686-Dashboard!$I$10-Dashboard!$J$10-Dashboard!$F$10*$I$2)))</f>
        <v>0</v>
      </c>
      <c r="F686" s="24">
        <f t="shared" si="111"/>
        <v>11669.174799792941</v>
      </c>
      <c r="G686" s="24">
        <f t="shared" si="112"/>
        <v>16086.075393562924</v>
      </c>
      <c r="H686" s="24">
        <f t="shared" si="113"/>
        <v>0</v>
      </c>
      <c r="I686" s="24">
        <f t="shared" si="114"/>
        <v>-16086.075393562924</v>
      </c>
      <c r="J686" s="25">
        <f t="shared" si="115"/>
        <v>7.9741404289037643E-3</v>
      </c>
      <c r="K686" s="24">
        <f t="shared" si="120"/>
        <v>36727155.631743997</v>
      </c>
      <c r="L686" s="24">
        <f t="shared" si="116"/>
        <v>36727155.631743997</v>
      </c>
      <c r="M686" s="24">
        <f t="shared" si="117"/>
        <v>0</v>
      </c>
      <c r="N686" s="24">
        <f>IF(M686&lt;=0,0,IF($E$2-A686&lt;12,(M686-E686)*Dashboard!$B$18,IF($Q$2+A686&gt;=$R$2,MAX(0,M686-E686*POWER(1+$C$2,$E$2-A686))*MAX(Dashboard!$C$18,Dashboard!$B$18),IF($S$2&lt;$R$2,(M686-E686)*0.5*Dashboard!$B$18,(E686*POWER(1+$A$2,$R$2-($Q$2+A686))-E686)*0.5*Dashboard!$B$18+MAX(0,M686-E686*POWER(1+$A$2,$R$2-($Q$2+A686))*POWER(1+$C$2,$S$2-$R$2))*MAX(Dashboard!$C$18,Dashboard!$B$18)))))</f>
        <v>0</v>
      </c>
    </row>
    <row r="687" spans="1:14" x14ac:dyDescent="0.2">
      <c r="A687" s="22">
        <f t="shared" si="118"/>
        <v>682</v>
      </c>
      <c r="B687" s="23">
        <f t="shared" si="119"/>
        <v>74.888127853881372</v>
      </c>
      <c r="C687" t="str">
        <f t="shared" si="110"/>
        <v>74 y 10.66 m</v>
      </c>
      <c r="D687" s="24">
        <f>IF(A687&gt;=$E$2,IF(A687&lt;$E$2+$H$2,$P$2,0),IF(B687&lt;Dashboard!$I$6,0,IF(A687&gt;=$F$2,Dashboard!$C$23*POWER(1+$C$2,A687-$F$2),Dashboard!$C$23)))</f>
        <v>0</v>
      </c>
      <c r="E687" s="24">
        <f>IF(A687&gt;=$F$2,0,IF(A687=0,Dashboard!$G$10,IF(B687&lt;Dashboard!$I$6,IF($J$2&lt;=Dashboard!$H$10,Dashboard!$H$10,MAX(Dashboard!$H$10,MIN($J$2,Dashboard!$H$10*POWER($J$2/Dashboard!$H$10,A687/$D$2)))),$I$2-D687-Dashboard!$I$10-Dashboard!$J$10-Dashboard!$F$10*$I$2)))</f>
        <v>0</v>
      </c>
      <c r="F687" s="24">
        <f t="shared" si="111"/>
        <v>11693.21138928469</v>
      </c>
      <c r="G687" s="24">
        <f t="shared" si="112"/>
        <v>16129.778283547921</v>
      </c>
      <c r="H687" s="24">
        <f t="shared" si="113"/>
        <v>0</v>
      </c>
      <c r="I687" s="24">
        <f t="shared" si="114"/>
        <v>-16129.778283547921</v>
      </c>
      <c r="J687" s="25">
        <f t="shared" si="115"/>
        <v>7.9741404289037643E-3</v>
      </c>
      <c r="K687" s="24">
        <f t="shared" si="120"/>
        <v>37003764.728905059</v>
      </c>
      <c r="L687" s="24">
        <f t="shared" si="116"/>
        <v>37003764.728905059</v>
      </c>
      <c r="M687" s="24">
        <f t="shared" si="117"/>
        <v>0</v>
      </c>
      <c r="N687" s="24">
        <f>IF(M687&lt;=0,0,IF($E$2-A687&lt;12,(M687-E687)*Dashboard!$B$18,IF($Q$2+A687&gt;=$R$2,MAX(0,M687-E687*POWER(1+$C$2,$E$2-A687))*MAX(Dashboard!$C$18,Dashboard!$B$18),IF($S$2&lt;$R$2,(M687-E687)*0.5*Dashboard!$B$18,(E687*POWER(1+$A$2,$R$2-($Q$2+A687))-E687)*0.5*Dashboard!$B$18+MAX(0,M687-E687*POWER(1+$A$2,$R$2-($Q$2+A687))*POWER(1+$C$2,$S$2-$R$2))*MAX(Dashboard!$C$18,Dashboard!$B$18)))))</f>
        <v>0</v>
      </c>
    </row>
    <row r="688" spans="1:14" x14ac:dyDescent="0.2">
      <c r="A688" s="22">
        <f t="shared" si="118"/>
        <v>683</v>
      </c>
      <c r="B688" s="23">
        <f t="shared" si="119"/>
        <v>74.9714611872147</v>
      </c>
      <c r="C688" t="str">
        <f t="shared" si="110"/>
        <v>74 y 11.66 m</v>
      </c>
      <c r="D688" s="24">
        <f>IF(A688&gt;=$E$2,IF(A688&lt;$E$2+$H$2,$P$2,0),IF(B688&lt;Dashboard!$I$6,0,IF(A688&gt;=$F$2,Dashboard!$C$23*POWER(1+$C$2,A688-$F$2),Dashboard!$C$23)))</f>
        <v>0</v>
      </c>
      <c r="E688" s="24">
        <f>IF(A688&gt;=$F$2,0,IF(A688=0,Dashboard!$G$10,IF(B688&lt;Dashboard!$I$6,IF($J$2&lt;=Dashboard!$H$10,Dashboard!$H$10,MAX(Dashboard!$H$10,MIN($J$2,Dashboard!$H$10*POWER($J$2/Dashboard!$H$10,A688/$D$2)))),$I$2-D688-Dashboard!$I$10-Dashboard!$J$10-Dashboard!$F$10*$I$2)))</f>
        <v>0</v>
      </c>
      <c r="F688" s="24">
        <f t="shared" si="111"/>
        <v>11717.297490215278</v>
      </c>
      <c r="G688" s="24">
        <f t="shared" si="112"/>
        <v>16173.571194330811</v>
      </c>
      <c r="H688" s="24">
        <f t="shared" si="113"/>
        <v>0</v>
      </c>
      <c r="I688" s="24">
        <f t="shared" si="114"/>
        <v>-16173.571194330811</v>
      </c>
      <c r="J688" s="25">
        <f t="shared" si="115"/>
        <v>7.9741404289037643E-3</v>
      </c>
      <c r="K688" s="24">
        <f t="shared" si="120"/>
        <v>37282535.403729193</v>
      </c>
      <c r="L688" s="24">
        <f t="shared" si="116"/>
        <v>37282535.403729193</v>
      </c>
      <c r="M688" s="24">
        <f t="shared" si="117"/>
        <v>0</v>
      </c>
      <c r="N688" s="24">
        <f>IF(M688&lt;=0,0,IF($E$2-A688&lt;12,(M688-E688)*Dashboard!$B$18,IF($Q$2+A688&gt;=$R$2,MAX(0,M688-E688*POWER(1+$C$2,$E$2-A688))*MAX(Dashboard!$C$18,Dashboard!$B$18),IF($S$2&lt;$R$2,(M688-E688)*0.5*Dashboard!$B$18,(E688*POWER(1+$A$2,$R$2-($Q$2+A688))-E688)*0.5*Dashboard!$B$18+MAX(0,M688-E688*POWER(1+$A$2,$R$2-($Q$2+A688))*POWER(1+$C$2,$S$2-$R$2))*MAX(Dashboard!$C$18,Dashboard!$B$18)))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Calc1</vt:lpstr>
      <vt:lpstr>Calc2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Nikunj Khurana</cp:lastModifiedBy>
  <cp:revision>2</cp:revision>
  <dcterms:created xsi:type="dcterms:W3CDTF">2026-07-19T11:36:07Z</dcterms:created>
  <dcterms:modified xsi:type="dcterms:W3CDTF">2026-08-05T09:19:19Z</dcterms:modified>
  <dc:language>en-US</dc:language>
</cp:coreProperties>
</file>